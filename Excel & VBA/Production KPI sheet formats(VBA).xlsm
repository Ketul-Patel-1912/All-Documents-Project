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filterPrivacy="1" codeName="ThisWorkbook"/>
  <xr:revisionPtr revIDLastSave="0" documentId="13_ncr:1_{77DEC893-9A88-46D3-85F7-F099F523F8A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_Availibility" sheetId="42" r:id="rId1"/>
    <sheet name="Master" sheetId="32" r:id="rId2"/>
    <sheet name="Report_Card" sheetId="39" r:id="rId3"/>
    <sheet name="Achievement" sheetId="19" r:id="rId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32" l="1"/>
  <c r="G6" i="32"/>
  <c r="G7" i="32"/>
  <c r="G8" i="32"/>
  <c r="G9" i="32"/>
  <c r="G10" i="32"/>
  <c r="G11" i="32"/>
  <c r="G12" i="32"/>
  <c r="G13" i="32"/>
  <c r="G14" i="32"/>
  <c r="G15" i="32"/>
  <c r="G16" i="32"/>
  <c r="G17" i="32"/>
  <c r="G3" i="32"/>
  <c r="G4" i="32"/>
  <c r="E6" i="39"/>
  <c r="E7" i="39"/>
  <c r="D6" i="39"/>
  <c r="D7" i="39"/>
  <c r="C6" i="39"/>
  <c r="F6" i="39" s="1"/>
  <c r="C7" i="39"/>
  <c r="B6" i="39"/>
  <c r="B7" i="39"/>
  <c r="E5" i="39"/>
  <c r="H5" i="39" s="1"/>
  <c r="D5" i="39"/>
  <c r="C5" i="39"/>
  <c r="F5" i="39" s="1"/>
  <c r="G5" i="39" s="1"/>
  <c r="B5" i="39"/>
  <c r="J26" i="19"/>
  <c r="K26" i="19" s="1"/>
  <c r="J38" i="19"/>
  <c r="J34" i="19"/>
  <c r="J30" i="19"/>
  <c r="I26" i="19"/>
  <c r="H2" i="19"/>
  <c r="K2" i="19" s="1"/>
  <c r="I41" i="19"/>
  <c r="G41" i="19"/>
  <c r="F7" i="39" l="1"/>
  <c r="H7" i="39"/>
  <c r="H6" i="39"/>
  <c r="I5" i="39" s="1"/>
  <c r="J5" i="39" s="1"/>
  <c r="G51" i="19"/>
  <c r="H54" i="19" l="1"/>
  <c r="G5" i="19"/>
  <c r="G2" i="19"/>
  <c r="G3" i="19"/>
  <c r="G6" i="19"/>
  <c r="G7" i="19"/>
  <c r="G8" i="19"/>
  <c r="G9" i="19"/>
  <c r="G10" i="19"/>
  <c r="G11" i="19"/>
  <c r="G12" i="19"/>
  <c r="G13" i="19"/>
  <c r="G14" i="19"/>
  <c r="G15" i="19"/>
  <c r="H14" i="19" s="1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2" i="19"/>
  <c r="G43" i="19"/>
  <c r="G44" i="19"/>
  <c r="G45" i="19"/>
  <c r="G46" i="19"/>
  <c r="G47" i="19"/>
  <c r="G48" i="19"/>
  <c r="G49" i="19"/>
  <c r="G50" i="19"/>
  <c r="H50" i="19" s="1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H118" i="19" s="1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4" i="19"/>
  <c r="H30" i="19" l="1"/>
  <c r="H150" i="19"/>
  <c r="H102" i="19"/>
  <c r="H38" i="19"/>
  <c r="H134" i="19"/>
  <c r="H86" i="19"/>
  <c r="H70" i="19"/>
  <c r="H34" i="19"/>
  <c r="H22" i="19"/>
  <c r="H6" i="19"/>
  <c r="H158" i="19"/>
  <c r="H154" i="19"/>
  <c r="H142" i="19"/>
  <c r="H138" i="19"/>
  <c r="H130" i="19"/>
  <c r="H126" i="19"/>
  <c r="H122" i="19"/>
  <c r="H114" i="19"/>
  <c r="H110" i="19"/>
  <c r="H106" i="19"/>
  <c r="H98" i="19"/>
  <c r="H94" i="19"/>
  <c r="H90" i="19"/>
  <c r="H82" i="19"/>
  <c r="H78" i="19"/>
  <c r="H74" i="19"/>
  <c r="H66" i="19"/>
  <c r="H62" i="19"/>
  <c r="H58" i="19"/>
  <c r="H42" i="19"/>
  <c r="H26" i="19"/>
  <c r="H18" i="19"/>
  <c r="H10" i="19"/>
  <c r="H146" i="19"/>
  <c r="H46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4" i="19"/>
  <c r="I67" i="19"/>
  <c r="I68" i="19"/>
  <c r="I70" i="19"/>
  <c r="I71" i="19"/>
  <c r="I72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I142" i="19"/>
  <c r="I143" i="19"/>
  <c r="I144" i="19"/>
  <c r="I145" i="19"/>
  <c r="I146" i="19"/>
  <c r="I147" i="19"/>
  <c r="I148" i="19"/>
  <c r="I149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3" i="19"/>
  <c r="I4" i="19"/>
  <c r="I5" i="19"/>
  <c r="I2" i="19"/>
  <c r="K38" i="19" l="1"/>
  <c r="J150" i="19"/>
  <c r="K150" i="19" s="1"/>
  <c r="J102" i="19"/>
  <c r="K102" i="19" s="1"/>
  <c r="J86" i="19"/>
  <c r="K86" i="19" s="1"/>
  <c r="J70" i="19"/>
  <c r="K70" i="19" s="1"/>
  <c r="J54" i="19"/>
  <c r="K54" i="19" s="1"/>
  <c r="J22" i="19"/>
  <c r="J6" i="19"/>
  <c r="K6" i="19" s="1"/>
  <c r="J2" i="19"/>
  <c r="J134" i="19"/>
  <c r="K134" i="19" s="1"/>
  <c r="J118" i="19"/>
  <c r="K118" i="19" s="1"/>
  <c r="J158" i="19"/>
  <c r="K158" i="19" s="1"/>
  <c r="J154" i="19"/>
  <c r="K154" i="19" s="1"/>
  <c r="J146" i="19"/>
  <c r="K146" i="19" s="1"/>
  <c r="J142" i="19"/>
  <c r="K142" i="19" s="1"/>
  <c r="J138" i="19"/>
  <c r="K138" i="19" s="1"/>
  <c r="J130" i="19"/>
  <c r="K130" i="19" s="1"/>
  <c r="J126" i="19"/>
  <c r="K126" i="19" s="1"/>
  <c r="J122" i="19"/>
  <c r="K122" i="19" s="1"/>
  <c r="J114" i="19"/>
  <c r="K114" i="19" s="1"/>
  <c r="J110" i="19"/>
  <c r="K110" i="19" s="1"/>
  <c r="J106" i="19"/>
  <c r="K106" i="19" s="1"/>
  <c r="J98" i="19"/>
  <c r="K98" i="19" s="1"/>
  <c r="J94" i="19"/>
  <c r="K94" i="19" s="1"/>
  <c r="J90" i="19"/>
  <c r="K90" i="19" s="1"/>
  <c r="J82" i="19"/>
  <c r="K82" i="19" s="1"/>
  <c r="J78" i="19"/>
  <c r="K78" i="19" s="1"/>
  <c r="J74" i="19"/>
  <c r="K74" i="19" s="1"/>
  <c r="J66" i="19"/>
  <c r="K66" i="19" s="1"/>
  <c r="J62" i="19"/>
  <c r="K62" i="19" s="1"/>
  <c r="J58" i="19"/>
  <c r="K58" i="19" s="1"/>
  <c r="J46" i="19"/>
  <c r="K46" i="19" s="1"/>
  <c r="K34" i="19"/>
  <c r="J18" i="19"/>
  <c r="J14" i="19"/>
  <c r="J10" i="19"/>
  <c r="J50" i="19"/>
  <c r="K50" i="19" s="1"/>
  <c r="J42" i="19"/>
  <c r="K30" i="19"/>
  <c r="K22" i="19"/>
  <c r="K14" i="19"/>
  <c r="K10" i="19"/>
  <c r="K18" i="19"/>
  <c r="K42" i="19" l="1"/>
</calcChain>
</file>

<file path=xl/sharedStrings.xml><?xml version="1.0" encoding="utf-8"?>
<sst xmlns="http://schemas.openxmlformats.org/spreadsheetml/2006/main" count="220" uniqueCount="45">
  <si>
    <t>Shift</t>
  </si>
  <si>
    <t>FA22GDP</t>
  </si>
  <si>
    <t>N723J22</t>
  </si>
  <si>
    <t>F728I22</t>
  </si>
  <si>
    <t>N728I22</t>
  </si>
  <si>
    <t>Sch_Date</t>
  </si>
  <si>
    <t>Sch_ItemCode</t>
  </si>
  <si>
    <t>Sch_PlanQty</t>
  </si>
  <si>
    <t>DD/MM</t>
  </si>
  <si>
    <t>स्पेसिफिकेशन 
Tire spec.</t>
  </si>
  <si>
    <t>कुल प्लान समय 
Total Plan Duration (min)</t>
  </si>
  <si>
    <t>कुल वास्तविक समय 
Total Actual Duration (min)</t>
  </si>
  <si>
    <t>प्लान जथ्था 
Plan Qty 
from PMC
(m)</t>
  </si>
  <si>
    <t>पूरा किया गया जथ्था Finished Qty.
(m)</t>
  </si>
  <si>
    <t>समय के मुताबिक औशत कामगिरी Avg Perf. as per Time (%)</t>
  </si>
  <si>
    <t>Daily 
Avarage
(Time)</t>
  </si>
  <si>
    <t>Daily 
Avarage
(m)</t>
  </si>
  <si>
    <t>Final Average</t>
  </si>
  <si>
    <t>Avg Perf. as per qty (%)</t>
  </si>
  <si>
    <t>Finish Plan Duration (Min)</t>
  </si>
  <si>
    <t>Finish Plan Duration (hr)</t>
  </si>
  <si>
    <t>Total Actual Working Time (hr)</t>
  </si>
  <si>
    <t>Total Actual Working Time (min)</t>
  </si>
  <si>
    <t>Performance</t>
  </si>
  <si>
    <t>Date</t>
  </si>
  <si>
    <t>Tire Specification</t>
  </si>
  <si>
    <t>Avg Perf. as per Time (%)</t>
  </si>
  <si>
    <t>Sch_Actul Qty</t>
  </si>
  <si>
    <t>Sch_Start Time</t>
  </si>
  <si>
    <t>Sch_End Time</t>
  </si>
  <si>
    <t>Total Actual Working Time (Min)</t>
  </si>
  <si>
    <t>Sheet Name</t>
  </si>
  <si>
    <t>Book1</t>
  </si>
  <si>
    <t xml:space="preserve">Master </t>
  </si>
  <si>
    <t>Row data available in this sheet</t>
  </si>
  <si>
    <t>Report card available in this sheet</t>
  </si>
  <si>
    <t>Plan Schedule sheet pasted in worksheets ans assign name BOOK1</t>
  </si>
  <si>
    <t>Details</t>
  </si>
  <si>
    <t>Report_Card</t>
  </si>
  <si>
    <t>Total Plan Duration (Min)</t>
  </si>
  <si>
    <t>Plan Qty From PMC (m)</t>
  </si>
  <si>
    <t>Finish Qty (m)</t>
  </si>
  <si>
    <t>Daily Avarage % by Qty</t>
  </si>
  <si>
    <t>Final Avarage</t>
  </si>
  <si>
    <t>Daily Avarage (Time)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</si>
</sst>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新細明體"/>
    </font>
    <font>
      <b/>
      <sz val="12"/>
      <color theme="1"/>
      <name val="Calibri"/>
      <family val="2"/>
    </font>
    <font>
      <sz val="12"/>
      <color indexed="8"/>
      <name val="新細明體"/>
      <family val="1"/>
      <charset val="136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20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FFFF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Protection="0">
      <alignment vertical="center"/>
    </xf>
    <xf numFmtId="9" fontId="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73">
    <xf numFmtId="0" fontId="0" fillId="0" borderId="0" xfId="0"/>
    <xf numFmtId="2" fontId="0" fillId="0" borderId="0" xfId="0" applyNumberFormat="1"/>
    <xf numFmtId="0" fontId="0" fillId="0" borderId="0" xfId="0"/>
    <xf numFmtId="0" fontId="0" fillId="0" borderId="0" xfId="0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0" fontId="4" fillId="4" borderId="23" xfId="2" applyNumberFormat="1" applyFont="1" applyFill="1" applyBorder="1" applyAlignment="1">
      <alignment horizontal="center" vertical="center"/>
    </xf>
    <xf numFmtId="0" fontId="4" fillId="4" borderId="21" xfId="2" applyNumberFormat="1" applyFont="1" applyFill="1" applyBorder="1" applyAlignment="1">
      <alignment horizontal="center" vertical="center"/>
    </xf>
    <xf numFmtId="0" fontId="4" fillId="4" borderId="22" xfId="2" applyNumberFormat="1" applyFont="1" applyFill="1" applyBorder="1" applyAlignment="1">
      <alignment horizontal="center" vertical="center"/>
    </xf>
    <xf numFmtId="0" fontId="3" fillId="5" borderId="26" xfId="2" applyFill="1" applyBorder="1" applyAlignment="1">
      <alignment horizontal="center" vertical="center"/>
    </xf>
    <xf numFmtId="1" fontId="3" fillId="5" borderId="15" xfId="2" applyNumberFormat="1" applyFill="1" applyBorder="1" applyAlignment="1">
      <alignment horizontal="center" vertical="center"/>
    </xf>
    <xf numFmtId="0" fontId="3" fillId="5" borderId="15" xfId="2" applyFill="1" applyBorder="1" applyAlignment="1">
      <alignment horizontal="center" vertical="center"/>
    </xf>
    <xf numFmtId="0" fontId="3" fillId="5" borderId="30" xfId="2" applyFill="1" applyBorder="1" applyAlignment="1">
      <alignment horizontal="center" vertical="center"/>
    </xf>
    <xf numFmtId="0" fontId="3" fillId="5" borderId="27" xfId="2" applyFill="1" applyBorder="1" applyAlignment="1">
      <alignment horizontal="center" vertical="center"/>
    </xf>
    <xf numFmtId="1" fontId="3" fillId="5" borderId="5" xfId="2" applyNumberFormat="1" applyFill="1" applyBorder="1" applyAlignment="1">
      <alignment horizontal="center" vertical="center"/>
    </xf>
    <xf numFmtId="0" fontId="3" fillId="5" borderId="5" xfId="2" applyFill="1" applyBorder="1" applyAlignment="1">
      <alignment horizontal="center" vertical="center"/>
    </xf>
    <xf numFmtId="0" fontId="3" fillId="5" borderId="31" xfId="2" applyFill="1" applyBorder="1" applyAlignment="1">
      <alignment horizontal="center" vertical="center"/>
    </xf>
    <xf numFmtId="1" fontId="3" fillId="5" borderId="28" xfId="2" applyNumberFormat="1" applyFill="1" applyBorder="1" applyAlignment="1">
      <alignment horizontal="center" vertical="center"/>
    </xf>
    <xf numFmtId="1" fontId="3" fillId="5" borderId="14" xfId="2" applyNumberFormat="1" applyFill="1" applyBorder="1" applyAlignment="1">
      <alignment horizontal="center" vertical="center"/>
    </xf>
    <xf numFmtId="9" fontId="3" fillId="6" borderId="21" xfId="3" applyFont="1" applyFill="1" applyBorder="1" applyAlignment="1">
      <alignment horizontal="center" vertical="center"/>
    </xf>
    <xf numFmtId="9" fontId="3" fillId="6" borderId="23" xfId="3" applyFont="1" applyFill="1" applyBorder="1" applyAlignment="1">
      <alignment horizontal="center" vertical="center"/>
    </xf>
    <xf numFmtId="9" fontId="3" fillId="6" borderId="22" xfId="3" applyFont="1" applyFill="1" applyBorder="1" applyAlignment="1">
      <alignment horizontal="center" vertical="center"/>
    </xf>
    <xf numFmtId="0" fontId="3" fillId="5" borderId="14" xfId="2" applyFill="1" applyBorder="1" applyAlignment="1">
      <alignment horizontal="center" vertical="center"/>
    </xf>
    <xf numFmtId="0" fontId="3" fillId="5" borderId="32" xfId="2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 wrapText="1"/>
    </xf>
    <xf numFmtId="9" fontId="0" fillId="6" borderId="23" xfId="0" applyNumberFormat="1" applyFill="1" applyBorder="1" applyAlignment="1">
      <alignment horizontal="center" vertical="center"/>
    </xf>
    <xf numFmtId="9" fontId="0" fillId="6" borderId="21" xfId="1" applyFont="1" applyFill="1" applyBorder="1" applyAlignment="1">
      <alignment horizontal="center" vertical="center"/>
    </xf>
    <xf numFmtId="9" fontId="0" fillId="6" borderId="22" xfId="1" applyFont="1" applyFill="1" applyBorder="1" applyAlignment="1">
      <alignment horizontal="center" vertical="center"/>
    </xf>
    <xf numFmtId="0" fontId="3" fillId="5" borderId="28" xfId="2" applyFill="1" applyBorder="1" applyAlignment="1">
      <alignment horizontal="center" vertical="center"/>
    </xf>
    <xf numFmtId="0" fontId="0" fillId="0" borderId="0" xfId="0"/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0" fontId="0" fillId="2" borderId="5" xfId="0" applyNumberFormat="1" applyFill="1" applyBorder="1" applyAlignment="1">
      <alignment horizontal="center" vertical="center"/>
    </xf>
    <xf numFmtId="0" fontId="9" fillId="8" borderId="33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9" fillId="8" borderId="10" xfId="0" applyFont="1" applyFill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15" fontId="10" fillId="9" borderId="4" xfId="0" applyNumberFormat="1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5" xfId="0" applyNumberFormat="1" applyFill="1" applyBorder="1" applyAlignment="1">
      <alignment horizontal="center" vertical="center"/>
    </xf>
    <xf numFmtId="21" fontId="0" fillId="2" borderId="5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12" fillId="3" borderId="2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3" fillId="10" borderId="3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2" fontId="13" fillId="10" borderId="34" xfId="0" applyNumberFormat="1" applyFont="1" applyFill="1" applyBorder="1" applyAlignment="1">
      <alignment horizontal="center" vertical="center" wrapText="1"/>
    </xf>
    <xf numFmtId="2" fontId="0" fillId="0" borderId="34" xfId="0" applyNumberFormat="1" applyBorder="1" applyAlignment="1">
      <alignment horizontal="center" vertical="center"/>
    </xf>
    <xf numFmtId="10" fontId="0" fillId="0" borderId="0" xfId="1" applyNumberFormat="1" applyFont="1"/>
    <xf numFmtId="10" fontId="13" fillId="10" borderId="34" xfId="0" applyNumberFormat="1" applyFont="1" applyFill="1" applyBorder="1" applyAlignment="1">
      <alignment horizontal="center" vertical="center" wrapText="1"/>
    </xf>
    <xf numFmtId="10" fontId="0" fillId="0" borderId="34" xfId="0" applyNumberFormat="1" applyBorder="1" applyAlignment="1">
      <alignment horizontal="center" vertical="center"/>
    </xf>
    <xf numFmtId="10" fontId="0" fillId="0" borderId="0" xfId="0" applyNumberFormat="1"/>
    <xf numFmtId="14" fontId="3" fillId="4" borderId="2" xfId="2" applyNumberFormat="1" applyFill="1" applyBorder="1" applyAlignment="1">
      <alignment horizontal="center" vertical="center"/>
    </xf>
    <xf numFmtId="14" fontId="3" fillId="4" borderId="24" xfId="2" applyNumberFormat="1" applyFill="1" applyBorder="1" applyAlignment="1">
      <alignment horizontal="center" vertical="center"/>
    </xf>
    <xf numFmtId="14" fontId="3" fillId="4" borderId="3" xfId="2" applyNumberFormat="1" applyFill="1" applyBorder="1" applyAlignment="1">
      <alignment horizontal="center" vertical="center"/>
    </xf>
    <xf numFmtId="9" fontId="6" fillId="6" borderId="12" xfId="0" applyNumberFormat="1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9" fontId="6" fillId="6" borderId="2" xfId="0" applyNumberFormat="1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9" fontId="6" fillId="6" borderId="8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9" fontId="1" fillId="7" borderId="2" xfId="0" applyNumberFormat="1" applyFont="1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15" fontId="14" fillId="2" borderId="0" xfId="0" applyNumberFormat="1" applyFont="1" applyFill="1" applyBorder="1" applyAlignment="1">
      <alignment horizontal="center" vertical="center"/>
    </xf>
  </cellXfs>
  <cellStyles count="13">
    <cellStyle name="Normal" xfId="0" builtinId="0"/>
    <cellStyle name="Normal 10" xfId="12" xr:uid="{00000000-0005-0000-0000-000001000000}"/>
    <cellStyle name="Normal 11" xfId="2" xr:uid="{00000000-0005-0000-0000-000002000000}"/>
    <cellStyle name="Normal 2" xfId="4" xr:uid="{00000000-0005-0000-0000-000003000000}"/>
    <cellStyle name="Normal 3" xfId="5" xr:uid="{00000000-0005-0000-0000-000004000000}"/>
    <cellStyle name="Normal 4" xfId="6" xr:uid="{00000000-0005-0000-0000-000005000000}"/>
    <cellStyle name="Normal 5" xfId="7" xr:uid="{00000000-0005-0000-0000-000006000000}"/>
    <cellStyle name="Normal 6" xfId="8" xr:uid="{00000000-0005-0000-0000-000007000000}"/>
    <cellStyle name="Normal 7" xfId="9" xr:uid="{00000000-0005-0000-0000-000008000000}"/>
    <cellStyle name="Normal 8" xfId="10" xr:uid="{00000000-0005-0000-0000-000009000000}"/>
    <cellStyle name="Normal 9" xfId="11" xr:uid="{00000000-0005-0000-0000-00000A000000}"/>
    <cellStyle name="Percent" xfId="1" builtinId="5"/>
    <cellStyle name="Percent 2" xfId="3" xr:uid="{00000000-0005-0000-0000-00000C000000}"/>
  </cellStyles>
  <dxfs count="17">
    <dxf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6" formatCode="hh:mm:ss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family val="2"/>
        <scheme val="minor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family val="2"/>
        <scheme val="minor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7" formatCode="dd/mm/yyyy\ h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1</xdr:row>
      <xdr:rowOff>137160</xdr:rowOff>
    </xdr:from>
    <xdr:to>
      <xdr:col>0</xdr:col>
      <xdr:colOff>2971800</xdr:colOff>
      <xdr:row>2</xdr:row>
      <xdr:rowOff>175260</xdr:rowOff>
    </xdr:to>
    <xdr:sp macro="[0]!sheet_availibility.sheet_availibility" textlink="">
      <xdr:nvSpPr>
        <xdr:cNvPr id="2" name="Rectangle: Top Corners One Rounded and One Snipped 1">
          <a:extLst>
            <a:ext uri="{FF2B5EF4-FFF2-40B4-BE49-F238E27FC236}">
              <a16:creationId xmlns:a16="http://schemas.microsoft.com/office/drawing/2014/main" id="{29EC23D1-0173-4A79-9873-31C3D24A653B}"/>
            </a:ext>
          </a:extLst>
        </xdr:cNvPr>
        <xdr:cNvSpPr/>
      </xdr:nvSpPr>
      <xdr:spPr>
        <a:xfrm>
          <a:off x="281940" y="601980"/>
          <a:ext cx="2689860" cy="541020"/>
        </a:xfrm>
        <a:prstGeom prst="snip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Click To</a:t>
          </a:r>
          <a:r>
            <a:rPr lang="en-IN" sz="1400" b="1" baseline="0"/>
            <a:t> check Presence of Sheet</a:t>
          </a:r>
          <a:endParaRPr lang="en-IN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68580</xdr:rowOff>
    </xdr:from>
    <xdr:to>
      <xdr:col>1</xdr:col>
      <xdr:colOff>922020</xdr:colOff>
      <xdr:row>0</xdr:row>
      <xdr:rowOff>472440</xdr:rowOff>
    </xdr:to>
    <xdr:sp macro="[0]!markup_sheet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C01712F5-B547-4820-AEB4-6043BDA04BCA}"/>
            </a:ext>
          </a:extLst>
        </xdr:cNvPr>
        <xdr:cNvSpPr/>
      </xdr:nvSpPr>
      <xdr:spPr>
        <a:xfrm>
          <a:off x="76200" y="68580"/>
          <a:ext cx="1684020" cy="403860"/>
        </a:xfrm>
        <a:prstGeom prst="round2Same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MarkUp Sheets</a:t>
          </a:r>
        </a:p>
      </xdr:txBody>
    </xdr:sp>
    <xdr:clientData/>
  </xdr:twoCellAnchor>
  <xdr:twoCellAnchor>
    <xdr:from>
      <xdr:col>2</xdr:col>
      <xdr:colOff>205740</xdr:colOff>
      <xdr:row>0</xdr:row>
      <xdr:rowOff>68580</xdr:rowOff>
    </xdr:from>
    <xdr:to>
      <xdr:col>4</xdr:col>
      <xdr:colOff>281940</xdr:colOff>
      <xdr:row>0</xdr:row>
      <xdr:rowOff>472440</xdr:rowOff>
    </xdr:to>
    <xdr:sp macro="[0]!master_sheet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6F87D84B-76D2-4249-8173-D9F6808BE696}"/>
            </a:ext>
          </a:extLst>
        </xdr:cNvPr>
        <xdr:cNvSpPr/>
      </xdr:nvSpPr>
      <xdr:spPr>
        <a:xfrm>
          <a:off x="1828800" y="68580"/>
          <a:ext cx="1546860" cy="403860"/>
        </a:xfrm>
        <a:prstGeom prst="round2Same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Master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1379220</xdr:colOff>
      <xdr:row>0</xdr:row>
      <xdr:rowOff>403860</xdr:rowOff>
    </xdr:to>
    <xdr:sp macro="[0]!calander.calander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DDC35E4E-0BEC-41EE-A914-582D0209A550}"/>
            </a:ext>
          </a:extLst>
        </xdr:cNvPr>
        <xdr:cNvSpPr/>
      </xdr:nvSpPr>
      <xdr:spPr>
        <a:xfrm>
          <a:off x="38100" y="38100"/>
          <a:ext cx="1341120" cy="365760"/>
        </a:xfrm>
        <a:prstGeom prst="round2Same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Pick DATE</a:t>
          </a:r>
        </a:p>
      </xdr:txBody>
    </xdr:sp>
    <xdr:clientData/>
  </xdr:twoCellAnchor>
  <xdr:twoCellAnchor>
    <xdr:from>
      <xdr:col>1</xdr:col>
      <xdr:colOff>441960</xdr:colOff>
      <xdr:row>0</xdr:row>
      <xdr:rowOff>243840</xdr:rowOff>
    </xdr:from>
    <xdr:to>
      <xdr:col>3</xdr:col>
      <xdr:colOff>419100</xdr:colOff>
      <xdr:row>1</xdr:row>
      <xdr:rowOff>228600</xdr:rowOff>
    </xdr:to>
    <xdr:sp macro="[0]!report_card_ganerate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371A6E07-BBA6-4456-ACD5-DEC2C372F8C8}"/>
            </a:ext>
          </a:extLst>
        </xdr:cNvPr>
        <xdr:cNvSpPr/>
      </xdr:nvSpPr>
      <xdr:spPr>
        <a:xfrm>
          <a:off x="1866900" y="243840"/>
          <a:ext cx="2316480" cy="403860"/>
        </a:xfrm>
        <a:prstGeom prst="round2Same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Report Card Ganerate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B918FF-E355-46BD-A425-84D95A991F37}" name="Table2" displayName="Table2" ref="A2:L17" totalsRowShown="0" headerRowDxfId="12" dataDxfId="15" headerRowBorderDxfId="16" tableBorderDxfId="14" totalsRowBorderDxfId="13">
  <autoFilter ref="A2:L17" xr:uid="{3FB918FF-E355-46BD-A425-84D95A991F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98D3CAD-42F3-455A-BA2B-30E606373F90}" name="Sch_Date" dataDxfId="11"/>
    <tableColumn id="2" xr3:uid="{0B586255-F558-47DD-8CF3-2D80F480647F}" name="Sch_ItemCode" dataDxfId="10"/>
    <tableColumn id="3" xr3:uid="{122AE706-CA89-4FA9-B09C-A6ABDDA91B92}" name="Sch_PlanQty" dataDxfId="9"/>
    <tableColumn id="4" xr3:uid="{4AD40204-6DFF-4961-97E9-0F6FC26F4A2B}" name="Sch_Actul Qty" dataDxfId="8"/>
    <tableColumn id="5" xr3:uid="{04455EE6-E880-4818-9A48-D385F0E466A8}" name="Sch_Start Time" dataDxfId="7"/>
    <tableColumn id="6" xr3:uid="{42FA9F53-3EA4-4C8A-8D9C-F9EA7946664C}" name="Sch_End Time" dataDxfId="6"/>
    <tableColumn id="43" xr3:uid="{4823B79C-2688-4207-B540-011A8F64EC35}" name="Finish Plan Duration (hr)" dataDxfId="0">
      <calculatedColumnFormula>E3+TIME(0,H3,0)</calculatedColumnFormula>
    </tableColumn>
    <tableColumn id="44" xr3:uid="{2E6E60AE-3A60-4275-8BC0-F8AEEC56793B}" name="Finish Plan Duration (Min)" dataDxfId="5"/>
    <tableColumn id="45" xr3:uid="{2219FDC6-84EA-4ACD-BDED-D37E94B55257}" name="Total Actual Working Time (hr)" dataDxfId="4"/>
    <tableColumn id="46" xr3:uid="{68A87223-A256-4EB6-B089-5FCA190F730C}" name="Total Actual Working Time (min)" dataDxfId="3"/>
    <tableColumn id="47" xr3:uid="{E8267E87-FE44-4CC2-BB8F-4923FF3D76ED}" name="Performance" dataDxfId="1"/>
    <tableColumn id="48" xr3:uid="{EDB06AE7-6877-4175-A8BA-F243539B011A}" name="Shift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2">
            <a:lumMod val="75000"/>
          </a:schemeClr>
        </a:solidFill>
      </a:spPr>
      <a:bodyPr vertOverflow="clip" horzOverflow="clip" rtlCol="0" anchor="ctr"/>
      <a:lstStyle>
        <a:defPPr algn="ctr">
          <a:defRPr sz="1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6107-0CDC-46DA-8DC3-448851B1E91F}">
  <sheetPr codeName="Sheet4"/>
  <dimension ref="B1:C11"/>
  <sheetViews>
    <sheetView showGridLines="0" workbookViewId="0">
      <selection activeCell="B8" sqref="B8"/>
    </sheetView>
  </sheetViews>
  <sheetFormatPr defaultRowHeight="14.4" x14ac:dyDescent="0.3"/>
  <cols>
    <col min="1" max="1" width="48.5546875" customWidth="1"/>
    <col min="2" max="2" width="25.77734375" customWidth="1"/>
    <col min="3" max="3" width="40.5546875" customWidth="1"/>
  </cols>
  <sheetData>
    <row r="1" spans="2:3" s="28" customFormat="1" ht="36.6" customHeight="1" x14ac:dyDescent="0.3">
      <c r="B1" s="43" t="s">
        <v>31</v>
      </c>
      <c r="C1" s="44" t="s">
        <v>37</v>
      </c>
    </row>
    <row r="2" spans="2:3" ht="40.049999999999997" customHeight="1" x14ac:dyDescent="0.3">
      <c r="B2" s="45" t="s">
        <v>33</v>
      </c>
      <c r="C2" s="46" t="s">
        <v>34</v>
      </c>
    </row>
    <row r="3" spans="2:3" ht="40.049999999999997" customHeight="1" x14ac:dyDescent="0.3">
      <c r="B3" s="45" t="s">
        <v>38</v>
      </c>
      <c r="C3" s="46" t="s">
        <v>35</v>
      </c>
    </row>
    <row r="4" spans="2:3" ht="40.049999999999997" customHeight="1" thickBot="1" x14ac:dyDescent="0.35">
      <c r="B4" s="47" t="s">
        <v>32</v>
      </c>
      <c r="C4" s="48" t="s">
        <v>36</v>
      </c>
    </row>
    <row r="5" spans="2:3" ht="40.049999999999997" customHeight="1" x14ac:dyDescent="0.3"/>
    <row r="6" spans="2:3" ht="40.049999999999997" customHeight="1" x14ac:dyDescent="0.3"/>
    <row r="7" spans="2:3" ht="40.049999999999997" customHeight="1" x14ac:dyDescent="0.3"/>
    <row r="8" spans="2:3" ht="40.049999999999997" customHeight="1" x14ac:dyDescent="0.3"/>
    <row r="9" spans="2:3" ht="40.049999999999997" customHeight="1" x14ac:dyDescent="0.3"/>
    <row r="10" spans="2:3" ht="40.049999999999997" customHeight="1" x14ac:dyDescent="0.3"/>
    <row r="11" spans="2:3" ht="40.049999999999997" customHeight="1" x14ac:dyDescent="0.3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2084C-D064-4690-9D53-E10ACD5F8E95}">
  <sheetPr codeName="Sheet1"/>
  <dimension ref="A1:L17"/>
  <sheetViews>
    <sheetView showGridLines="0" workbookViewId="0">
      <selection activeCell="A3" sqref="A3:A17"/>
    </sheetView>
  </sheetViews>
  <sheetFormatPr defaultRowHeight="14.4" x14ac:dyDescent="0.3"/>
  <cols>
    <col min="1" max="1" width="10.33203125" style="3" bestFit="1" customWidth="1"/>
    <col min="2" max="2" width="13.33203125" style="3" bestFit="1" customWidth="1"/>
    <col min="3" max="3" width="8.6640625" style="3" bestFit="1" customWidth="1"/>
    <col min="4" max="4" width="12.77734375" style="3" bestFit="1" customWidth="1"/>
    <col min="5" max="5" width="13.6640625" style="3" bestFit="1" customWidth="1"/>
    <col min="6" max="6" width="12.77734375" style="3" bestFit="1" customWidth="1"/>
    <col min="7" max="7" width="11.109375" style="3" bestFit="1" customWidth="1"/>
    <col min="8" max="8" width="12.5546875" style="3" bestFit="1" customWidth="1"/>
    <col min="9" max="10" width="12.33203125" style="3" bestFit="1" customWidth="1"/>
    <col min="11" max="11" width="11.109375" style="3" bestFit="1" customWidth="1"/>
    <col min="12" max="12" width="4.5546875" style="3" bestFit="1" customWidth="1"/>
    <col min="13" max="16384" width="8.88671875" style="3"/>
  </cols>
  <sheetData>
    <row r="1" spans="1:12" ht="43.2" customHeight="1" x14ac:dyDescent="0.3"/>
    <row r="2" spans="1:12" s="39" customFormat="1" ht="49.95" customHeight="1" x14ac:dyDescent="0.3">
      <c r="A2" s="32" t="s">
        <v>5</v>
      </c>
      <c r="B2" s="33" t="s">
        <v>6</v>
      </c>
      <c r="C2" s="34" t="s">
        <v>7</v>
      </c>
      <c r="D2" s="34" t="s">
        <v>27</v>
      </c>
      <c r="E2" s="34" t="s">
        <v>28</v>
      </c>
      <c r="F2" s="34" t="s">
        <v>29</v>
      </c>
      <c r="G2" s="38" t="s">
        <v>20</v>
      </c>
      <c r="H2" s="38" t="s">
        <v>19</v>
      </c>
      <c r="I2" s="38" t="s">
        <v>21</v>
      </c>
      <c r="J2" s="38" t="s">
        <v>22</v>
      </c>
      <c r="K2" s="38" t="s">
        <v>23</v>
      </c>
      <c r="L2" s="38" t="s">
        <v>0</v>
      </c>
    </row>
    <row r="3" spans="1:12" x14ac:dyDescent="0.3">
      <c r="A3" s="30">
        <v>44572</v>
      </c>
      <c r="B3" s="29" t="s">
        <v>3</v>
      </c>
      <c r="C3" s="29">
        <v>540</v>
      </c>
      <c r="D3" s="35">
        <v>550</v>
      </c>
      <c r="E3" s="31">
        <v>44572.439849537041</v>
      </c>
      <c r="F3" s="31">
        <v>44572.458692129629</v>
      </c>
      <c r="G3" s="31">
        <f t="shared" ref="G3:G17" si="0">E3+TIME(0,H3,0)</f>
        <v>44572.458599537043</v>
      </c>
      <c r="H3" s="40">
        <v>27</v>
      </c>
      <c r="I3" s="41">
        <v>1.8842592592592591E-2</v>
      </c>
      <c r="J3" s="42">
        <v>27.133333326783031</v>
      </c>
      <c r="K3" s="42">
        <v>99.508599532622043</v>
      </c>
      <c r="L3" s="31"/>
    </row>
    <row r="4" spans="1:12" x14ac:dyDescent="0.3">
      <c r="A4" s="30">
        <v>44572</v>
      </c>
      <c r="B4" s="29" t="s">
        <v>3</v>
      </c>
      <c r="C4" s="29">
        <v>540</v>
      </c>
      <c r="D4" s="29">
        <v>506</v>
      </c>
      <c r="E4" s="31">
        <v>44572.458923611113</v>
      </c>
      <c r="F4" s="31">
        <v>44572.524270833332</v>
      </c>
      <c r="G4" s="31">
        <f t="shared" si="0"/>
        <v>44572.477673611116</v>
      </c>
      <c r="H4" s="40">
        <v>27</v>
      </c>
      <c r="I4" s="41">
        <v>6.5347222222222223E-2</v>
      </c>
      <c r="J4" s="42">
        <v>94.099999994505197</v>
      </c>
      <c r="K4" s="42">
        <v>28.692879916659532</v>
      </c>
      <c r="L4" s="31"/>
    </row>
    <row r="5" spans="1:12" x14ac:dyDescent="0.3">
      <c r="A5" s="30">
        <v>44572</v>
      </c>
      <c r="B5" s="29" t="s">
        <v>3</v>
      </c>
      <c r="C5" s="29">
        <v>540</v>
      </c>
      <c r="D5" s="29">
        <v>550</v>
      </c>
      <c r="E5" s="31">
        <v>44572.524502314816</v>
      </c>
      <c r="F5" s="31">
        <v>44572.543356481481</v>
      </c>
      <c r="G5" s="31">
        <f t="shared" si="0"/>
        <v>44572.543252314819</v>
      </c>
      <c r="H5" s="40">
        <v>27</v>
      </c>
      <c r="I5" s="41">
        <v>1.8854166666666665E-2</v>
      </c>
      <c r="J5" s="42">
        <v>27.149999997345731</v>
      </c>
      <c r="K5" s="42">
        <v>99.447513821876996</v>
      </c>
      <c r="L5" s="31"/>
    </row>
    <row r="6" spans="1:12" x14ac:dyDescent="0.3">
      <c r="A6" s="30">
        <v>44572</v>
      </c>
      <c r="B6" s="29" t="s">
        <v>3</v>
      </c>
      <c r="C6" s="29">
        <v>540</v>
      </c>
      <c r="D6" s="29">
        <v>550</v>
      </c>
      <c r="E6" s="31">
        <v>44572.543599537035</v>
      </c>
      <c r="F6" s="31">
        <v>44572.562430555554</v>
      </c>
      <c r="G6" s="31">
        <f t="shared" si="0"/>
        <v>44572.562349537038</v>
      </c>
      <c r="H6" s="40">
        <v>27</v>
      </c>
      <c r="I6" s="41">
        <v>1.8831018518518518E-2</v>
      </c>
      <c r="J6" s="42">
        <v>27.116666666697711</v>
      </c>
      <c r="K6" s="42">
        <v>99.56976029490751</v>
      </c>
      <c r="L6" s="31"/>
    </row>
    <row r="7" spans="1:12" x14ac:dyDescent="0.3">
      <c r="A7" s="30">
        <v>44572</v>
      </c>
      <c r="B7" s="29" t="s">
        <v>3</v>
      </c>
      <c r="C7" s="29">
        <v>540</v>
      </c>
      <c r="D7" s="29">
        <v>550</v>
      </c>
      <c r="E7" s="31">
        <v>44572.562662037039</v>
      </c>
      <c r="F7" s="31">
        <v>44572.581504629627</v>
      </c>
      <c r="G7" s="31">
        <f t="shared" si="0"/>
        <v>44572.581412037041</v>
      </c>
      <c r="H7" s="40">
        <v>27</v>
      </c>
      <c r="I7" s="41">
        <v>1.8842592592592591E-2</v>
      </c>
      <c r="J7" s="42">
        <v>27.133333326783031</v>
      </c>
      <c r="K7" s="42">
        <v>99.508599532622043</v>
      </c>
      <c r="L7" s="31"/>
    </row>
    <row r="8" spans="1:12" x14ac:dyDescent="0.3">
      <c r="A8" s="30">
        <v>44572</v>
      </c>
      <c r="B8" s="29" t="s">
        <v>3</v>
      </c>
      <c r="C8" s="29">
        <v>540</v>
      </c>
      <c r="D8" s="29">
        <v>519</v>
      </c>
      <c r="E8" s="31">
        <v>44572.581736111111</v>
      </c>
      <c r="F8" s="31">
        <v>44572.599641203706</v>
      </c>
      <c r="G8" s="31">
        <f t="shared" si="0"/>
        <v>44572.600486111114</v>
      </c>
      <c r="H8" s="40">
        <v>27</v>
      </c>
      <c r="I8" s="41">
        <v>1.7905092592592594E-2</v>
      </c>
      <c r="J8" s="42">
        <v>25.783333336003125</v>
      </c>
      <c r="K8" s="42">
        <v>104.7188105903202</v>
      </c>
      <c r="L8" s="31"/>
    </row>
    <row r="9" spans="1:12" x14ac:dyDescent="0.3">
      <c r="A9" s="30">
        <v>44572</v>
      </c>
      <c r="B9" s="29" t="s">
        <v>2</v>
      </c>
      <c r="C9" s="29">
        <v>540</v>
      </c>
      <c r="D9" s="29">
        <v>550</v>
      </c>
      <c r="E9" s="31">
        <v>44572.599872685183</v>
      </c>
      <c r="F9" s="31">
        <v>44572.618657407409</v>
      </c>
      <c r="G9" s="31">
        <f t="shared" si="0"/>
        <v>44572.618622685186</v>
      </c>
      <c r="H9" s="40">
        <v>27</v>
      </c>
      <c r="I9" s="41">
        <v>1.8784722222222223E-2</v>
      </c>
      <c r="J9" s="42">
        <v>27.050000005401671</v>
      </c>
      <c r="K9" s="42">
        <v>99.815157096518732</v>
      </c>
      <c r="L9" s="31"/>
    </row>
    <row r="10" spans="1:12" x14ac:dyDescent="0.3">
      <c r="A10" s="30">
        <v>44572</v>
      </c>
      <c r="B10" s="29" t="s">
        <v>2</v>
      </c>
      <c r="C10" s="29">
        <v>540</v>
      </c>
      <c r="D10" s="29">
        <v>550</v>
      </c>
      <c r="E10" s="31">
        <v>44572.61891203704</v>
      </c>
      <c r="F10" s="31">
        <v>44572.637708333335</v>
      </c>
      <c r="G10" s="31">
        <f t="shared" si="0"/>
        <v>44572.637662037043</v>
      </c>
      <c r="H10" s="40">
        <v>27</v>
      </c>
      <c r="I10" s="41">
        <v>1.8796296296296297E-2</v>
      </c>
      <c r="J10" s="42">
        <v>27.066666665486991</v>
      </c>
      <c r="K10" s="42">
        <v>99.753694585628466</v>
      </c>
      <c r="L10" s="31"/>
    </row>
    <row r="11" spans="1:12" x14ac:dyDescent="0.3">
      <c r="A11" s="30">
        <v>44572</v>
      </c>
      <c r="B11" s="29" t="s">
        <v>2</v>
      </c>
      <c r="C11" s="29">
        <v>540</v>
      </c>
      <c r="D11" s="29">
        <v>348</v>
      </c>
      <c r="E11" s="31">
        <v>44572.637939814813</v>
      </c>
      <c r="F11" s="31">
        <v>44572.671944444446</v>
      </c>
      <c r="G11" s="31">
        <f t="shared" si="0"/>
        <v>44572.656689814816</v>
      </c>
      <c r="H11" s="40">
        <v>27</v>
      </c>
      <c r="I11" s="41">
        <v>3.4004629629629628E-2</v>
      </c>
      <c r="J11" s="42">
        <v>48.966666671913117</v>
      </c>
      <c r="K11" s="42">
        <v>55.139550708864114</v>
      </c>
      <c r="L11" s="31"/>
    </row>
    <row r="12" spans="1:12" x14ac:dyDescent="0.3">
      <c r="A12" s="30">
        <v>44572</v>
      </c>
      <c r="B12" s="29" t="s">
        <v>1</v>
      </c>
      <c r="C12" s="29">
        <v>270</v>
      </c>
      <c r="D12" s="29">
        <v>270</v>
      </c>
      <c r="E12" s="31">
        <v>44572.672199074077</v>
      </c>
      <c r="F12" s="31">
        <v>44572.681076388886</v>
      </c>
      <c r="G12" s="31">
        <f t="shared" si="0"/>
        <v>44572.681226851855</v>
      </c>
      <c r="H12" s="40">
        <v>13.5</v>
      </c>
      <c r="I12" s="41">
        <v>8.8773148148148153E-3</v>
      </c>
      <c r="J12" s="42">
        <v>12.783333325060084</v>
      </c>
      <c r="K12" s="42">
        <v>105.60625821697838</v>
      </c>
      <c r="L12" s="31"/>
    </row>
    <row r="13" spans="1:12" x14ac:dyDescent="0.3">
      <c r="A13" s="30">
        <v>44572</v>
      </c>
      <c r="B13" s="29" t="s">
        <v>1</v>
      </c>
      <c r="C13" s="29">
        <v>270</v>
      </c>
      <c r="D13" s="29">
        <v>298</v>
      </c>
      <c r="E13" s="31">
        <v>44572.681307870371</v>
      </c>
      <c r="F13" s="31">
        <v>44572.701469907406</v>
      </c>
      <c r="G13" s="31">
        <f t="shared" si="0"/>
        <v>44572.690335648149</v>
      </c>
      <c r="H13" s="40">
        <v>13.5</v>
      </c>
      <c r="I13" s="41">
        <v>2.0162037037037037E-2</v>
      </c>
      <c r="J13" s="42">
        <v>29.033333330880851</v>
      </c>
      <c r="K13" s="42">
        <v>46.498277845489191</v>
      </c>
      <c r="L13" s="31"/>
    </row>
    <row r="14" spans="1:12" x14ac:dyDescent="0.3">
      <c r="A14" s="30">
        <v>44572</v>
      </c>
      <c r="B14" s="29" t="s">
        <v>2</v>
      </c>
      <c r="C14" s="29">
        <v>540</v>
      </c>
      <c r="D14" s="29">
        <v>550</v>
      </c>
      <c r="E14" s="31">
        <v>44572.701701388891</v>
      </c>
      <c r="F14" s="31">
        <v>44572.720532407409</v>
      </c>
      <c r="G14" s="31">
        <f t="shared" si="0"/>
        <v>44572.720451388894</v>
      </c>
      <c r="H14" s="40">
        <v>27</v>
      </c>
      <c r="I14" s="41">
        <v>1.8831018518518518E-2</v>
      </c>
      <c r="J14" s="42">
        <v>27.116666666697711</v>
      </c>
      <c r="K14" s="42">
        <v>99.56976029490751</v>
      </c>
      <c r="L14" s="31"/>
    </row>
    <row r="15" spans="1:12" x14ac:dyDescent="0.3">
      <c r="A15" s="30">
        <v>44572</v>
      </c>
      <c r="B15" s="29" t="s">
        <v>2</v>
      </c>
      <c r="C15" s="29">
        <v>540</v>
      </c>
      <c r="D15" s="29">
        <v>550</v>
      </c>
      <c r="E15" s="31">
        <v>44572.720763888887</v>
      </c>
      <c r="F15" s="31">
        <v>44572.739594907405</v>
      </c>
      <c r="G15" s="31">
        <f t="shared" si="0"/>
        <v>44572.73951388889</v>
      </c>
      <c r="H15" s="40">
        <v>27</v>
      </c>
      <c r="I15" s="41">
        <v>1.8831018518518518E-2</v>
      </c>
      <c r="J15" s="42">
        <v>27.116666666697711</v>
      </c>
      <c r="K15" s="42">
        <v>99.56976029490751</v>
      </c>
      <c r="L15" s="31"/>
    </row>
    <row r="16" spans="1:12" x14ac:dyDescent="0.3">
      <c r="A16" s="30">
        <v>44572</v>
      </c>
      <c r="B16" s="29" t="s">
        <v>2</v>
      </c>
      <c r="C16" s="29">
        <v>540</v>
      </c>
      <c r="D16" s="29">
        <v>550</v>
      </c>
      <c r="E16" s="31">
        <v>44572.739837962959</v>
      </c>
      <c r="F16" s="31">
        <v>44572.758680555555</v>
      </c>
      <c r="G16" s="31">
        <f t="shared" si="0"/>
        <v>44572.758587962962</v>
      </c>
      <c r="H16" s="40">
        <v>27</v>
      </c>
      <c r="I16" s="41">
        <v>1.8842592592592591E-2</v>
      </c>
      <c r="J16" s="42">
        <v>27.13333333726041</v>
      </c>
      <c r="K16" s="42">
        <v>99.508599494197369</v>
      </c>
      <c r="L16" s="31"/>
    </row>
    <row r="17" spans="1:12" x14ac:dyDescent="0.3">
      <c r="A17" s="30">
        <v>44572</v>
      </c>
      <c r="B17" s="29" t="s">
        <v>2</v>
      </c>
      <c r="C17" s="29">
        <v>540</v>
      </c>
      <c r="D17" s="29">
        <v>541</v>
      </c>
      <c r="E17" s="31">
        <v>44572.758912037039</v>
      </c>
      <c r="F17" s="31">
        <v>44572.778136574074</v>
      </c>
      <c r="G17" s="31">
        <f t="shared" si="0"/>
        <v>44572.777662037042</v>
      </c>
      <c r="H17" s="40">
        <v>27</v>
      </c>
      <c r="I17" s="41">
        <v>1.9224537037037037E-2</v>
      </c>
      <c r="J17" s="42">
        <v>27.683333329623565</v>
      </c>
      <c r="K17" s="42">
        <v>97.531607478452244</v>
      </c>
      <c r="L17" s="3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7E457-8CBB-485F-95BE-594488B64445}">
  <sheetPr codeName="Sheet3"/>
  <dimension ref="A1:J19"/>
  <sheetViews>
    <sheetView showGridLines="0" tabSelected="1" workbookViewId="0">
      <selection activeCell="E15" sqref="E15"/>
    </sheetView>
  </sheetViews>
  <sheetFormatPr defaultRowHeight="14.4" x14ac:dyDescent="0.3"/>
  <cols>
    <col min="1" max="1" width="20.77734375" customWidth="1"/>
    <col min="2" max="2" width="19.77734375" style="1" bestFit="1" customWidth="1"/>
    <col min="3" max="3" width="14.33203125" bestFit="1" customWidth="1"/>
    <col min="4" max="4" width="13.33203125" bestFit="1" customWidth="1"/>
    <col min="5" max="5" width="16.109375" bestFit="1" customWidth="1"/>
    <col min="6" max="6" width="14.44140625" style="53" bestFit="1" customWidth="1"/>
    <col min="7" max="7" width="11.6640625" style="53" customWidth="1"/>
    <col min="8" max="8" width="13" style="53" customWidth="1"/>
    <col min="9" max="9" width="15.109375" style="53" customWidth="1"/>
    <col min="10" max="10" width="11" style="53" customWidth="1"/>
  </cols>
  <sheetData>
    <row r="1" spans="1:10" ht="33" customHeight="1" thickBot="1" x14ac:dyDescent="0.35">
      <c r="A1" s="36" t="s">
        <v>24</v>
      </c>
    </row>
    <row r="2" spans="1:10" s="28" customFormat="1" ht="33" customHeight="1" thickBot="1" x14ac:dyDescent="0.35">
      <c r="A2" s="37">
        <v>44572</v>
      </c>
      <c r="B2" s="1"/>
      <c r="F2" s="53"/>
      <c r="G2" s="53"/>
      <c r="H2" s="53"/>
      <c r="I2" s="53"/>
      <c r="J2" s="53"/>
    </row>
    <row r="3" spans="1:10" s="28" customFormat="1" ht="33" customHeight="1" x14ac:dyDescent="0.3">
      <c r="A3" s="72">
        <v>11</v>
      </c>
      <c r="B3" s="1"/>
      <c r="F3" s="53"/>
      <c r="G3" s="53"/>
      <c r="H3" s="53"/>
      <c r="I3" s="53"/>
      <c r="J3" s="53"/>
    </row>
    <row r="4" spans="1:10" ht="49.95" customHeight="1" x14ac:dyDescent="0.3">
      <c r="A4" s="49" t="s">
        <v>25</v>
      </c>
      <c r="B4" s="51" t="s">
        <v>30</v>
      </c>
      <c r="C4" s="49" t="s">
        <v>39</v>
      </c>
      <c r="D4" s="49" t="s">
        <v>40</v>
      </c>
      <c r="E4" s="49" t="s">
        <v>41</v>
      </c>
      <c r="F4" s="54" t="s">
        <v>26</v>
      </c>
      <c r="G4" s="54" t="s">
        <v>44</v>
      </c>
      <c r="H4" s="54" t="s">
        <v>18</v>
      </c>
      <c r="I4" s="54" t="s">
        <v>42</v>
      </c>
      <c r="J4" s="54" t="s">
        <v>43</v>
      </c>
    </row>
    <row r="5" spans="1:10" ht="19.95" customHeight="1" x14ac:dyDescent="0.3">
      <c r="A5" s="50" t="s">
        <v>3</v>
      </c>
      <c r="B5" s="52" t="e">
        <f>SUMIFS(Master!#REF!,Master!A:A,Report_Card!$A$2,Master!B:B,Report_Card!$A5)</f>
        <v>#REF!</v>
      </c>
      <c r="C5" s="50" t="e">
        <f>SUMIFS(Master!#REF!,Master!A:A,Report_Card!$A$2,Master!B:B,Report_Card!$A5)</f>
        <v>#REF!</v>
      </c>
      <c r="D5" s="50">
        <f>SUMIFS(Master!C:C,Master!A:A,Report_Card!$A$2,Master!B:B,Report_Card!$A5)</f>
        <v>3240</v>
      </c>
      <c r="E5" s="50">
        <f>SUMIFS(Master!D:D,Master!A:A,Report_Card!$A$2,Master!B:B,Report_Card!$A5)</f>
        <v>3225</v>
      </c>
      <c r="F5" s="55" t="e">
        <f>C5/B5</f>
        <v>#REF!</v>
      </c>
      <c r="G5" s="55" t="e">
        <f>AVERAGE(F:F)</f>
        <v>#REF!</v>
      </c>
      <c r="H5" s="55">
        <f>E5/D5</f>
        <v>0.99537037037037035</v>
      </c>
      <c r="I5" s="55">
        <f>AVERAGE(H:H)</f>
        <v>1.0033068783068784</v>
      </c>
      <c r="J5" s="55" t="e">
        <f>AVERAGE(I:I,G:G)</f>
        <v>#REF!</v>
      </c>
    </row>
    <row r="6" spans="1:10" ht="19.95" customHeight="1" x14ac:dyDescent="0.3">
      <c r="A6" s="50" t="s">
        <v>2</v>
      </c>
      <c r="B6" s="52" t="e">
        <f>SUMIFS(Master!#REF!,Master!A:A,Report_Card!$A$2,Master!B:B,Report_Card!$A6)</f>
        <v>#REF!</v>
      </c>
      <c r="C6" s="50" t="e">
        <f>SUMIFS(Master!#REF!,Master!A:A,Report_Card!$A$2,Master!B:B,Report_Card!$A6)</f>
        <v>#REF!</v>
      </c>
      <c r="D6" s="50">
        <f>SUMIFS(Master!C:C,Master!A:A,Report_Card!$A$2,Master!B:B,Report_Card!$A6)</f>
        <v>3780</v>
      </c>
      <c r="E6" s="50">
        <f>SUMIFS(Master!D:D,Master!A:A,Report_Card!$A$2,Master!B:B,Report_Card!$A6)</f>
        <v>3639</v>
      </c>
      <c r="F6" s="55" t="e">
        <f t="shared" ref="F6:F7" si="0">C6/B6</f>
        <v>#REF!</v>
      </c>
      <c r="G6" s="55"/>
      <c r="H6" s="55">
        <f t="shared" ref="H6:H7" si="1">E6/D6</f>
        <v>0.96269841269841272</v>
      </c>
      <c r="I6" s="55"/>
      <c r="J6" s="55"/>
    </row>
    <row r="7" spans="1:10" ht="19.95" customHeight="1" x14ac:dyDescent="0.3">
      <c r="A7" s="50" t="s">
        <v>1</v>
      </c>
      <c r="B7" s="52" t="e">
        <f>SUMIFS(Master!#REF!,Master!A:A,Report_Card!$A$2,Master!B:B,Report_Card!$A7)</f>
        <v>#REF!</v>
      </c>
      <c r="C7" s="50" t="e">
        <f>SUMIFS(Master!#REF!,Master!A:A,Report_Card!$A$2,Master!B:B,Report_Card!$A7)</f>
        <v>#REF!</v>
      </c>
      <c r="D7" s="50">
        <f>SUMIFS(Master!C:C,Master!A:A,Report_Card!$A$2,Master!B:B,Report_Card!$A7)</f>
        <v>540</v>
      </c>
      <c r="E7" s="50">
        <f>SUMIFS(Master!D:D,Master!A:A,Report_Card!$A$2,Master!B:B,Report_Card!$A7)</f>
        <v>568</v>
      </c>
      <c r="F7" s="55" t="e">
        <f t="shared" si="0"/>
        <v>#REF!</v>
      </c>
      <c r="G7" s="55"/>
      <c r="H7" s="55">
        <f t="shared" si="1"/>
        <v>1.0518518518518518</v>
      </c>
      <c r="I7" s="55"/>
      <c r="J7" s="55"/>
    </row>
    <row r="8" spans="1:10" x14ac:dyDescent="0.3">
      <c r="F8" s="56"/>
      <c r="G8" s="56"/>
      <c r="H8" s="56"/>
      <c r="I8" s="56"/>
      <c r="J8" s="56"/>
    </row>
    <row r="9" spans="1:10" x14ac:dyDescent="0.3">
      <c r="F9" s="56"/>
      <c r="G9" s="56"/>
      <c r="H9" s="56"/>
      <c r="I9" s="56"/>
      <c r="J9" s="56"/>
    </row>
    <row r="10" spans="1:10" x14ac:dyDescent="0.3">
      <c r="F10" s="56"/>
      <c r="G10" s="56"/>
      <c r="H10" s="56"/>
      <c r="I10" s="56"/>
      <c r="J10" s="56"/>
    </row>
    <row r="11" spans="1:10" x14ac:dyDescent="0.3">
      <c r="F11" s="56"/>
      <c r="G11" s="56"/>
      <c r="H11" s="56"/>
      <c r="I11" s="56"/>
      <c r="J11" s="56"/>
    </row>
    <row r="12" spans="1:10" x14ac:dyDescent="0.3">
      <c r="F12" s="56"/>
      <c r="G12" s="56"/>
      <c r="H12" s="56"/>
      <c r="I12" s="56"/>
      <c r="J12" s="56"/>
    </row>
    <row r="13" spans="1:10" x14ac:dyDescent="0.3">
      <c r="F13" s="56"/>
      <c r="G13" s="56"/>
      <c r="H13" s="56"/>
      <c r="I13" s="56"/>
      <c r="J13" s="56"/>
    </row>
    <row r="14" spans="1:10" x14ac:dyDescent="0.3">
      <c r="F14" s="56"/>
      <c r="G14" s="56"/>
      <c r="H14" s="56"/>
      <c r="I14" s="56"/>
      <c r="J14" s="56"/>
    </row>
    <row r="15" spans="1:10" x14ac:dyDescent="0.3">
      <c r="F15" s="56"/>
      <c r="G15" s="56"/>
      <c r="H15" s="56"/>
      <c r="I15" s="56"/>
      <c r="J15" s="56"/>
    </row>
    <row r="16" spans="1:10" x14ac:dyDescent="0.3">
      <c r="F16" s="56"/>
      <c r="G16" s="56"/>
      <c r="H16" s="56"/>
      <c r="I16" s="56"/>
      <c r="J16" s="56"/>
    </row>
    <row r="17" spans="6:10" x14ac:dyDescent="0.3">
      <c r="F17" s="56"/>
      <c r="G17" s="56"/>
      <c r="H17" s="56"/>
      <c r="I17" s="56"/>
      <c r="J17" s="56"/>
    </row>
    <row r="18" spans="6:10" x14ac:dyDescent="0.3">
      <c r="F18" s="56"/>
      <c r="G18" s="56"/>
      <c r="H18" s="56"/>
      <c r="I18" s="56"/>
      <c r="J18" s="56"/>
    </row>
    <row r="19" spans="6:10" x14ac:dyDescent="0.3">
      <c r="F19" s="56"/>
      <c r="G19" s="56"/>
      <c r="H19" s="56"/>
      <c r="I19" s="56"/>
      <c r="J19" s="56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161"/>
  <sheetViews>
    <sheetView view="pageBreakPreview" zoomScaleNormal="100" zoomScaleSheetLayoutView="100" workbookViewId="0">
      <pane xSplit="1" ySplit="1" topLeftCell="B2" activePane="bottomRight" state="frozen"/>
      <selection activeCell="N4" sqref="N4"/>
      <selection pane="topRight" activeCell="N4" sqref="N4"/>
      <selection pane="bottomLeft" activeCell="N4" sqref="N4"/>
      <selection pane="bottomRight" activeCell="F34" sqref="F34"/>
    </sheetView>
  </sheetViews>
  <sheetFormatPr defaultRowHeight="14.4" x14ac:dyDescent="0.3"/>
  <cols>
    <col min="1" max="2" width="13" bestFit="1" customWidth="1"/>
    <col min="3" max="3" width="11.5546875" bestFit="1" customWidth="1"/>
    <col min="4" max="4" width="12.6640625" bestFit="1" customWidth="1"/>
    <col min="5" max="5" width="16" bestFit="1" customWidth="1"/>
    <col min="6" max="6" width="9.33203125" bestFit="1" customWidth="1"/>
    <col min="7" max="7" width="9" bestFit="1" customWidth="1"/>
    <col min="8" max="8" width="14.109375" bestFit="1" customWidth="1"/>
    <col min="9" max="9" width="7.6640625" bestFit="1" customWidth="1"/>
    <col min="10" max="10" width="9.109375" style="2" bestFit="1" customWidth="1"/>
    <col min="11" max="12" width="14.33203125" bestFit="1" customWidth="1"/>
  </cols>
  <sheetData>
    <row r="1" spans="1:11" ht="97.2" thickBot="1" x14ac:dyDescent="0.3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23" t="s">
        <v>18</v>
      </c>
      <c r="J1" s="4" t="s">
        <v>16</v>
      </c>
      <c r="K1" s="4" t="s">
        <v>17</v>
      </c>
    </row>
    <row r="2" spans="1:11" ht="15.6" x14ac:dyDescent="0.3">
      <c r="A2" s="57">
        <v>44564</v>
      </c>
      <c r="B2" s="5" t="s">
        <v>1</v>
      </c>
      <c r="C2" s="8">
        <v>54</v>
      </c>
      <c r="D2" s="9">
        <v>148.83333331905305</v>
      </c>
      <c r="E2" s="10">
        <v>1080</v>
      </c>
      <c r="F2" s="11">
        <v>1117</v>
      </c>
      <c r="G2" s="19">
        <f>IF(D2="","",IF(D2=0,"0",C2/D2))</f>
        <v>0.36282194852305399</v>
      </c>
      <c r="H2" s="60">
        <f>AVERAGE(G2:G5)</f>
        <v>0.852685915659119</v>
      </c>
      <c r="I2" s="24">
        <f>IF(F2="","0",F2/E2)</f>
        <v>1.0342592592592592</v>
      </c>
      <c r="J2" s="66">
        <f>AVERAGE(I2:I4)</f>
        <v>1.0110493827160492</v>
      </c>
      <c r="K2" s="69">
        <f>AVERAGE(J2,H2)</f>
        <v>0.93186764918758414</v>
      </c>
    </row>
    <row r="3" spans="1:11" ht="15.6" x14ac:dyDescent="0.3">
      <c r="A3" s="58"/>
      <c r="B3" s="6" t="s">
        <v>3</v>
      </c>
      <c r="C3" s="12">
        <v>135</v>
      </c>
      <c r="D3" s="13">
        <v>100.85000000079162</v>
      </c>
      <c r="E3" s="14">
        <v>2700</v>
      </c>
      <c r="F3" s="15">
        <v>2677</v>
      </c>
      <c r="G3" s="18">
        <f>IF(D3="","",IF(D3=0,"0",C3/D3))</f>
        <v>1.3386217154084314</v>
      </c>
      <c r="H3" s="61"/>
      <c r="I3" s="25">
        <f t="shared" ref="I3:I64" si="0">IF(F3="","0",F3/E3)</f>
        <v>0.99148148148148152</v>
      </c>
      <c r="J3" s="67"/>
      <c r="K3" s="70"/>
    </row>
    <row r="4" spans="1:11" ht="15.6" x14ac:dyDescent="0.3">
      <c r="A4" s="58"/>
      <c r="B4" s="6" t="s">
        <v>2</v>
      </c>
      <c r="C4" s="12">
        <v>162</v>
      </c>
      <c r="D4" s="13">
        <v>189.11666666041128</v>
      </c>
      <c r="E4" s="14">
        <v>3240</v>
      </c>
      <c r="F4" s="15">
        <v>3264</v>
      </c>
      <c r="G4" s="18">
        <f>IF(D4="","",IF(D4=0,"0",C4/D4))</f>
        <v>0.85661408304587172</v>
      </c>
      <c r="H4" s="61"/>
      <c r="I4" s="25">
        <f t="shared" si="0"/>
        <v>1.0074074074074073</v>
      </c>
      <c r="J4" s="67"/>
      <c r="K4" s="70"/>
    </row>
    <row r="5" spans="1:11" ht="16.2" thickBot="1" x14ac:dyDescent="0.35">
      <c r="A5" s="59"/>
      <c r="B5" s="7" t="s">
        <v>4</v>
      </c>
      <c r="C5" s="16"/>
      <c r="D5" s="17"/>
      <c r="E5" s="21"/>
      <c r="F5" s="22"/>
      <c r="G5" s="18" t="str">
        <f>IF(D5="","",IF(D5=0,"0",C5/D5))</f>
        <v/>
      </c>
      <c r="H5" s="62"/>
      <c r="I5" s="26" t="str">
        <f t="shared" si="0"/>
        <v>0</v>
      </c>
      <c r="J5" s="68"/>
      <c r="K5" s="71"/>
    </row>
    <row r="6" spans="1:11" ht="15.6" x14ac:dyDescent="0.3">
      <c r="A6" s="57">
        <v>44565</v>
      </c>
      <c r="B6" s="5" t="s">
        <v>1</v>
      </c>
      <c r="C6" s="8">
        <v>54</v>
      </c>
      <c r="D6" s="9">
        <v>131.33333332487382</v>
      </c>
      <c r="E6" s="10">
        <v>1080</v>
      </c>
      <c r="F6" s="11">
        <v>1110</v>
      </c>
      <c r="G6" s="19">
        <f t="shared" ref="G6:G69" si="1">IF(D6="","",IF(D6=0,"0",C6/D6))</f>
        <v>0.41116751271683966</v>
      </c>
      <c r="H6" s="60">
        <f>AVERAGE(G6:G9)</f>
        <v>0.79748541370933701</v>
      </c>
      <c r="I6" s="24">
        <f t="shared" si="0"/>
        <v>1.0277777777777777</v>
      </c>
      <c r="J6" s="63">
        <f>AVERAGE(I6:I8)</f>
        <v>1.0050925925925926</v>
      </c>
      <c r="K6" s="69">
        <f>AVERAGE(J6,H6)</f>
        <v>0.90128900315096483</v>
      </c>
    </row>
    <row r="7" spans="1:11" ht="15.6" x14ac:dyDescent="0.3">
      <c r="A7" s="58"/>
      <c r="B7" s="6" t="s">
        <v>3</v>
      </c>
      <c r="C7" s="12">
        <v>55</v>
      </c>
      <c r="D7" s="13">
        <v>57.716666674241424</v>
      </c>
      <c r="E7" s="14">
        <v>1100</v>
      </c>
      <c r="F7" s="15">
        <v>1105</v>
      </c>
      <c r="G7" s="18">
        <f t="shared" si="1"/>
        <v>0.9529309845702878</v>
      </c>
      <c r="H7" s="61"/>
      <c r="I7" s="25">
        <f t="shared" si="0"/>
        <v>1.0045454545454546</v>
      </c>
      <c r="J7" s="64"/>
      <c r="K7" s="70"/>
    </row>
    <row r="8" spans="1:11" ht="15.6" x14ac:dyDescent="0.3">
      <c r="A8" s="58"/>
      <c r="B8" s="6" t="s">
        <v>2</v>
      </c>
      <c r="C8" s="12">
        <v>220</v>
      </c>
      <c r="D8" s="13">
        <v>213.93333333428018</v>
      </c>
      <c r="E8" s="14">
        <v>4400</v>
      </c>
      <c r="F8" s="15">
        <v>4325</v>
      </c>
      <c r="G8" s="18">
        <f t="shared" si="1"/>
        <v>1.0283577438408833</v>
      </c>
      <c r="H8" s="61"/>
      <c r="I8" s="25">
        <f t="shared" si="0"/>
        <v>0.98295454545454541</v>
      </c>
      <c r="J8" s="64"/>
      <c r="K8" s="70"/>
    </row>
    <row r="9" spans="1:11" ht="16.2" thickBot="1" x14ac:dyDescent="0.35">
      <c r="A9" s="59"/>
      <c r="B9" s="7" t="s">
        <v>4</v>
      </c>
      <c r="C9" s="16"/>
      <c r="D9" s="17"/>
      <c r="E9" s="21"/>
      <c r="F9" s="22"/>
      <c r="G9" s="20" t="str">
        <f t="shared" si="1"/>
        <v/>
      </c>
      <c r="H9" s="62"/>
      <c r="I9" s="26" t="str">
        <f t="shared" si="0"/>
        <v>0</v>
      </c>
      <c r="J9" s="65"/>
      <c r="K9" s="71"/>
    </row>
    <row r="10" spans="1:11" ht="15.6" x14ac:dyDescent="0.3">
      <c r="A10" s="57">
        <v>44566</v>
      </c>
      <c r="B10" s="5" t="s">
        <v>1</v>
      </c>
      <c r="C10" s="8">
        <v>27</v>
      </c>
      <c r="D10" s="9">
        <v>49.783333340892568</v>
      </c>
      <c r="E10" s="10">
        <v>540</v>
      </c>
      <c r="F10" s="11">
        <v>568</v>
      </c>
      <c r="G10" s="19">
        <f t="shared" si="1"/>
        <v>0.54235018404888347</v>
      </c>
      <c r="H10" s="60">
        <f>AVERAGE(G10:G13)</f>
        <v>0.71054179549689689</v>
      </c>
      <c r="I10" s="24">
        <f t="shared" si="0"/>
        <v>1.0518518518518518</v>
      </c>
      <c r="J10" s="63">
        <f>AVERAGE(I10:I12)</f>
        <v>1.0188271604938273</v>
      </c>
      <c r="K10" s="69">
        <f>AVERAGE(J10,H10)</f>
        <v>0.86468447799536208</v>
      </c>
    </row>
    <row r="11" spans="1:11" ht="15.6" x14ac:dyDescent="0.3">
      <c r="A11" s="58"/>
      <c r="B11" s="6" t="s">
        <v>3</v>
      </c>
      <c r="C11" s="12">
        <v>108</v>
      </c>
      <c r="D11" s="13">
        <v>183.30000000656582</v>
      </c>
      <c r="E11" s="14">
        <v>2160</v>
      </c>
      <c r="F11" s="15">
        <v>2162</v>
      </c>
      <c r="G11" s="18">
        <f t="shared" si="1"/>
        <v>0.58919803598544152</v>
      </c>
      <c r="H11" s="61"/>
      <c r="I11" s="25">
        <f t="shared" si="0"/>
        <v>1.000925925925926</v>
      </c>
      <c r="J11" s="64"/>
      <c r="K11" s="70"/>
    </row>
    <row r="12" spans="1:11" ht="15.6" x14ac:dyDescent="0.3">
      <c r="A12" s="58"/>
      <c r="B12" s="6" t="s">
        <v>2</v>
      </c>
      <c r="C12" s="12">
        <v>216</v>
      </c>
      <c r="D12" s="13">
        <v>215.98333333153278</v>
      </c>
      <c r="E12" s="14">
        <v>4320</v>
      </c>
      <c r="F12" s="15">
        <v>4336</v>
      </c>
      <c r="G12" s="18">
        <f t="shared" si="1"/>
        <v>1.0000771664563657</v>
      </c>
      <c r="H12" s="61"/>
      <c r="I12" s="25">
        <f t="shared" si="0"/>
        <v>1.0037037037037038</v>
      </c>
      <c r="J12" s="64"/>
      <c r="K12" s="70"/>
    </row>
    <row r="13" spans="1:11" ht="16.2" thickBot="1" x14ac:dyDescent="0.35">
      <c r="A13" s="59"/>
      <c r="B13" s="7" t="s">
        <v>4</v>
      </c>
      <c r="C13" s="16"/>
      <c r="D13" s="17"/>
      <c r="E13" s="21"/>
      <c r="F13" s="22"/>
      <c r="G13" s="20" t="str">
        <f t="shared" si="1"/>
        <v/>
      </c>
      <c r="H13" s="62"/>
      <c r="I13" s="26" t="str">
        <f t="shared" si="0"/>
        <v>0</v>
      </c>
      <c r="J13" s="65"/>
      <c r="K13" s="71"/>
    </row>
    <row r="14" spans="1:11" ht="15.6" x14ac:dyDescent="0.3">
      <c r="A14" s="57">
        <v>44567</v>
      </c>
      <c r="B14" s="5" t="s">
        <v>1</v>
      </c>
      <c r="C14" s="8">
        <v>27</v>
      </c>
      <c r="D14" s="9">
        <v>96.55000000144355</v>
      </c>
      <c r="E14" s="10">
        <v>540</v>
      </c>
      <c r="F14" s="11">
        <v>531</v>
      </c>
      <c r="G14" s="19">
        <f t="shared" si="1"/>
        <v>0.27964785085029842</v>
      </c>
      <c r="H14" s="60">
        <f>AVERAGE(G14:G17)</f>
        <v>0.60377004463632811</v>
      </c>
      <c r="I14" s="24">
        <f t="shared" si="0"/>
        <v>0.98333333333333328</v>
      </c>
      <c r="J14" s="63">
        <f>AVERAGE(I14:I16)</f>
        <v>0.99593621399176957</v>
      </c>
      <c r="K14" s="69">
        <f>AVERAGE(J14,H14)</f>
        <v>0.79985312931404884</v>
      </c>
    </row>
    <row r="15" spans="1:11" ht="15.6" x14ac:dyDescent="0.3">
      <c r="A15" s="58"/>
      <c r="B15" s="6" t="s">
        <v>3</v>
      </c>
      <c r="C15" s="12">
        <v>108</v>
      </c>
      <c r="D15" s="13">
        <v>107.36666667158715</v>
      </c>
      <c r="E15" s="14">
        <v>2160</v>
      </c>
      <c r="F15" s="15">
        <v>2171</v>
      </c>
      <c r="G15" s="18">
        <f t="shared" si="1"/>
        <v>1.0058987891498028</v>
      </c>
      <c r="H15" s="61"/>
      <c r="I15" s="25">
        <f t="shared" si="0"/>
        <v>1.0050925925925926</v>
      </c>
      <c r="J15" s="64"/>
      <c r="K15" s="70"/>
    </row>
    <row r="16" spans="1:11" ht="15.6" x14ac:dyDescent="0.3">
      <c r="A16" s="58"/>
      <c r="B16" s="6" t="s">
        <v>2</v>
      </c>
      <c r="C16" s="12">
        <v>324</v>
      </c>
      <c r="D16" s="13">
        <v>328.3500000089407</v>
      </c>
      <c r="E16" s="14">
        <v>6480</v>
      </c>
      <c r="F16" s="15">
        <v>6476</v>
      </c>
      <c r="G16" s="18">
        <f t="shared" si="1"/>
        <v>0.98675194149894241</v>
      </c>
      <c r="H16" s="61"/>
      <c r="I16" s="25">
        <f t="shared" si="0"/>
        <v>0.99938271604938267</v>
      </c>
      <c r="J16" s="64"/>
      <c r="K16" s="70"/>
    </row>
    <row r="17" spans="1:11" ht="16.2" thickBot="1" x14ac:dyDescent="0.35">
      <c r="A17" s="59"/>
      <c r="B17" s="7" t="s">
        <v>4</v>
      </c>
      <c r="C17" s="16">
        <v>13.5</v>
      </c>
      <c r="D17" s="17">
        <v>94.549999994924292</v>
      </c>
      <c r="E17" s="21">
        <v>270</v>
      </c>
      <c r="F17" s="22">
        <v>266</v>
      </c>
      <c r="G17" s="20">
        <f t="shared" si="1"/>
        <v>0.14278159704626883</v>
      </c>
      <c r="H17" s="62"/>
      <c r="I17" s="26">
        <f t="shared" si="0"/>
        <v>0.98518518518518516</v>
      </c>
      <c r="J17" s="65"/>
      <c r="K17" s="71"/>
    </row>
    <row r="18" spans="1:11" ht="15.6" x14ac:dyDescent="0.3">
      <c r="A18" s="57">
        <v>44568</v>
      </c>
      <c r="B18" s="5" t="s">
        <v>1</v>
      </c>
      <c r="C18" s="8">
        <v>27</v>
      </c>
      <c r="D18" s="9">
        <v>74.049999990966171</v>
      </c>
      <c r="E18" s="10">
        <v>540</v>
      </c>
      <c r="F18" s="11">
        <v>565</v>
      </c>
      <c r="G18" s="19">
        <f t="shared" si="1"/>
        <v>0.36461850105731131</v>
      </c>
      <c r="H18" s="60">
        <f>AVERAGE(G18:G21)</f>
        <v>0.57669343839491372</v>
      </c>
      <c r="I18" s="24">
        <f t="shared" si="0"/>
        <v>1.0462962962962963</v>
      </c>
      <c r="J18" s="63">
        <f>AVERAGE(I18:I20)</f>
        <v>1.0074074074074073</v>
      </c>
      <c r="K18" s="69">
        <f>AVERAGE(J18,H18)</f>
        <v>0.79205042290116046</v>
      </c>
    </row>
    <row r="19" spans="1:11" ht="15.6" x14ac:dyDescent="0.3">
      <c r="A19" s="58"/>
      <c r="B19" s="6" t="s">
        <v>3</v>
      </c>
      <c r="C19" s="12">
        <v>108</v>
      </c>
      <c r="D19" s="13">
        <v>301.14999998942949</v>
      </c>
      <c r="E19" s="14">
        <v>2160</v>
      </c>
      <c r="F19" s="15">
        <v>2160</v>
      </c>
      <c r="G19" s="18">
        <f t="shared" si="1"/>
        <v>0.35862526981169135</v>
      </c>
      <c r="H19" s="61"/>
      <c r="I19" s="25">
        <f t="shared" si="0"/>
        <v>1</v>
      </c>
      <c r="J19" s="64"/>
      <c r="K19" s="70"/>
    </row>
    <row r="20" spans="1:11" ht="15.6" x14ac:dyDescent="0.3">
      <c r="A20" s="58"/>
      <c r="B20" s="6" t="s">
        <v>2</v>
      </c>
      <c r="C20" s="12">
        <v>54</v>
      </c>
      <c r="D20" s="13">
        <v>53.633333339821547</v>
      </c>
      <c r="E20" s="14">
        <v>1080</v>
      </c>
      <c r="F20" s="15">
        <v>1054</v>
      </c>
      <c r="G20" s="18">
        <f t="shared" si="1"/>
        <v>1.0068365443157383</v>
      </c>
      <c r="H20" s="61"/>
      <c r="I20" s="25">
        <f t="shared" si="0"/>
        <v>0.97592592592592597</v>
      </c>
      <c r="J20" s="64"/>
      <c r="K20" s="70"/>
    </row>
    <row r="21" spans="1:11" ht="16.2" thickBot="1" x14ac:dyDescent="0.35">
      <c r="A21" s="59"/>
      <c r="B21" s="7" t="s">
        <v>4</v>
      </c>
      <c r="C21" s="16"/>
      <c r="D21" s="17"/>
      <c r="E21" s="21"/>
      <c r="F21" s="22"/>
      <c r="G21" s="20" t="str">
        <f t="shared" si="1"/>
        <v/>
      </c>
      <c r="H21" s="62"/>
      <c r="I21" s="26" t="str">
        <f t="shared" si="0"/>
        <v>0</v>
      </c>
      <c r="J21" s="65"/>
      <c r="K21" s="71"/>
    </row>
    <row r="22" spans="1:11" ht="15.6" x14ac:dyDescent="0.3">
      <c r="A22" s="57">
        <v>44571</v>
      </c>
      <c r="B22" s="5" t="s">
        <v>1</v>
      </c>
      <c r="C22" s="8">
        <v>100</v>
      </c>
      <c r="D22" s="9">
        <v>178.64999998826534</v>
      </c>
      <c r="E22" s="10">
        <v>2000</v>
      </c>
      <c r="F22" s="11">
        <v>1908</v>
      </c>
      <c r="G22" s="19">
        <f t="shared" si="1"/>
        <v>0.55975370840508554</v>
      </c>
      <c r="H22" s="60">
        <f>AVERAGE(G22:G25)</f>
        <v>0.56326707358937522</v>
      </c>
      <c r="I22" s="24">
        <f t="shared" si="0"/>
        <v>0.95399999999999996</v>
      </c>
      <c r="J22" s="63">
        <f>AVERAGE(I22:I24)</f>
        <v>0.98404938271604936</v>
      </c>
      <c r="K22" s="69">
        <f>AVERAGE(J22,H22)</f>
        <v>0.77365822815271224</v>
      </c>
    </row>
    <row r="23" spans="1:11" ht="15.6" x14ac:dyDescent="0.3">
      <c r="A23" s="58"/>
      <c r="B23" s="6" t="s">
        <v>3</v>
      </c>
      <c r="C23" s="12">
        <v>108</v>
      </c>
      <c r="D23" s="13">
        <v>107.51666665426455</v>
      </c>
      <c r="E23" s="14">
        <v>2160</v>
      </c>
      <c r="F23" s="15">
        <v>2177</v>
      </c>
      <c r="G23" s="18">
        <f t="shared" si="1"/>
        <v>1.0044954271814404</v>
      </c>
      <c r="H23" s="61"/>
      <c r="I23" s="25">
        <f t="shared" si="0"/>
        <v>1.0078703703703704</v>
      </c>
      <c r="J23" s="64"/>
      <c r="K23" s="70"/>
    </row>
    <row r="24" spans="1:11" ht="15.6" x14ac:dyDescent="0.3">
      <c r="A24" s="58"/>
      <c r="B24" s="6" t="s">
        <v>2</v>
      </c>
      <c r="C24" s="12">
        <v>216</v>
      </c>
      <c r="D24" s="13">
        <v>325.55000000400469</v>
      </c>
      <c r="E24" s="14">
        <v>4320</v>
      </c>
      <c r="F24" s="15">
        <v>4278</v>
      </c>
      <c r="G24" s="18">
        <f t="shared" si="1"/>
        <v>0.66349255105926253</v>
      </c>
      <c r="H24" s="61"/>
      <c r="I24" s="25">
        <f t="shared" si="0"/>
        <v>0.99027777777777781</v>
      </c>
      <c r="J24" s="64"/>
      <c r="K24" s="70"/>
    </row>
    <row r="25" spans="1:11" ht="16.2" thickBot="1" x14ac:dyDescent="0.35">
      <c r="A25" s="59"/>
      <c r="B25" s="7" t="s">
        <v>4</v>
      </c>
      <c r="C25" s="16">
        <v>20</v>
      </c>
      <c r="D25" s="17">
        <v>789.68333334079944</v>
      </c>
      <c r="E25" s="21">
        <v>400</v>
      </c>
      <c r="F25" s="22">
        <v>278</v>
      </c>
      <c r="G25" s="20">
        <f t="shared" si="1"/>
        <v>2.5326607711712596E-2</v>
      </c>
      <c r="H25" s="62"/>
      <c r="I25" s="26">
        <f t="shared" si="0"/>
        <v>0.69499999999999995</v>
      </c>
      <c r="J25" s="65"/>
      <c r="K25" s="71"/>
    </row>
    <row r="26" spans="1:11" ht="15.6" x14ac:dyDescent="0.3">
      <c r="A26" s="57">
        <v>44572</v>
      </c>
      <c r="B26" s="5" t="s">
        <v>1</v>
      </c>
      <c r="C26" s="8">
        <v>27</v>
      </c>
      <c r="D26" s="9">
        <v>41.816666655940935</v>
      </c>
      <c r="E26" s="10">
        <v>540</v>
      </c>
      <c r="F26" s="11">
        <v>568</v>
      </c>
      <c r="G26" s="19">
        <f t="shared" si="1"/>
        <v>0.64567556812097271</v>
      </c>
      <c r="H26" s="60">
        <f>AVERAGE(G26:G29)</f>
        <v>0.78048676491369429</v>
      </c>
      <c r="I26" s="24">
        <f>IF(F26="","0",F26/E26)</f>
        <v>1.0518518518518518</v>
      </c>
      <c r="J26" s="63">
        <f>AVERAGE(I26:I28)</f>
        <v>1.0033068783068784</v>
      </c>
      <c r="K26" s="69">
        <f>AVERAGE(J26,H26)</f>
        <v>0.89189682161028627</v>
      </c>
    </row>
    <row r="27" spans="1:11" ht="15.6" x14ac:dyDescent="0.3">
      <c r="A27" s="58"/>
      <c r="B27" s="6" t="s">
        <v>3</v>
      </c>
      <c r="C27" s="12">
        <v>162</v>
      </c>
      <c r="D27" s="13">
        <v>201.28333332133479</v>
      </c>
      <c r="E27" s="14">
        <v>3240</v>
      </c>
      <c r="F27" s="15">
        <v>3225</v>
      </c>
      <c r="G27" s="18">
        <f t="shared" si="1"/>
        <v>0.80483563803754332</v>
      </c>
      <c r="H27" s="61"/>
      <c r="I27" s="25">
        <f t="shared" si="0"/>
        <v>0.99537037037037035</v>
      </c>
      <c r="J27" s="64"/>
      <c r="K27" s="70"/>
    </row>
    <row r="28" spans="1:11" ht="15.6" x14ac:dyDescent="0.3">
      <c r="A28" s="58"/>
      <c r="B28" s="6" t="s">
        <v>2</v>
      </c>
      <c r="C28" s="12">
        <v>189</v>
      </c>
      <c r="D28" s="13">
        <v>212.13333334308118</v>
      </c>
      <c r="E28" s="14">
        <v>3780</v>
      </c>
      <c r="F28" s="15">
        <v>3639</v>
      </c>
      <c r="G28" s="18">
        <f t="shared" si="1"/>
        <v>0.89094908858256683</v>
      </c>
      <c r="H28" s="61"/>
      <c r="I28" s="25">
        <f t="shared" si="0"/>
        <v>0.96269841269841272</v>
      </c>
      <c r="J28" s="64"/>
      <c r="K28" s="70"/>
    </row>
    <row r="29" spans="1:11" ht="16.2" thickBot="1" x14ac:dyDescent="0.35">
      <c r="A29" s="59"/>
      <c r="B29" s="7" t="s">
        <v>4</v>
      </c>
      <c r="C29" s="16"/>
      <c r="D29" s="17"/>
      <c r="E29" s="21"/>
      <c r="F29" s="22"/>
      <c r="G29" s="20" t="str">
        <f t="shared" si="1"/>
        <v/>
      </c>
      <c r="H29" s="62"/>
      <c r="I29" s="26" t="str">
        <f t="shared" si="0"/>
        <v>0</v>
      </c>
      <c r="J29" s="65"/>
      <c r="K29" s="71"/>
    </row>
    <row r="30" spans="1:11" ht="15.6" x14ac:dyDescent="0.3">
      <c r="A30" s="57">
        <v>44573</v>
      </c>
      <c r="B30" s="5" t="s">
        <v>1</v>
      </c>
      <c r="C30" s="8">
        <v>17.5</v>
      </c>
      <c r="D30" s="9">
        <v>40.33333333209157</v>
      </c>
      <c r="E30" s="10">
        <v>350</v>
      </c>
      <c r="F30" s="11">
        <v>332</v>
      </c>
      <c r="G30" s="19">
        <f t="shared" si="1"/>
        <v>0.43388429753401936</v>
      </c>
      <c r="H30" s="60">
        <f>AVERAGE(G30:G33)</f>
        <v>0.83144396542911714</v>
      </c>
      <c r="I30" s="24">
        <f t="shared" si="0"/>
        <v>0.94857142857142862</v>
      </c>
      <c r="J30" s="63">
        <f>AVERAGE(I30:I32)</f>
        <v>0.97269767783656669</v>
      </c>
      <c r="K30" s="69">
        <f>AVERAGE(J30,H30)</f>
        <v>0.90207082163284191</v>
      </c>
    </row>
    <row r="31" spans="1:11" ht="15.6" x14ac:dyDescent="0.3">
      <c r="A31" s="58"/>
      <c r="B31" s="6" t="s">
        <v>3</v>
      </c>
      <c r="C31" s="12">
        <v>162</v>
      </c>
      <c r="D31" s="13">
        <v>133.81666667293757</v>
      </c>
      <c r="E31" s="14">
        <v>3240</v>
      </c>
      <c r="F31" s="15">
        <v>3280</v>
      </c>
      <c r="G31" s="18">
        <f t="shared" si="1"/>
        <v>1.2106115331354468</v>
      </c>
      <c r="H31" s="61"/>
      <c r="I31" s="25">
        <f t="shared" si="0"/>
        <v>1.0123456790123457</v>
      </c>
      <c r="J31" s="64"/>
      <c r="K31" s="70"/>
    </row>
    <row r="32" spans="1:11" ht="15.6" x14ac:dyDescent="0.3">
      <c r="A32" s="58"/>
      <c r="B32" s="6" t="s">
        <v>2</v>
      </c>
      <c r="C32" s="12">
        <v>216</v>
      </c>
      <c r="D32" s="13">
        <v>254.16666665347293</v>
      </c>
      <c r="E32" s="14">
        <v>4320</v>
      </c>
      <c r="F32" s="15">
        <v>4135</v>
      </c>
      <c r="G32" s="18">
        <f t="shared" si="1"/>
        <v>0.84983606561788527</v>
      </c>
      <c r="H32" s="61"/>
      <c r="I32" s="25">
        <f t="shared" si="0"/>
        <v>0.95717592592592593</v>
      </c>
      <c r="J32" s="64"/>
      <c r="K32" s="70"/>
    </row>
    <row r="33" spans="1:11" ht="16.2" thickBot="1" x14ac:dyDescent="0.35">
      <c r="A33" s="59"/>
      <c r="B33" s="7" t="s">
        <v>4</v>
      </c>
      <c r="C33" s="16"/>
      <c r="D33" s="17"/>
      <c r="E33" s="21"/>
      <c r="F33" s="22"/>
      <c r="G33" s="20" t="str">
        <f t="shared" si="1"/>
        <v/>
      </c>
      <c r="H33" s="62"/>
      <c r="I33" s="26" t="str">
        <f t="shared" si="0"/>
        <v>0</v>
      </c>
      <c r="J33" s="65"/>
      <c r="K33" s="71"/>
    </row>
    <row r="34" spans="1:11" ht="15.6" x14ac:dyDescent="0.3">
      <c r="A34" s="57">
        <v>44574</v>
      </c>
      <c r="B34" s="5" t="s">
        <v>1</v>
      </c>
      <c r="C34" s="8">
        <v>27</v>
      </c>
      <c r="D34" s="9">
        <v>47.516666657757014</v>
      </c>
      <c r="E34" s="10">
        <v>540</v>
      </c>
      <c r="F34" s="11">
        <v>573</v>
      </c>
      <c r="G34" s="19">
        <f t="shared" si="1"/>
        <v>0.56822167671124502</v>
      </c>
      <c r="H34" s="60">
        <f>AVERAGE(G34:G37)</f>
        <v>0.73176695756880306</v>
      </c>
      <c r="I34" s="24">
        <f t="shared" si="0"/>
        <v>1.0611111111111111</v>
      </c>
      <c r="J34" s="63">
        <f>AVERAGE(I34:I36)</f>
        <v>1.0214763374485596</v>
      </c>
      <c r="K34" s="69">
        <f>AVERAGE(J34,H34)</f>
        <v>0.87662164750868132</v>
      </c>
    </row>
    <row r="35" spans="1:11" ht="15.6" x14ac:dyDescent="0.3">
      <c r="A35" s="58"/>
      <c r="B35" s="6" t="s">
        <v>3</v>
      </c>
      <c r="C35" s="12">
        <v>162</v>
      </c>
      <c r="D35" s="13">
        <v>233.01666667568497</v>
      </c>
      <c r="E35" s="14">
        <v>3240</v>
      </c>
      <c r="F35" s="15">
        <v>3223</v>
      </c>
      <c r="G35" s="18">
        <f t="shared" si="1"/>
        <v>0.69522923965551908</v>
      </c>
      <c r="H35" s="61"/>
      <c r="I35" s="25">
        <f t="shared" si="0"/>
        <v>0.99475308641975313</v>
      </c>
      <c r="J35" s="64"/>
      <c r="K35" s="70"/>
    </row>
    <row r="36" spans="1:11" ht="15.6" x14ac:dyDescent="0.3">
      <c r="A36" s="58"/>
      <c r="B36" s="6" t="s">
        <v>2</v>
      </c>
      <c r="C36" s="12">
        <v>216</v>
      </c>
      <c r="D36" s="13">
        <v>225.74999999720603</v>
      </c>
      <c r="E36" s="14">
        <v>4320</v>
      </c>
      <c r="F36" s="15">
        <v>4357</v>
      </c>
      <c r="G36" s="18">
        <f t="shared" si="1"/>
        <v>0.95681063124107768</v>
      </c>
      <c r="H36" s="61"/>
      <c r="I36" s="25">
        <f t="shared" si="0"/>
        <v>1.0085648148148147</v>
      </c>
      <c r="J36" s="64"/>
      <c r="K36" s="70"/>
    </row>
    <row r="37" spans="1:11" ht="16.2" thickBot="1" x14ac:dyDescent="0.35">
      <c r="A37" s="59"/>
      <c r="B37" s="7" t="s">
        <v>4</v>
      </c>
      <c r="C37" s="16">
        <v>27</v>
      </c>
      <c r="D37" s="17">
        <v>38.200000002980232</v>
      </c>
      <c r="E37" s="21">
        <v>540</v>
      </c>
      <c r="F37" s="22">
        <v>547</v>
      </c>
      <c r="G37" s="20">
        <f t="shared" si="1"/>
        <v>0.70680628266737056</v>
      </c>
      <c r="H37" s="62"/>
      <c r="I37" s="26">
        <f t="shared" si="0"/>
        <v>1.0129629629629631</v>
      </c>
      <c r="J37" s="65"/>
      <c r="K37" s="71"/>
    </row>
    <row r="38" spans="1:11" ht="15.6" x14ac:dyDescent="0.3">
      <c r="A38" s="57">
        <v>44577</v>
      </c>
      <c r="B38" s="5" t="s">
        <v>1</v>
      </c>
      <c r="C38" s="8">
        <v>67.5</v>
      </c>
      <c r="D38" s="9">
        <v>252.9999999939464</v>
      </c>
      <c r="E38" s="10">
        <v>1350</v>
      </c>
      <c r="F38" s="11">
        <v>1099</v>
      </c>
      <c r="G38" s="19">
        <f t="shared" si="1"/>
        <v>0.26679841897871576</v>
      </c>
      <c r="H38" s="60">
        <f>AVERAGE(G38:G41)</f>
        <v>0.70073895249017371</v>
      </c>
      <c r="I38" s="24">
        <f t="shared" si="0"/>
        <v>0.81407407407407406</v>
      </c>
      <c r="J38" s="63">
        <f>AVERAGE(I38:I40)</f>
        <v>0.94028806584362146</v>
      </c>
      <c r="K38" s="69">
        <f>AVERAGE(J38,H38)</f>
        <v>0.82051350916689758</v>
      </c>
    </row>
    <row r="39" spans="1:11" ht="15.6" x14ac:dyDescent="0.3">
      <c r="A39" s="58"/>
      <c r="B39" s="6" t="s">
        <v>3</v>
      </c>
      <c r="C39" s="12">
        <v>162</v>
      </c>
      <c r="D39" s="13">
        <v>162.00000000419095</v>
      </c>
      <c r="E39" s="14">
        <v>3240</v>
      </c>
      <c r="F39" s="15">
        <v>3274</v>
      </c>
      <c r="G39" s="18">
        <f t="shared" si="1"/>
        <v>0.99999999997412992</v>
      </c>
      <c r="H39" s="61"/>
      <c r="I39" s="25">
        <f t="shared" si="0"/>
        <v>1.0104938271604937</v>
      </c>
      <c r="J39" s="64"/>
      <c r="K39" s="70"/>
    </row>
    <row r="40" spans="1:11" ht="15.6" x14ac:dyDescent="0.3">
      <c r="A40" s="58"/>
      <c r="B40" s="6" t="s">
        <v>2</v>
      </c>
      <c r="C40" s="12">
        <v>108</v>
      </c>
      <c r="D40" s="13">
        <v>216.99999999487773</v>
      </c>
      <c r="E40" s="14">
        <v>2160</v>
      </c>
      <c r="F40" s="15">
        <v>2152</v>
      </c>
      <c r="G40" s="18">
        <f t="shared" si="1"/>
        <v>0.49769585254631032</v>
      </c>
      <c r="H40" s="61"/>
      <c r="I40" s="25">
        <f t="shared" si="0"/>
        <v>0.99629629629629635</v>
      </c>
      <c r="J40" s="64"/>
      <c r="K40" s="70"/>
    </row>
    <row r="41" spans="1:11" ht="16.2" thickBot="1" x14ac:dyDescent="0.35">
      <c r="A41" s="59"/>
      <c r="B41" s="7" t="s">
        <v>4</v>
      </c>
      <c r="C41" s="16">
        <v>27</v>
      </c>
      <c r="D41" s="17">
        <v>26</v>
      </c>
      <c r="E41" s="21">
        <v>540</v>
      </c>
      <c r="F41" s="22">
        <v>507</v>
      </c>
      <c r="G41" s="20">
        <f>IF(D41="","",IF(D41=0,"0",C41/D41))</f>
        <v>1.0384615384615385</v>
      </c>
      <c r="H41" s="62"/>
      <c r="I41" s="26">
        <f>IF(F41="","0",F41/E41)</f>
        <v>0.93888888888888888</v>
      </c>
      <c r="J41" s="65"/>
      <c r="K41" s="71"/>
    </row>
    <row r="42" spans="1:11" ht="15.6" x14ac:dyDescent="0.3">
      <c r="A42" s="57">
        <v>44578</v>
      </c>
      <c r="B42" s="5" t="s">
        <v>1</v>
      </c>
      <c r="C42" s="8">
        <v>54</v>
      </c>
      <c r="D42" s="9">
        <v>155.51666666404344</v>
      </c>
      <c r="E42" s="10">
        <v>1080</v>
      </c>
      <c r="F42" s="11">
        <v>1115</v>
      </c>
      <c r="G42" s="19">
        <f t="shared" si="1"/>
        <v>0.34722966456485388</v>
      </c>
      <c r="H42" s="60">
        <f>AVERAGE(G42:G45)</f>
        <v>0.77304967433209326</v>
      </c>
      <c r="I42" s="24">
        <f t="shared" si="0"/>
        <v>1.0324074074074074</v>
      </c>
      <c r="J42" s="63">
        <f>AVERAGE(I42:I44)</f>
        <v>1.0155349794238682</v>
      </c>
      <c r="K42" s="69">
        <f>AVERAGE(J42,H42)</f>
        <v>0.89429232687798077</v>
      </c>
    </row>
    <row r="43" spans="1:11" ht="15.6" x14ac:dyDescent="0.3">
      <c r="A43" s="58"/>
      <c r="B43" s="6" t="s">
        <v>3</v>
      </c>
      <c r="C43" s="12">
        <v>162</v>
      </c>
      <c r="D43" s="13">
        <v>162.24999997881241</v>
      </c>
      <c r="E43" s="14">
        <v>3240</v>
      </c>
      <c r="F43" s="15">
        <v>3236</v>
      </c>
      <c r="G43" s="18">
        <f t="shared" si="1"/>
        <v>0.99845916808107826</v>
      </c>
      <c r="H43" s="61"/>
      <c r="I43" s="25">
        <f t="shared" si="0"/>
        <v>0.99876543209876545</v>
      </c>
      <c r="J43" s="64"/>
      <c r="K43" s="70"/>
    </row>
    <row r="44" spans="1:11" ht="15.6" x14ac:dyDescent="0.3">
      <c r="A44" s="58"/>
      <c r="B44" s="6" t="s">
        <v>2</v>
      </c>
      <c r="C44" s="12">
        <v>162</v>
      </c>
      <c r="D44" s="13">
        <v>166.41666665556841</v>
      </c>
      <c r="E44" s="14">
        <v>3240</v>
      </c>
      <c r="F44" s="15">
        <v>3290</v>
      </c>
      <c r="G44" s="18">
        <f t="shared" si="1"/>
        <v>0.97346019035034781</v>
      </c>
      <c r="H44" s="61"/>
      <c r="I44" s="25">
        <f t="shared" si="0"/>
        <v>1.0154320987654322</v>
      </c>
      <c r="J44" s="64"/>
      <c r="K44" s="70"/>
    </row>
    <row r="45" spans="1:11" ht="16.2" thickBot="1" x14ac:dyDescent="0.35">
      <c r="A45" s="59"/>
      <c r="B45" s="7" t="s">
        <v>4</v>
      </c>
      <c r="C45" s="16"/>
      <c r="D45" s="17"/>
      <c r="E45" s="21"/>
      <c r="F45" s="22"/>
      <c r="G45" s="20" t="str">
        <f t="shared" si="1"/>
        <v/>
      </c>
      <c r="H45" s="62"/>
      <c r="I45" s="26" t="str">
        <f t="shared" si="0"/>
        <v>0</v>
      </c>
      <c r="J45" s="65"/>
      <c r="K45" s="71"/>
    </row>
    <row r="46" spans="1:11" ht="15.6" x14ac:dyDescent="0.3">
      <c r="A46" s="57">
        <v>44579</v>
      </c>
      <c r="B46" s="5" t="s">
        <v>1</v>
      </c>
      <c r="C46" s="8">
        <v>54</v>
      </c>
      <c r="D46" s="9">
        <v>163.43333333730698</v>
      </c>
      <c r="E46" s="10">
        <v>1080</v>
      </c>
      <c r="F46" s="11">
        <v>1112</v>
      </c>
      <c r="G46" s="19">
        <f t="shared" si="1"/>
        <v>0.33040995308191151</v>
      </c>
      <c r="H46" s="60">
        <f>AVERAGE(G46:G49)</f>
        <v>0.77275914643757471</v>
      </c>
      <c r="I46" s="24">
        <f t="shared" si="0"/>
        <v>1.0296296296296297</v>
      </c>
      <c r="J46" s="63">
        <f>AVERAGE(I46:I48)</f>
        <v>1.0128086419753086</v>
      </c>
      <c r="K46" s="69">
        <f>AVERAGE(J46,H46)</f>
        <v>0.89278389420644166</v>
      </c>
    </row>
    <row r="47" spans="1:11" ht="15.6" x14ac:dyDescent="0.3">
      <c r="A47" s="58"/>
      <c r="B47" s="6" t="s">
        <v>3</v>
      </c>
      <c r="C47" s="12"/>
      <c r="D47" s="13"/>
      <c r="E47" s="14"/>
      <c r="F47" s="15"/>
      <c r="G47" s="18" t="str">
        <f t="shared" si="1"/>
        <v/>
      </c>
      <c r="H47" s="61"/>
      <c r="I47" s="25" t="str">
        <f t="shared" si="0"/>
        <v>0</v>
      </c>
      <c r="J47" s="64"/>
      <c r="K47" s="70"/>
    </row>
    <row r="48" spans="1:11" ht="15.6" x14ac:dyDescent="0.3">
      <c r="A48" s="58"/>
      <c r="B48" s="6" t="s">
        <v>2</v>
      </c>
      <c r="C48" s="12">
        <v>162</v>
      </c>
      <c r="D48" s="13">
        <v>163.68333333288319</v>
      </c>
      <c r="E48" s="14">
        <v>3240</v>
      </c>
      <c r="F48" s="15">
        <v>3227</v>
      </c>
      <c r="G48" s="18">
        <f t="shared" si="1"/>
        <v>0.98971591487900734</v>
      </c>
      <c r="H48" s="61"/>
      <c r="I48" s="25">
        <f t="shared" si="0"/>
        <v>0.99598765432098768</v>
      </c>
      <c r="J48" s="64"/>
      <c r="K48" s="70"/>
    </row>
    <row r="49" spans="1:11" ht="16.2" thickBot="1" x14ac:dyDescent="0.35">
      <c r="A49" s="59"/>
      <c r="B49" s="7" t="s">
        <v>4</v>
      </c>
      <c r="C49" s="16">
        <v>27</v>
      </c>
      <c r="D49" s="17">
        <v>27.049999994924292</v>
      </c>
      <c r="E49" s="21">
        <v>540</v>
      </c>
      <c r="F49" s="22">
        <v>543</v>
      </c>
      <c r="G49" s="20">
        <f t="shared" si="1"/>
        <v>0.99815157135180499</v>
      </c>
      <c r="H49" s="62"/>
      <c r="I49" s="26">
        <f t="shared" si="0"/>
        <v>1.0055555555555555</v>
      </c>
      <c r="J49" s="65"/>
      <c r="K49" s="71"/>
    </row>
    <row r="50" spans="1:11" ht="15.6" x14ac:dyDescent="0.3">
      <c r="A50" s="57">
        <v>44580</v>
      </c>
      <c r="B50" s="5" t="s">
        <v>1</v>
      </c>
      <c r="C50" s="8"/>
      <c r="D50" s="9"/>
      <c r="E50" s="10"/>
      <c r="F50" s="11"/>
      <c r="G50" s="19" t="str">
        <f t="shared" si="1"/>
        <v/>
      </c>
      <c r="H50" s="60">
        <f>AVERAGE(G50:G53)</f>
        <v>0.93627911280266374</v>
      </c>
      <c r="I50" s="24" t="str">
        <f t="shared" si="0"/>
        <v>0</v>
      </c>
      <c r="J50" s="63">
        <f>AVERAGE(I50:I52)</f>
        <v>1.0145833333333334</v>
      </c>
      <c r="K50" s="69">
        <f>AVERAGE(J50,H50)</f>
        <v>0.97543122306799857</v>
      </c>
    </row>
    <row r="51" spans="1:11" ht="15.6" x14ac:dyDescent="0.3">
      <c r="A51" s="58"/>
      <c r="B51" s="6" t="s">
        <v>3</v>
      </c>
      <c r="C51" s="12">
        <v>54</v>
      </c>
      <c r="D51" s="13">
        <v>61.583333333255723</v>
      </c>
      <c r="E51" s="14">
        <v>1080</v>
      </c>
      <c r="F51" s="15">
        <v>1102</v>
      </c>
      <c r="G51" s="18">
        <f t="shared" si="1"/>
        <v>0.87686062246389262</v>
      </c>
      <c r="H51" s="61"/>
      <c r="I51" s="25">
        <f t="shared" si="0"/>
        <v>1.0203703703703704</v>
      </c>
      <c r="J51" s="64"/>
      <c r="K51" s="70"/>
    </row>
    <row r="52" spans="1:11" ht="15.6" x14ac:dyDescent="0.3">
      <c r="A52" s="58"/>
      <c r="B52" s="6" t="s">
        <v>2</v>
      </c>
      <c r="C52" s="12">
        <v>108</v>
      </c>
      <c r="D52" s="13">
        <v>108.46666664583609</v>
      </c>
      <c r="E52" s="14">
        <v>2160</v>
      </c>
      <c r="F52" s="15">
        <v>2179</v>
      </c>
      <c r="G52" s="18">
        <v>0.99569760314143474</v>
      </c>
      <c r="H52" s="61"/>
      <c r="I52" s="25">
        <f t="shared" si="0"/>
        <v>1.0087962962962962</v>
      </c>
      <c r="J52" s="64"/>
      <c r="K52" s="70"/>
    </row>
    <row r="53" spans="1:11" ht="16.2" thickBot="1" x14ac:dyDescent="0.35">
      <c r="A53" s="59"/>
      <c r="B53" s="7" t="s">
        <v>4</v>
      </c>
      <c r="C53" s="16"/>
      <c r="D53" s="17"/>
      <c r="E53" s="21"/>
      <c r="F53" s="22"/>
      <c r="G53" s="20" t="str">
        <f t="shared" si="1"/>
        <v/>
      </c>
      <c r="H53" s="62"/>
      <c r="I53" s="26" t="str">
        <f t="shared" si="0"/>
        <v>0</v>
      </c>
      <c r="J53" s="65"/>
      <c r="K53" s="71"/>
    </row>
    <row r="54" spans="1:11" ht="15.6" x14ac:dyDescent="0.3">
      <c r="A54" s="57">
        <v>44581</v>
      </c>
      <c r="B54" s="5" t="s">
        <v>1</v>
      </c>
      <c r="C54" s="8">
        <v>27</v>
      </c>
      <c r="D54" s="9">
        <v>51.799999997019768</v>
      </c>
      <c r="E54" s="10">
        <v>540</v>
      </c>
      <c r="F54" s="11">
        <v>554</v>
      </c>
      <c r="G54" s="19">
        <v>0.52123552126550976</v>
      </c>
      <c r="H54" s="60">
        <f>AVERAGE(G54:G57)</f>
        <v>0.66526680436947128</v>
      </c>
      <c r="I54" s="24">
        <f t="shared" si="0"/>
        <v>1.0259259259259259</v>
      </c>
      <c r="J54" s="63">
        <f>AVERAGE(I54:I56)</f>
        <v>1.0139917695473251</v>
      </c>
      <c r="K54" s="69">
        <f>AVERAGE(J54,H54)</f>
        <v>0.83962928695839811</v>
      </c>
    </row>
    <row r="55" spans="1:11" ht="15.6" x14ac:dyDescent="0.3">
      <c r="A55" s="58"/>
      <c r="B55" s="6" t="s">
        <v>3</v>
      </c>
      <c r="C55" s="12">
        <v>108</v>
      </c>
      <c r="D55" s="13">
        <v>107.61666666716337</v>
      </c>
      <c r="E55" s="14">
        <v>2160</v>
      </c>
      <c r="F55" s="15">
        <v>2164</v>
      </c>
      <c r="G55" s="18">
        <v>1.0035620257039015</v>
      </c>
      <c r="H55" s="61"/>
      <c r="I55" s="25">
        <f t="shared" si="0"/>
        <v>1.0018518518518518</v>
      </c>
      <c r="J55" s="64"/>
      <c r="K55" s="70"/>
    </row>
    <row r="56" spans="1:11" ht="15.6" x14ac:dyDescent="0.3">
      <c r="A56" s="58"/>
      <c r="B56" s="6" t="s">
        <v>2</v>
      </c>
      <c r="C56" s="12">
        <v>162</v>
      </c>
      <c r="D56" s="13">
        <v>177.81666666967794</v>
      </c>
      <c r="E56" s="14">
        <v>3240</v>
      </c>
      <c r="F56" s="15">
        <v>3286</v>
      </c>
      <c r="G56" s="18">
        <v>0.91105070764227147</v>
      </c>
      <c r="H56" s="61"/>
      <c r="I56" s="25">
        <f t="shared" si="0"/>
        <v>1.0141975308641975</v>
      </c>
      <c r="J56" s="64"/>
      <c r="K56" s="70"/>
    </row>
    <row r="57" spans="1:11" ht="16.2" thickBot="1" x14ac:dyDescent="0.35">
      <c r="A57" s="59"/>
      <c r="B57" s="7" t="s">
        <v>4</v>
      </c>
      <c r="C57" s="27">
        <v>27</v>
      </c>
      <c r="D57" s="17">
        <v>119.8833333409857</v>
      </c>
      <c r="E57" s="21">
        <v>540</v>
      </c>
      <c r="F57" s="22">
        <v>542</v>
      </c>
      <c r="G57" s="20">
        <v>0.22521896286620222</v>
      </c>
      <c r="H57" s="62"/>
      <c r="I57" s="26">
        <f t="shared" si="0"/>
        <v>1.0037037037037038</v>
      </c>
      <c r="J57" s="65"/>
      <c r="K57" s="71"/>
    </row>
    <row r="58" spans="1:11" ht="15.6" x14ac:dyDescent="0.3">
      <c r="A58" s="57">
        <v>44582</v>
      </c>
      <c r="B58" s="5" t="s">
        <v>1</v>
      </c>
      <c r="C58" s="8">
        <v>54</v>
      </c>
      <c r="D58" s="9">
        <v>137.63333334121853</v>
      </c>
      <c r="E58" s="10">
        <v>1080</v>
      </c>
      <c r="F58" s="11">
        <v>1169</v>
      </c>
      <c r="G58" s="19">
        <f t="shared" si="1"/>
        <v>0.39234681518701575</v>
      </c>
      <c r="H58" s="60">
        <f>AVERAGE(G58:G61)</f>
        <v>0.79582512091829172</v>
      </c>
      <c r="I58" s="24">
        <f t="shared" si="0"/>
        <v>1.0824074074074075</v>
      </c>
      <c r="J58" s="63">
        <f>AVERAGE(I58:I60)</f>
        <v>1.0325617283950617</v>
      </c>
      <c r="K58" s="69">
        <f>AVERAGE(J58,H58)</f>
        <v>0.91419342465667675</v>
      </c>
    </row>
    <row r="59" spans="1:11" ht="15.6" x14ac:dyDescent="0.3">
      <c r="A59" s="58"/>
      <c r="B59" s="6" t="s">
        <v>3</v>
      </c>
      <c r="C59" s="12">
        <v>108</v>
      </c>
      <c r="D59" s="13">
        <v>107.69999998854473</v>
      </c>
      <c r="E59" s="14">
        <v>2160</v>
      </c>
      <c r="F59" s="15">
        <v>2170</v>
      </c>
      <c r="G59" s="18">
        <f t="shared" si="1"/>
        <v>1.0027855154269933</v>
      </c>
      <c r="H59" s="61"/>
      <c r="I59" s="25">
        <f t="shared" si="0"/>
        <v>1.0046296296296295</v>
      </c>
      <c r="J59" s="64"/>
      <c r="K59" s="70"/>
    </row>
    <row r="60" spans="1:11" ht="15.6" x14ac:dyDescent="0.3">
      <c r="A60" s="58"/>
      <c r="B60" s="6" t="s">
        <v>2</v>
      </c>
      <c r="C60" s="12">
        <v>108</v>
      </c>
      <c r="D60" s="13">
        <v>108.8333333353512</v>
      </c>
      <c r="E60" s="14">
        <v>2160</v>
      </c>
      <c r="F60" s="15">
        <v>2183</v>
      </c>
      <c r="G60" s="18">
        <f t="shared" si="1"/>
        <v>0.99234303214086605</v>
      </c>
      <c r="H60" s="61"/>
      <c r="I60" s="25">
        <f t="shared" si="0"/>
        <v>1.0106481481481482</v>
      </c>
      <c r="J60" s="64"/>
      <c r="K60" s="70"/>
    </row>
    <row r="61" spans="1:11" ht="16.2" thickBot="1" x14ac:dyDescent="0.35">
      <c r="A61" s="59"/>
      <c r="B61" s="7" t="s">
        <v>4</v>
      </c>
      <c r="C61" s="16"/>
      <c r="D61" s="17"/>
      <c r="E61" s="21"/>
      <c r="F61" s="22"/>
      <c r="G61" s="20" t="str">
        <f t="shared" si="1"/>
        <v/>
      </c>
      <c r="H61" s="62"/>
      <c r="I61" s="26" t="str">
        <f t="shared" si="0"/>
        <v>0</v>
      </c>
      <c r="J61" s="65"/>
      <c r="K61" s="71"/>
    </row>
    <row r="62" spans="1:11" ht="15.6" x14ac:dyDescent="0.3">
      <c r="A62" s="57">
        <v>44585</v>
      </c>
      <c r="B62" s="5" t="s">
        <v>1</v>
      </c>
      <c r="C62" s="8">
        <v>27</v>
      </c>
      <c r="D62" s="9">
        <v>57.566666660131887</v>
      </c>
      <c r="E62" s="10">
        <v>540</v>
      </c>
      <c r="F62" s="11">
        <v>571</v>
      </c>
      <c r="G62" s="19">
        <f t="shared" si="1"/>
        <v>0.46902142448867895</v>
      </c>
      <c r="H62" s="60">
        <f>AVERAGE(G62:G65)</f>
        <v>0.5198726991775926</v>
      </c>
      <c r="I62" s="24">
        <f t="shared" si="0"/>
        <v>1.0574074074074074</v>
      </c>
      <c r="J62" s="63">
        <f>AVERAGE(I62:I64)</f>
        <v>0.66882716049382707</v>
      </c>
      <c r="K62" s="69">
        <f>AVERAGE(J62,H62)</f>
        <v>0.59434992983570978</v>
      </c>
    </row>
    <row r="63" spans="1:11" ht="15.6" x14ac:dyDescent="0.3">
      <c r="A63" s="58"/>
      <c r="B63" s="6" t="s">
        <v>3</v>
      </c>
      <c r="C63" s="12">
        <v>0</v>
      </c>
      <c r="D63" s="13">
        <v>0</v>
      </c>
      <c r="E63" s="14">
        <v>0</v>
      </c>
      <c r="F63" s="15">
        <v>0</v>
      </c>
      <c r="G63" s="18" t="str">
        <f t="shared" si="1"/>
        <v>0</v>
      </c>
      <c r="H63" s="61"/>
      <c r="I63" s="25">
        <v>0</v>
      </c>
      <c r="J63" s="64"/>
      <c r="K63" s="70"/>
    </row>
    <row r="64" spans="1:11" ht="15.6" x14ac:dyDescent="0.3">
      <c r="A64" s="58"/>
      <c r="B64" s="6" t="s">
        <v>2</v>
      </c>
      <c r="C64" s="12">
        <v>54</v>
      </c>
      <c r="D64" s="13">
        <v>94.61666667717509</v>
      </c>
      <c r="E64" s="14">
        <v>1080</v>
      </c>
      <c r="F64" s="15">
        <v>1025</v>
      </c>
      <c r="G64" s="18">
        <f t="shared" si="1"/>
        <v>0.5707239738665062</v>
      </c>
      <c r="H64" s="61"/>
      <c r="I64" s="25">
        <f t="shared" si="0"/>
        <v>0.94907407407407407</v>
      </c>
      <c r="J64" s="64"/>
      <c r="K64" s="70"/>
    </row>
    <row r="65" spans="1:11" ht="16.2" thickBot="1" x14ac:dyDescent="0.35">
      <c r="A65" s="59"/>
      <c r="B65" s="7" t="s">
        <v>4</v>
      </c>
      <c r="C65" s="16">
        <v>0</v>
      </c>
      <c r="D65" s="17">
        <v>0</v>
      </c>
      <c r="E65" s="21">
        <v>0</v>
      </c>
      <c r="F65" s="22">
        <v>0</v>
      </c>
      <c r="G65" s="20" t="str">
        <f t="shared" si="1"/>
        <v>0</v>
      </c>
      <c r="H65" s="62"/>
      <c r="I65" s="26">
        <v>0</v>
      </c>
      <c r="J65" s="65"/>
      <c r="K65" s="71"/>
    </row>
    <row r="66" spans="1:11" ht="15.6" x14ac:dyDescent="0.3">
      <c r="A66" s="57">
        <v>44586</v>
      </c>
      <c r="B66" s="5" t="s">
        <v>1</v>
      </c>
      <c r="C66" s="8">
        <v>0</v>
      </c>
      <c r="D66" s="9">
        <v>0</v>
      </c>
      <c r="E66" s="10">
        <v>0</v>
      </c>
      <c r="F66" s="11">
        <v>0</v>
      </c>
      <c r="G66" s="19" t="str">
        <f t="shared" si="1"/>
        <v>0</v>
      </c>
      <c r="H66" s="60">
        <f>AVERAGE(G66:G69)</f>
        <v>1.1494320492433445</v>
      </c>
      <c r="I66" s="24">
        <v>0</v>
      </c>
      <c r="J66" s="63">
        <f>AVERAGE(I66:I68)</f>
        <v>0.66687242798353907</v>
      </c>
      <c r="K66" s="69">
        <f>AVERAGE(J66,H66)</f>
        <v>0.90815223861344174</v>
      </c>
    </row>
    <row r="67" spans="1:11" ht="15.6" x14ac:dyDescent="0.3">
      <c r="A67" s="58"/>
      <c r="B67" s="6" t="s">
        <v>3</v>
      </c>
      <c r="C67" s="12">
        <v>162</v>
      </c>
      <c r="D67" s="13">
        <v>153.21666667121463</v>
      </c>
      <c r="E67" s="14">
        <v>3240</v>
      </c>
      <c r="F67" s="15">
        <v>3221</v>
      </c>
      <c r="G67" s="18">
        <f t="shared" si="1"/>
        <v>1.0573262264452823</v>
      </c>
      <c r="H67" s="61"/>
      <c r="I67" s="25">
        <f t="shared" ref="I67:I130" si="2">IF(F67="","0",F67/E67)</f>
        <v>0.9941358024691358</v>
      </c>
      <c r="J67" s="64"/>
      <c r="K67" s="70"/>
    </row>
    <row r="68" spans="1:11" ht="15.6" x14ac:dyDescent="0.3">
      <c r="A68" s="58"/>
      <c r="B68" s="6" t="s">
        <v>2</v>
      </c>
      <c r="C68" s="12">
        <v>324</v>
      </c>
      <c r="D68" s="13">
        <v>260.96666666097008</v>
      </c>
      <c r="E68" s="14">
        <v>6480</v>
      </c>
      <c r="F68" s="15">
        <v>6522</v>
      </c>
      <c r="G68" s="18">
        <f t="shared" si="1"/>
        <v>1.241537872041407</v>
      </c>
      <c r="H68" s="61"/>
      <c r="I68" s="25">
        <f t="shared" si="2"/>
        <v>1.0064814814814815</v>
      </c>
      <c r="J68" s="64"/>
      <c r="K68" s="70"/>
    </row>
    <row r="69" spans="1:11" ht="16.2" thickBot="1" x14ac:dyDescent="0.35">
      <c r="A69" s="59"/>
      <c r="B69" s="7" t="s">
        <v>4</v>
      </c>
      <c r="C69" s="16">
        <v>0</v>
      </c>
      <c r="D69" s="17">
        <v>0</v>
      </c>
      <c r="E69" s="21">
        <v>0</v>
      </c>
      <c r="F69" s="22">
        <v>0</v>
      </c>
      <c r="G69" s="20" t="str">
        <f t="shared" si="1"/>
        <v>0</v>
      </c>
      <c r="H69" s="62"/>
      <c r="I69" s="26">
        <v>0</v>
      </c>
      <c r="J69" s="65"/>
      <c r="K69" s="71"/>
    </row>
    <row r="70" spans="1:11" ht="15.6" x14ac:dyDescent="0.3">
      <c r="A70" s="57">
        <v>44588</v>
      </c>
      <c r="B70" s="5" t="s">
        <v>1</v>
      </c>
      <c r="C70" s="8">
        <v>81.5</v>
      </c>
      <c r="D70" s="9">
        <v>157.23333334433846</v>
      </c>
      <c r="E70" s="10">
        <v>1630</v>
      </c>
      <c r="F70" s="11">
        <v>1679</v>
      </c>
      <c r="G70" s="19">
        <f t="shared" ref="G70:G133" si="3">IF(D70="","",IF(D70=0,"0",C70/D70))</f>
        <v>0.51833792661201372</v>
      </c>
      <c r="H70" s="60">
        <f>AVERAGE(G70:G73)</f>
        <v>0.80792547457502628</v>
      </c>
      <c r="I70" s="24">
        <f t="shared" si="2"/>
        <v>1.0300613496932516</v>
      </c>
      <c r="J70" s="63">
        <f>AVERAGE(I70:I72)</f>
        <v>1.0192797091570098</v>
      </c>
      <c r="K70" s="69">
        <f>AVERAGE(J70,H70)</f>
        <v>0.913602591866018</v>
      </c>
    </row>
    <row r="71" spans="1:11" ht="15.6" x14ac:dyDescent="0.3">
      <c r="A71" s="58"/>
      <c r="B71" s="6" t="s">
        <v>3</v>
      </c>
      <c r="C71" s="12">
        <v>162</v>
      </c>
      <c r="D71" s="13">
        <v>174.81666667037643</v>
      </c>
      <c r="E71" s="14">
        <v>3240</v>
      </c>
      <c r="F71" s="15">
        <v>3281</v>
      </c>
      <c r="G71" s="18">
        <f t="shared" si="3"/>
        <v>0.92668509865513704</v>
      </c>
      <c r="H71" s="61"/>
      <c r="I71" s="25">
        <f t="shared" si="2"/>
        <v>1.0126543209876544</v>
      </c>
      <c r="J71" s="64"/>
      <c r="K71" s="70"/>
    </row>
    <row r="72" spans="1:11" ht="15.6" x14ac:dyDescent="0.3">
      <c r="A72" s="58"/>
      <c r="B72" s="6" t="s">
        <v>2</v>
      </c>
      <c r="C72" s="12">
        <v>162</v>
      </c>
      <c r="D72" s="13">
        <v>165.51666666520759</v>
      </c>
      <c r="E72" s="14">
        <v>3240</v>
      </c>
      <c r="F72" s="15">
        <v>3289</v>
      </c>
      <c r="G72" s="18">
        <f t="shared" si="3"/>
        <v>0.97875339845792808</v>
      </c>
      <c r="H72" s="61"/>
      <c r="I72" s="25">
        <f t="shared" si="2"/>
        <v>1.0151234567901235</v>
      </c>
      <c r="J72" s="64"/>
      <c r="K72" s="70"/>
    </row>
    <row r="73" spans="1:11" ht="16.2" thickBot="1" x14ac:dyDescent="0.35">
      <c r="A73" s="59"/>
      <c r="B73" s="7" t="s">
        <v>4</v>
      </c>
      <c r="C73" s="16">
        <v>0</v>
      </c>
      <c r="D73" s="17">
        <v>0</v>
      </c>
      <c r="E73" s="21">
        <v>0</v>
      </c>
      <c r="F73" s="22">
        <v>0</v>
      </c>
      <c r="G73" s="20" t="str">
        <f t="shared" si="3"/>
        <v>0</v>
      </c>
      <c r="H73" s="62"/>
      <c r="I73" s="26">
        <v>0</v>
      </c>
      <c r="J73" s="65"/>
      <c r="K73" s="71"/>
    </row>
    <row r="74" spans="1:11" ht="15.6" x14ac:dyDescent="0.3">
      <c r="A74" s="57">
        <v>44589</v>
      </c>
      <c r="B74" s="5" t="s">
        <v>1</v>
      </c>
      <c r="C74" s="8">
        <v>27</v>
      </c>
      <c r="D74" s="9">
        <v>94.183333336841315</v>
      </c>
      <c r="E74" s="10">
        <v>540</v>
      </c>
      <c r="F74" s="11">
        <v>569</v>
      </c>
      <c r="G74" s="19">
        <f t="shared" si="3"/>
        <v>0.28667492478139461</v>
      </c>
      <c r="H74" s="60">
        <f>AVERAGE(G74:G77)</f>
        <v>0.75566893624925791</v>
      </c>
      <c r="I74" s="24">
        <f t="shared" si="2"/>
        <v>1.0537037037037038</v>
      </c>
      <c r="J74" s="63">
        <f>AVERAGE(I74:I76)</f>
        <v>1.0088803573220917</v>
      </c>
      <c r="K74" s="69">
        <f>AVERAGE(J74,H74)</f>
        <v>0.8822746467856748</v>
      </c>
    </row>
    <row r="75" spans="1:11" ht="15.6" x14ac:dyDescent="0.3">
      <c r="A75" s="58"/>
      <c r="B75" s="6" t="s">
        <v>3</v>
      </c>
      <c r="C75" s="12">
        <v>123</v>
      </c>
      <c r="D75" s="13">
        <v>154.33333333698101</v>
      </c>
      <c r="E75" s="14">
        <v>2460</v>
      </c>
      <c r="F75" s="15">
        <v>2379</v>
      </c>
      <c r="G75" s="18">
        <f t="shared" si="3"/>
        <v>0.79697624188181138</v>
      </c>
      <c r="H75" s="61"/>
      <c r="I75" s="25">
        <f t="shared" si="2"/>
        <v>0.96707317073170729</v>
      </c>
      <c r="J75" s="64"/>
      <c r="K75" s="70"/>
    </row>
    <row r="76" spans="1:11" ht="15.6" x14ac:dyDescent="0.3">
      <c r="A76" s="58"/>
      <c r="B76" s="6" t="s">
        <v>2</v>
      </c>
      <c r="C76" s="12">
        <v>162</v>
      </c>
      <c r="D76" s="13">
        <v>163.71666666353121</v>
      </c>
      <c r="E76" s="14">
        <v>3240</v>
      </c>
      <c r="F76" s="15">
        <v>3259</v>
      </c>
      <c r="G76" s="18">
        <f t="shared" si="3"/>
        <v>0.98951440498688326</v>
      </c>
      <c r="H76" s="61"/>
      <c r="I76" s="25">
        <f t="shared" si="2"/>
        <v>1.0058641975308642</v>
      </c>
      <c r="J76" s="64"/>
      <c r="K76" s="70"/>
    </row>
    <row r="77" spans="1:11" ht="16.2" thickBot="1" x14ac:dyDescent="0.35">
      <c r="A77" s="59"/>
      <c r="B77" s="7" t="s">
        <v>4</v>
      </c>
      <c r="C77" s="16">
        <v>42</v>
      </c>
      <c r="D77" s="17">
        <v>44.233333332231268</v>
      </c>
      <c r="E77" s="21">
        <v>840</v>
      </c>
      <c r="F77" s="22">
        <v>851</v>
      </c>
      <c r="G77" s="20">
        <f t="shared" si="3"/>
        <v>0.94951017334694243</v>
      </c>
      <c r="H77" s="62"/>
      <c r="I77" s="26">
        <f t="shared" si="2"/>
        <v>1.013095238095238</v>
      </c>
      <c r="J77" s="65"/>
      <c r="K77" s="71"/>
    </row>
    <row r="78" spans="1:11" ht="15.6" x14ac:dyDescent="0.3">
      <c r="A78" s="57">
        <v>44590</v>
      </c>
      <c r="B78" s="5" t="s">
        <v>1</v>
      </c>
      <c r="C78" s="8">
        <v>27</v>
      </c>
      <c r="D78" s="9">
        <v>112.55000000121072</v>
      </c>
      <c r="E78" s="10">
        <v>540</v>
      </c>
      <c r="F78" s="11">
        <v>550</v>
      </c>
      <c r="G78" s="19">
        <f t="shared" si="3"/>
        <v>0.23989338071709956</v>
      </c>
      <c r="H78" s="60">
        <f>AVERAGE(G78:G81)</f>
        <v>0.7029772711913288</v>
      </c>
      <c r="I78" s="24">
        <f t="shared" si="2"/>
        <v>1.0185185185185186</v>
      </c>
      <c r="J78" s="63">
        <f>AVERAGE(I78:I80)</f>
        <v>1.0147376543209878</v>
      </c>
      <c r="K78" s="69">
        <f>AVERAGE(J78,H78)</f>
        <v>0.85885746275615826</v>
      </c>
    </row>
    <row r="79" spans="1:11" ht="15.6" x14ac:dyDescent="0.3">
      <c r="A79" s="58"/>
      <c r="B79" s="6" t="s">
        <v>3</v>
      </c>
      <c r="C79" s="12">
        <v>54</v>
      </c>
      <c r="D79" s="13">
        <v>61.766666667535901</v>
      </c>
      <c r="E79" s="14">
        <v>1080</v>
      </c>
      <c r="F79" s="15">
        <v>1105</v>
      </c>
      <c r="G79" s="18">
        <f t="shared" si="3"/>
        <v>0.87425796005245648</v>
      </c>
      <c r="H79" s="61"/>
      <c r="I79" s="25">
        <f t="shared" si="2"/>
        <v>1.0231481481481481</v>
      </c>
      <c r="J79" s="64"/>
      <c r="K79" s="70"/>
    </row>
    <row r="80" spans="1:11" ht="15.6" x14ac:dyDescent="0.3">
      <c r="A80" s="58"/>
      <c r="B80" s="6" t="s">
        <v>2</v>
      </c>
      <c r="C80" s="12">
        <v>216</v>
      </c>
      <c r="D80" s="13">
        <v>217.13333333842456</v>
      </c>
      <c r="E80" s="14">
        <v>4320</v>
      </c>
      <c r="F80" s="15">
        <v>4331</v>
      </c>
      <c r="G80" s="18">
        <f t="shared" si="3"/>
        <v>0.99478047280443049</v>
      </c>
      <c r="H80" s="61"/>
      <c r="I80" s="25">
        <f t="shared" si="2"/>
        <v>1.0025462962962963</v>
      </c>
      <c r="J80" s="64"/>
      <c r="K80" s="70"/>
    </row>
    <row r="81" spans="1:11" ht="16.2" thickBot="1" x14ac:dyDescent="0.35">
      <c r="A81" s="59"/>
      <c r="B81" s="7" t="s">
        <v>4</v>
      </c>
      <c r="C81" s="16">
        <v>0</v>
      </c>
      <c r="D81" s="17">
        <v>0</v>
      </c>
      <c r="E81" s="21">
        <v>0</v>
      </c>
      <c r="F81" s="22">
        <v>0</v>
      </c>
      <c r="G81" s="20" t="str">
        <f t="shared" si="3"/>
        <v>0</v>
      </c>
      <c r="H81" s="62"/>
      <c r="I81" s="26" t="e">
        <f t="shared" si="2"/>
        <v>#DIV/0!</v>
      </c>
      <c r="J81" s="65"/>
      <c r="K81" s="71"/>
    </row>
    <row r="82" spans="1:11" ht="15.6" x14ac:dyDescent="0.3">
      <c r="A82" s="57">
        <v>44592</v>
      </c>
      <c r="B82" s="5" t="s">
        <v>1</v>
      </c>
      <c r="C82" s="8">
        <v>54</v>
      </c>
      <c r="D82" s="9">
        <v>144.75000000558794</v>
      </c>
      <c r="E82" s="10">
        <v>1080</v>
      </c>
      <c r="F82" s="11">
        <v>1117</v>
      </c>
      <c r="G82" s="19">
        <f t="shared" si="3"/>
        <v>0.37305699480425136</v>
      </c>
      <c r="H82" s="60">
        <f>AVERAGE(G82:G85)</f>
        <v>0.7450912361008214</v>
      </c>
      <c r="I82" s="24">
        <f t="shared" si="2"/>
        <v>1.0342592592592592</v>
      </c>
      <c r="J82" s="63">
        <f>AVERAGE(I82:I84)</f>
        <v>1.0025462962962963</v>
      </c>
      <c r="K82" s="69">
        <f>AVERAGE(J82,H82)</f>
        <v>0.87381876619855881</v>
      </c>
    </row>
    <row r="83" spans="1:11" ht="15.6" x14ac:dyDescent="0.3">
      <c r="A83" s="58"/>
      <c r="B83" s="6" t="s">
        <v>3</v>
      </c>
      <c r="C83" s="12">
        <v>54</v>
      </c>
      <c r="D83" s="13">
        <v>52.966666663996875</v>
      </c>
      <c r="E83" s="14">
        <v>1080</v>
      </c>
      <c r="F83" s="15">
        <v>1060</v>
      </c>
      <c r="G83" s="18">
        <f t="shared" si="3"/>
        <v>1.019509125287386</v>
      </c>
      <c r="H83" s="61"/>
      <c r="I83" s="25">
        <f t="shared" si="2"/>
        <v>0.98148148148148151</v>
      </c>
      <c r="J83" s="64"/>
      <c r="K83" s="70"/>
    </row>
    <row r="84" spans="1:11" ht="15.6" x14ac:dyDescent="0.3">
      <c r="A84" s="58"/>
      <c r="B84" s="6" t="s">
        <v>2</v>
      </c>
      <c r="C84" s="12">
        <v>216</v>
      </c>
      <c r="D84" s="13">
        <v>256.3166666845791</v>
      </c>
      <c r="E84" s="14">
        <v>4320</v>
      </c>
      <c r="F84" s="15">
        <v>4285</v>
      </c>
      <c r="G84" s="18">
        <f t="shared" si="3"/>
        <v>0.8427075882108267</v>
      </c>
      <c r="H84" s="61"/>
      <c r="I84" s="25">
        <f t="shared" si="2"/>
        <v>0.99189814814814814</v>
      </c>
      <c r="J84" s="64"/>
      <c r="K84" s="70"/>
    </row>
    <row r="85" spans="1:11" ht="16.2" thickBot="1" x14ac:dyDescent="0.35">
      <c r="A85" s="59"/>
      <c r="B85" s="7" t="s">
        <v>4</v>
      </c>
      <c r="C85" s="16">
        <v>0</v>
      </c>
      <c r="D85" s="17">
        <v>0</v>
      </c>
      <c r="E85" s="21">
        <v>0</v>
      </c>
      <c r="F85" s="22">
        <v>0</v>
      </c>
      <c r="G85" s="20" t="str">
        <f t="shared" si="3"/>
        <v>0</v>
      </c>
      <c r="H85" s="62"/>
      <c r="I85" s="26" t="e">
        <f t="shared" si="2"/>
        <v>#DIV/0!</v>
      </c>
      <c r="J85" s="65"/>
      <c r="K85" s="71"/>
    </row>
    <row r="86" spans="1:11" ht="15.6" x14ac:dyDescent="0.3">
      <c r="A86" s="57"/>
      <c r="B86" s="5" t="s">
        <v>1</v>
      </c>
      <c r="C86" s="8"/>
      <c r="D86" s="9"/>
      <c r="E86" s="10"/>
      <c r="F86" s="11"/>
      <c r="G86" s="19" t="str">
        <f t="shared" si="3"/>
        <v/>
      </c>
      <c r="H86" s="60" t="e">
        <f>AVERAGE(G86:G89)</f>
        <v>#DIV/0!</v>
      </c>
      <c r="I86" s="24" t="str">
        <f t="shared" si="2"/>
        <v>0</v>
      </c>
      <c r="J86" s="63" t="e">
        <f>AVERAGE(I86:I88)</f>
        <v>#DIV/0!</v>
      </c>
      <c r="K86" s="69" t="e">
        <f>AVERAGE(J86,H86)</f>
        <v>#DIV/0!</v>
      </c>
    </row>
    <row r="87" spans="1:11" ht="15.6" x14ac:dyDescent="0.3">
      <c r="A87" s="58"/>
      <c r="B87" s="6" t="s">
        <v>3</v>
      </c>
      <c r="C87" s="12"/>
      <c r="D87" s="13"/>
      <c r="E87" s="14"/>
      <c r="F87" s="15"/>
      <c r="G87" s="18" t="str">
        <f t="shared" si="3"/>
        <v/>
      </c>
      <c r="H87" s="61"/>
      <c r="I87" s="25" t="str">
        <f t="shared" si="2"/>
        <v>0</v>
      </c>
      <c r="J87" s="64"/>
      <c r="K87" s="70"/>
    </row>
    <row r="88" spans="1:11" ht="15.6" x14ac:dyDescent="0.3">
      <c r="A88" s="58"/>
      <c r="B88" s="6" t="s">
        <v>2</v>
      </c>
      <c r="C88" s="12"/>
      <c r="D88" s="13"/>
      <c r="E88" s="14"/>
      <c r="F88" s="15"/>
      <c r="G88" s="18" t="str">
        <f t="shared" si="3"/>
        <v/>
      </c>
      <c r="H88" s="61"/>
      <c r="I88" s="25" t="str">
        <f t="shared" si="2"/>
        <v>0</v>
      </c>
      <c r="J88" s="64"/>
      <c r="K88" s="70"/>
    </row>
    <row r="89" spans="1:11" ht="16.2" thickBot="1" x14ac:dyDescent="0.35">
      <c r="A89" s="59"/>
      <c r="B89" s="7" t="s">
        <v>4</v>
      </c>
      <c r="C89" s="16"/>
      <c r="D89" s="17"/>
      <c r="E89" s="21"/>
      <c r="F89" s="22"/>
      <c r="G89" s="20" t="str">
        <f t="shared" si="3"/>
        <v/>
      </c>
      <c r="H89" s="62"/>
      <c r="I89" s="26" t="str">
        <f t="shared" si="2"/>
        <v>0</v>
      </c>
      <c r="J89" s="65"/>
      <c r="K89" s="71"/>
    </row>
    <row r="90" spans="1:11" ht="15.6" x14ac:dyDescent="0.3">
      <c r="A90" s="57"/>
      <c r="B90" s="5" t="s">
        <v>1</v>
      </c>
      <c r="C90" s="8"/>
      <c r="D90" s="9"/>
      <c r="E90" s="10"/>
      <c r="F90" s="11"/>
      <c r="G90" s="19" t="str">
        <f t="shared" si="3"/>
        <v/>
      </c>
      <c r="H90" s="60" t="e">
        <f>AVERAGE(G90:G93)</f>
        <v>#DIV/0!</v>
      </c>
      <c r="I90" s="24" t="str">
        <f t="shared" si="2"/>
        <v>0</v>
      </c>
      <c r="J90" s="63" t="e">
        <f>AVERAGE(I90:I92)</f>
        <v>#DIV/0!</v>
      </c>
      <c r="K90" s="69" t="e">
        <f>AVERAGE(J90,H90)</f>
        <v>#DIV/0!</v>
      </c>
    </row>
    <row r="91" spans="1:11" ht="15.6" x14ac:dyDescent="0.3">
      <c r="A91" s="58"/>
      <c r="B91" s="6" t="s">
        <v>3</v>
      </c>
      <c r="C91" s="12"/>
      <c r="D91" s="13"/>
      <c r="E91" s="14"/>
      <c r="F91" s="15"/>
      <c r="G91" s="18" t="str">
        <f t="shared" si="3"/>
        <v/>
      </c>
      <c r="H91" s="61"/>
      <c r="I91" s="25" t="str">
        <f t="shared" si="2"/>
        <v>0</v>
      </c>
      <c r="J91" s="64"/>
      <c r="K91" s="70"/>
    </row>
    <row r="92" spans="1:11" ht="15.6" x14ac:dyDescent="0.3">
      <c r="A92" s="58"/>
      <c r="B92" s="6" t="s">
        <v>2</v>
      </c>
      <c r="C92" s="12"/>
      <c r="D92" s="13"/>
      <c r="E92" s="14"/>
      <c r="F92" s="15"/>
      <c r="G92" s="18" t="str">
        <f t="shared" si="3"/>
        <v/>
      </c>
      <c r="H92" s="61"/>
      <c r="I92" s="25" t="str">
        <f t="shared" si="2"/>
        <v>0</v>
      </c>
      <c r="J92" s="64"/>
      <c r="K92" s="70"/>
    </row>
    <row r="93" spans="1:11" ht="16.2" thickBot="1" x14ac:dyDescent="0.35">
      <c r="A93" s="59"/>
      <c r="B93" s="7" t="s">
        <v>4</v>
      </c>
      <c r="C93" s="16"/>
      <c r="D93" s="17"/>
      <c r="E93" s="21"/>
      <c r="F93" s="22"/>
      <c r="G93" s="20" t="str">
        <f t="shared" si="3"/>
        <v/>
      </c>
      <c r="H93" s="62"/>
      <c r="I93" s="26" t="str">
        <f t="shared" si="2"/>
        <v>0</v>
      </c>
      <c r="J93" s="65"/>
      <c r="K93" s="71"/>
    </row>
    <row r="94" spans="1:11" ht="15.6" x14ac:dyDescent="0.3">
      <c r="A94" s="57"/>
      <c r="B94" s="5" t="s">
        <v>1</v>
      </c>
      <c r="C94" s="8"/>
      <c r="D94" s="9"/>
      <c r="E94" s="10"/>
      <c r="F94" s="11"/>
      <c r="G94" s="19" t="str">
        <f t="shared" si="3"/>
        <v/>
      </c>
      <c r="H94" s="60" t="e">
        <f>AVERAGE(G94:G97)</f>
        <v>#DIV/0!</v>
      </c>
      <c r="I94" s="24" t="str">
        <f t="shared" si="2"/>
        <v>0</v>
      </c>
      <c r="J94" s="63" t="e">
        <f>AVERAGE(I94:I96)</f>
        <v>#DIV/0!</v>
      </c>
      <c r="K94" s="69" t="e">
        <f>AVERAGE(J94,H94)</f>
        <v>#DIV/0!</v>
      </c>
    </row>
    <row r="95" spans="1:11" ht="15.6" x14ac:dyDescent="0.3">
      <c r="A95" s="58"/>
      <c r="B95" s="6" t="s">
        <v>3</v>
      </c>
      <c r="C95" s="12"/>
      <c r="D95" s="13"/>
      <c r="E95" s="14"/>
      <c r="F95" s="15"/>
      <c r="G95" s="18" t="str">
        <f t="shared" si="3"/>
        <v/>
      </c>
      <c r="H95" s="61"/>
      <c r="I95" s="25" t="str">
        <f t="shared" si="2"/>
        <v>0</v>
      </c>
      <c r="J95" s="64"/>
      <c r="K95" s="70"/>
    </row>
    <row r="96" spans="1:11" ht="15.6" x14ac:dyDescent="0.3">
      <c r="A96" s="58"/>
      <c r="B96" s="6" t="s">
        <v>2</v>
      </c>
      <c r="C96" s="12"/>
      <c r="D96" s="13"/>
      <c r="E96" s="14"/>
      <c r="F96" s="15"/>
      <c r="G96" s="18" t="str">
        <f t="shared" si="3"/>
        <v/>
      </c>
      <c r="H96" s="61"/>
      <c r="I96" s="25" t="str">
        <f t="shared" si="2"/>
        <v>0</v>
      </c>
      <c r="J96" s="64"/>
      <c r="K96" s="70"/>
    </row>
    <row r="97" spans="1:11" ht="16.2" thickBot="1" x14ac:dyDescent="0.35">
      <c r="A97" s="59"/>
      <c r="B97" s="7" t="s">
        <v>4</v>
      </c>
      <c r="C97" s="16"/>
      <c r="D97" s="17"/>
      <c r="E97" s="21"/>
      <c r="F97" s="22"/>
      <c r="G97" s="20" t="str">
        <f t="shared" si="3"/>
        <v/>
      </c>
      <c r="H97" s="62"/>
      <c r="I97" s="26" t="str">
        <f t="shared" si="2"/>
        <v>0</v>
      </c>
      <c r="J97" s="65"/>
      <c r="K97" s="71"/>
    </row>
    <row r="98" spans="1:11" ht="15.6" x14ac:dyDescent="0.3">
      <c r="A98" s="57"/>
      <c r="B98" s="5" t="s">
        <v>1</v>
      </c>
      <c r="C98" s="8"/>
      <c r="D98" s="9"/>
      <c r="E98" s="10"/>
      <c r="F98" s="11"/>
      <c r="G98" s="19" t="str">
        <f t="shared" si="3"/>
        <v/>
      </c>
      <c r="H98" s="60" t="e">
        <f>AVERAGE(G98:G101)</f>
        <v>#DIV/0!</v>
      </c>
      <c r="I98" s="24" t="str">
        <f t="shared" si="2"/>
        <v>0</v>
      </c>
      <c r="J98" s="63" t="e">
        <f>AVERAGE(I98:I100)</f>
        <v>#DIV/0!</v>
      </c>
      <c r="K98" s="69" t="e">
        <f>AVERAGE(J98,H98)</f>
        <v>#DIV/0!</v>
      </c>
    </row>
    <row r="99" spans="1:11" ht="15.6" x14ac:dyDescent="0.3">
      <c r="A99" s="58"/>
      <c r="B99" s="6" t="s">
        <v>3</v>
      </c>
      <c r="C99" s="12"/>
      <c r="D99" s="13"/>
      <c r="E99" s="14"/>
      <c r="F99" s="15"/>
      <c r="G99" s="18" t="str">
        <f t="shared" si="3"/>
        <v/>
      </c>
      <c r="H99" s="61"/>
      <c r="I99" s="25" t="str">
        <f t="shared" si="2"/>
        <v>0</v>
      </c>
      <c r="J99" s="64"/>
      <c r="K99" s="70"/>
    </row>
    <row r="100" spans="1:11" ht="15.6" x14ac:dyDescent="0.3">
      <c r="A100" s="58"/>
      <c r="B100" s="6" t="s">
        <v>2</v>
      </c>
      <c r="C100" s="12"/>
      <c r="D100" s="13"/>
      <c r="E100" s="14"/>
      <c r="F100" s="15"/>
      <c r="G100" s="18" t="str">
        <f t="shared" si="3"/>
        <v/>
      </c>
      <c r="H100" s="61"/>
      <c r="I100" s="25" t="str">
        <f t="shared" si="2"/>
        <v>0</v>
      </c>
      <c r="J100" s="64"/>
      <c r="K100" s="70"/>
    </row>
    <row r="101" spans="1:11" ht="16.2" thickBot="1" x14ac:dyDescent="0.35">
      <c r="A101" s="59"/>
      <c r="B101" s="7" t="s">
        <v>4</v>
      </c>
      <c r="C101" s="16"/>
      <c r="D101" s="17"/>
      <c r="E101" s="21"/>
      <c r="F101" s="22"/>
      <c r="G101" s="20" t="str">
        <f t="shared" si="3"/>
        <v/>
      </c>
      <c r="H101" s="62"/>
      <c r="I101" s="26" t="str">
        <f t="shared" si="2"/>
        <v>0</v>
      </c>
      <c r="J101" s="65"/>
      <c r="K101" s="71"/>
    </row>
    <row r="102" spans="1:11" ht="15.6" x14ac:dyDescent="0.3">
      <c r="A102" s="57"/>
      <c r="B102" s="5" t="s">
        <v>1</v>
      </c>
      <c r="C102" s="8"/>
      <c r="D102" s="9"/>
      <c r="E102" s="10"/>
      <c r="F102" s="11"/>
      <c r="G102" s="19" t="str">
        <f t="shared" si="3"/>
        <v/>
      </c>
      <c r="H102" s="60" t="e">
        <f>AVERAGE(G102:G105)</f>
        <v>#DIV/0!</v>
      </c>
      <c r="I102" s="24" t="str">
        <f t="shared" si="2"/>
        <v>0</v>
      </c>
      <c r="J102" s="63" t="e">
        <f>AVERAGE(I102:I104)</f>
        <v>#DIV/0!</v>
      </c>
      <c r="K102" s="69" t="e">
        <f>AVERAGE(J102,H102)</f>
        <v>#DIV/0!</v>
      </c>
    </row>
    <row r="103" spans="1:11" ht="15.6" x14ac:dyDescent="0.3">
      <c r="A103" s="58"/>
      <c r="B103" s="6" t="s">
        <v>3</v>
      </c>
      <c r="C103" s="12"/>
      <c r="D103" s="13"/>
      <c r="E103" s="14"/>
      <c r="F103" s="15"/>
      <c r="G103" s="18" t="str">
        <f t="shared" si="3"/>
        <v/>
      </c>
      <c r="H103" s="61"/>
      <c r="I103" s="25" t="str">
        <f t="shared" si="2"/>
        <v>0</v>
      </c>
      <c r="J103" s="64"/>
      <c r="K103" s="70"/>
    </row>
    <row r="104" spans="1:11" ht="15.6" x14ac:dyDescent="0.3">
      <c r="A104" s="58"/>
      <c r="B104" s="6" t="s">
        <v>2</v>
      </c>
      <c r="C104" s="12"/>
      <c r="D104" s="13"/>
      <c r="E104" s="14"/>
      <c r="F104" s="15"/>
      <c r="G104" s="18" t="str">
        <f t="shared" si="3"/>
        <v/>
      </c>
      <c r="H104" s="61"/>
      <c r="I104" s="25" t="str">
        <f t="shared" si="2"/>
        <v>0</v>
      </c>
      <c r="J104" s="64"/>
      <c r="K104" s="70"/>
    </row>
    <row r="105" spans="1:11" ht="16.2" thickBot="1" x14ac:dyDescent="0.35">
      <c r="A105" s="59"/>
      <c r="B105" s="7" t="s">
        <v>4</v>
      </c>
      <c r="C105" s="16"/>
      <c r="D105" s="17"/>
      <c r="E105" s="21"/>
      <c r="F105" s="22"/>
      <c r="G105" s="20" t="str">
        <f t="shared" si="3"/>
        <v/>
      </c>
      <c r="H105" s="62"/>
      <c r="I105" s="26" t="str">
        <f t="shared" si="2"/>
        <v>0</v>
      </c>
      <c r="J105" s="65"/>
      <c r="K105" s="71"/>
    </row>
    <row r="106" spans="1:11" ht="15.6" x14ac:dyDescent="0.3">
      <c r="A106" s="57"/>
      <c r="B106" s="5" t="s">
        <v>1</v>
      </c>
      <c r="C106" s="8"/>
      <c r="D106" s="9"/>
      <c r="E106" s="10"/>
      <c r="F106" s="11"/>
      <c r="G106" s="19" t="str">
        <f t="shared" si="3"/>
        <v/>
      </c>
      <c r="H106" s="60" t="e">
        <f>AVERAGE(G106:G109)</f>
        <v>#DIV/0!</v>
      </c>
      <c r="I106" s="24" t="str">
        <f t="shared" si="2"/>
        <v>0</v>
      </c>
      <c r="J106" s="63" t="e">
        <f>AVERAGE(I106:I108)</f>
        <v>#DIV/0!</v>
      </c>
      <c r="K106" s="69" t="e">
        <f>AVERAGE(J106,H106)</f>
        <v>#DIV/0!</v>
      </c>
    </row>
    <row r="107" spans="1:11" ht="15.6" x14ac:dyDescent="0.3">
      <c r="A107" s="58"/>
      <c r="B107" s="6" t="s">
        <v>3</v>
      </c>
      <c r="C107" s="12"/>
      <c r="D107" s="13"/>
      <c r="E107" s="14"/>
      <c r="F107" s="15"/>
      <c r="G107" s="18" t="str">
        <f t="shared" si="3"/>
        <v/>
      </c>
      <c r="H107" s="61"/>
      <c r="I107" s="25" t="str">
        <f t="shared" si="2"/>
        <v>0</v>
      </c>
      <c r="J107" s="64"/>
      <c r="K107" s="70"/>
    </row>
    <row r="108" spans="1:11" ht="15.6" x14ac:dyDescent="0.3">
      <c r="A108" s="58"/>
      <c r="B108" s="6" t="s">
        <v>2</v>
      </c>
      <c r="C108" s="12"/>
      <c r="D108" s="13"/>
      <c r="E108" s="14"/>
      <c r="F108" s="15"/>
      <c r="G108" s="18" t="str">
        <f t="shared" si="3"/>
        <v/>
      </c>
      <c r="H108" s="61"/>
      <c r="I108" s="25" t="str">
        <f t="shared" si="2"/>
        <v>0</v>
      </c>
      <c r="J108" s="64"/>
      <c r="K108" s="70"/>
    </row>
    <row r="109" spans="1:11" ht="16.2" thickBot="1" x14ac:dyDescent="0.35">
      <c r="A109" s="59"/>
      <c r="B109" s="7" t="s">
        <v>4</v>
      </c>
      <c r="C109" s="16"/>
      <c r="D109" s="17"/>
      <c r="E109" s="21"/>
      <c r="F109" s="22"/>
      <c r="G109" s="20" t="str">
        <f t="shared" si="3"/>
        <v/>
      </c>
      <c r="H109" s="62"/>
      <c r="I109" s="26" t="str">
        <f t="shared" si="2"/>
        <v>0</v>
      </c>
      <c r="J109" s="65"/>
      <c r="K109" s="71"/>
    </row>
    <row r="110" spans="1:11" ht="15.6" x14ac:dyDescent="0.3">
      <c r="A110" s="57"/>
      <c r="B110" s="5" t="s">
        <v>1</v>
      </c>
      <c r="C110" s="8"/>
      <c r="D110" s="9"/>
      <c r="E110" s="10"/>
      <c r="F110" s="11"/>
      <c r="G110" s="19" t="str">
        <f t="shared" si="3"/>
        <v/>
      </c>
      <c r="H110" s="60" t="e">
        <f>AVERAGE(G110:G113)</f>
        <v>#DIV/0!</v>
      </c>
      <c r="I110" s="24" t="str">
        <f t="shared" si="2"/>
        <v>0</v>
      </c>
      <c r="J110" s="63" t="e">
        <f>AVERAGE(I110:I112)</f>
        <v>#DIV/0!</v>
      </c>
      <c r="K110" s="69" t="e">
        <f>AVERAGE(J110,H110)</f>
        <v>#DIV/0!</v>
      </c>
    </row>
    <row r="111" spans="1:11" ht="15.6" x14ac:dyDescent="0.3">
      <c r="A111" s="58"/>
      <c r="B111" s="6" t="s">
        <v>3</v>
      </c>
      <c r="C111" s="12"/>
      <c r="D111" s="13"/>
      <c r="E111" s="14"/>
      <c r="F111" s="15"/>
      <c r="G111" s="18" t="str">
        <f t="shared" si="3"/>
        <v/>
      </c>
      <c r="H111" s="61"/>
      <c r="I111" s="25" t="str">
        <f t="shared" si="2"/>
        <v>0</v>
      </c>
      <c r="J111" s="64"/>
      <c r="K111" s="70"/>
    </row>
    <row r="112" spans="1:11" ht="15.6" x14ac:dyDescent="0.3">
      <c r="A112" s="58"/>
      <c r="B112" s="6" t="s">
        <v>2</v>
      </c>
      <c r="C112" s="12"/>
      <c r="D112" s="13"/>
      <c r="E112" s="14"/>
      <c r="F112" s="15"/>
      <c r="G112" s="18" t="str">
        <f t="shared" si="3"/>
        <v/>
      </c>
      <c r="H112" s="61"/>
      <c r="I112" s="25" t="str">
        <f t="shared" si="2"/>
        <v>0</v>
      </c>
      <c r="J112" s="64"/>
      <c r="K112" s="70"/>
    </row>
    <row r="113" spans="1:11" ht="16.2" thickBot="1" x14ac:dyDescent="0.35">
      <c r="A113" s="59"/>
      <c r="B113" s="7" t="s">
        <v>4</v>
      </c>
      <c r="C113" s="16"/>
      <c r="D113" s="17"/>
      <c r="E113" s="21"/>
      <c r="F113" s="22"/>
      <c r="G113" s="20" t="str">
        <f t="shared" si="3"/>
        <v/>
      </c>
      <c r="H113" s="62"/>
      <c r="I113" s="26" t="str">
        <f t="shared" si="2"/>
        <v>0</v>
      </c>
      <c r="J113" s="65"/>
      <c r="K113" s="71"/>
    </row>
    <row r="114" spans="1:11" ht="15.6" x14ac:dyDescent="0.3">
      <c r="A114" s="57"/>
      <c r="B114" s="5" t="s">
        <v>1</v>
      </c>
      <c r="C114" s="8"/>
      <c r="D114" s="9"/>
      <c r="E114" s="10"/>
      <c r="F114" s="11"/>
      <c r="G114" s="19" t="str">
        <f t="shared" si="3"/>
        <v/>
      </c>
      <c r="H114" s="60" t="e">
        <f>AVERAGE(G114:G117)</f>
        <v>#DIV/0!</v>
      </c>
      <c r="I114" s="24" t="str">
        <f t="shared" si="2"/>
        <v>0</v>
      </c>
      <c r="J114" s="63" t="e">
        <f>AVERAGE(I114:I116)</f>
        <v>#DIV/0!</v>
      </c>
      <c r="K114" s="69" t="e">
        <f>AVERAGE(J114,H114)</f>
        <v>#DIV/0!</v>
      </c>
    </row>
    <row r="115" spans="1:11" ht="15.6" x14ac:dyDescent="0.3">
      <c r="A115" s="58"/>
      <c r="B115" s="6" t="s">
        <v>3</v>
      </c>
      <c r="C115" s="12"/>
      <c r="D115" s="13"/>
      <c r="E115" s="14"/>
      <c r="F115" s="15"/>
      <c r="G115" s="18" t="str">
        <f t="shared" si="3"/>
        <v/>
      </c>
      <c r="H115" s="61"/>
      <c r="I115" s="25" t="str">
        <f t="shared" si="2"/>
        <v>0</v>
      </c>
      <c r="J115" s="64"/>
      <c r="K115" s="70"/>
    </row>
    <row r="116" spans="1:11" ht="15.6" x14ac:dyDescent="0.3">
      <c r="A116" s="58"/>
      <c r="B116" s="6" t="s">
        <v>2</v>
      </c>
      <c r="C116" s="12"/>
      <c r="D116" s="13"/>
      <c r="E116" s="14"/>
      <c r="F116" s="15"/>
      <c r="G116" s="18" t="str">
        <f t="shared" si="3"/>
        <v/>
      </c>
      <c r="H116" s="61"/>
      <c r="I116" s="25" t="str">
        <f t="shared" si="2"/>
        <v>0</v>
      </c>
      <c r="J116" s="64"/>
      <c r="K116" s="70"/>
    </row>
    <row r="117" spans="1:11" ht="16.2" thickBot="1" x14ac:dyDescent="0.35">
      <c r="A117" s="59"/>
      <c r="B117" s="7" t="s">
        <v>4</v>
      </c>
      <c r="C117" s="16"/>
      <c r="D117" s="17"/>
      <c r="E117" s="21"/>
      <c r="F117" s="22"/>
      <c r="G117" s="20" t="str">
        <f t="shared" si="3"/>
        <v/>
      </c>
      <c r="H117" s="62"/>
      <c r="I117" s="26" t="str">
        <f t="shared" si="2"/>
        <v>0</v>
      </c>
      <c r="J117" s="65"/>
      <c r="K117" s="71"/>
    </row>
    <row r="118" spans="1:11" ht="15.6" x14ac:dyDescent="0.3">
      <c r="A118" s="57"/>
      <c r="B118" s="5" t="s">
        <v>1</v>
      </c>
      <c r="C118" s="8"/>
      <c r="D118" s="9"/>
      <c r="E118" s="10"/>
      <c r="F118" s="11"/>
      <c r="G118" s="19" t="str">
        <f t="shared" si="3"/>
        <v/>
      </c>
      <c r="H118" s="60" t="e">
        <f>AVERAGE(G118:G121)</f>
        <v>#DIV/0!</v>
      </c>
      <c r="I118" s="24" t="str">
        <f t="shared" si="2"/>
        <v>0</v>
      </c>
      <c r="J118" s="63" t="e">
        <f>AVERAGE(I118:I120)</f>
        <v>#DIV/0!</v>
      </c>
      <c r="K118" s="69" t="e">
        <f>AVERAGE(J118,H118)</f>
        <v>#DIV/0!</v>
      </c>
    </row>
    <row r="119" spans="1:11" ht="15.6" x14ac:dyDescent="0.3">
      <c r="A119" s="58"/>
      <c r="B119" s="6" t="s">
        <v>3</v>
      </c>
      <c r="C119" s="12"/>
      <c r="D119" s="13"/>
      <c r="E119" s="14"/>
      <c r="F119" s="15"/>
      <c r="G119" s="18" t="str">
        <f t="shared" si="3"/>
        <v/>
      </c>
      <c r="H119" s="61"/>
      <c r="I119" s="25" t="str">
        <f t="shared" si="2"/>
        <v>0</v>
      </c>
      <c r="J119" s="64"/>
      <c r="K119" s="70"/>
    </row>
    <row r="120" spans="1:11" ht="15.6" x14ac:dyDescent="0.3">
      <c r="A120" s="58"/>
      <c r="B120" s="6" t="s">
        <v>2</v>
      </c>
      <c r="C120" s="12"/>
      <c r="D120" s="13"/>
      <c r="E120" s="14"/>
      <c r="F120" s="15"/>
      <c r="G120" s="18" t="str">
        <f t="shared" si="3"/>
        <v/>
      </c>
      <c r="H120" s="61"/>
      <c r="I120" s="25" t="str">
        <f t="shared" si="2"/>
        <v>0</v>
      </c>
      <c r="J120" s="64"/>
      <c r="K120" s="70"/>
    </row>
    <row r="121" spans="1:11" ht="16.2" thickBot="1" x14ac:dyDescent="0.35">
      <c r="A121" s="59"/>
      <c r="B121" s="7" t="s">
        <v>4</v>
      </c>
      <c r="C121" s="16"/>
      <c r="D121" s="17"/>
      <c r="E121" s="21"/>
      <c r="F121" s="22"/>
      <c r="G121" s="20" t="str">
        <f t="shared" si="3"/>
        <v/>
      </c>
      <c r="H121" s="62"/>
      <c r="I121" s="26" t="str">
        <f t="shared" si="2"/>
        <v>0</v>
      </c>
      <c r="J121" s="65"/>
      <c r="K121" s="71"/>
    </row>
    <row r="122" spans="1:11" ht="15.6" x14ac:dyDescent="0.3">
      <c r="A122" s="57"/>
      <c r="B122" s="5" t="s">
        <v>1</v>
      </c>
      <c r="C122" s="8"/>
      <c r="D122" s="9"/>
      <c r="E122" s="10"/>
      <c r="F122" s="11"/>
      <c r="G122" s="19" t="str">
        <f t="shared" si="3"/>
        <v/>
      </c>
      <c r="H122" s="60" t="e">
        <f>AVERAGE(G122:G125)</f>
        <v>#DIV/0!</v>
      </c>
      <c r="I122" s="24" t="str">
        <f t="shared" si="2"/>
        <v>0</v>
      </c>
      <c r="J122" s="63" t="e">
        <f>AVERAGE(I122:I124)</f>
        <v>#DIV/0!</v>
      </c>
      <c r="K122" s="69" t="e">
        <f>AVERAGE(J122,H122)</f>
        <v>#DIV/0!</v>
      </c>
    </row>
    <row r="123" spans="1:11" ht="15.6" x14ac:dyDescent="0.3">
      <c r="A123" s="58"/>
      <c r="B123" s="6" t="s">
        <v>3</v>
      </c>
      <c r="C123" s="12"/>
      <c r="D123" s="13"/>
      <c r="E123" s="14"/>
      <c r="F123" s="15"/>
      <c r="G123" s="18" t="str">
        <f t="shared" si="3"/>
        <v/>
      </c>
      <c r="H123" s="61"/>
      <c r="I123" s="25" t="str">
        <f t="shared" si="2"/>
        <v>0</v>
      </c>
      <c r="J123" s="64"/>
      <c r="K123" s="70"/>
    </row>
    <row r="124" spans="1:11" ht="15.6" x14ac:dyDescent="0.3">
      <c r="A124" s="58"/>
      <c r="B124" s="6" t="s">
        <v>2</v>
      </c>
      <c r="C124" s="12"/>
      <c r="D124" s="13"/>
      <c r="E124" s="14"/>
      <c r="F124" s="15"/>
      <c r="G124" s="18" t="str">
        <f t="shared" si="3"/>
        <v/>
      </c>
      <c r="H124" s="61"/>
      <c r="I124" s="25" t="str">
        <f t="shared" si="2"/>
        <v>0</v>
      </c>
      <c r="J124" s="64"/>
      <c r="K124" s="70"/>
    </row>
    <row r="125" spans="1:11" ht="16.2" thickBot="1" x14ac:dyDescent="0.35">
      <c r="A125" s="59"/>
      <c r="B125" s="7" t="s">
        <v>4</v>
      </c>
      <c r="C125" s="16"/>
      <c r="D125" s="17"/>
      <c r="E125" s="21"/>
      <c r="F125" s="22"/>
      <c r="G125" s="20" t="str">
        <f t="shared" si="3"/>
        <v/>
      </c>
      <c r="H125" s="62"/>
      <c r="I125" s="26" t="str">
        <f t="shared" si="2"/>
        <v>0</v>
      </c>
      <c r="J125" s="65"/>
      <c r="K125" s="71"/>
    </row>
    <row r="126" spans="1:11" ht="15.6" x14ac:dyDescent="0.3">
      <c r="A126" s="57"/>
      <c r="B126" s="5" t="s">
        <v>1</v>
      </c>
      <c r="C126" s="8"/>
      <c r="D126" s="9"/>
      <c r="E126" s="10"/>
      <c r="F126" s="11"/>
      <c r="G126" s="19" t="str">
        <f t="shared" si="3"/>
        <v/>
      </c>
      <c r="H126" s="60" t="e">
        <f>AVERAGE(G126:G129)</f>
        <v>#DIV/0!</v>
      </c>
      <c r="I126" s="24" t="str">
        <f t="shared" si="2"/>
        <v>0</v>
      </c>
      <c r="J126" s="63" t="e">
        <f>AVERAGE(I126:I128)</f>
        <v>#DIV/0!</v>
      </c>
      <c r="K126" s="69" t="e">
        <f>AVERAGE(J126,H126)</f>
        <v>#DIV/0!</v>
      </c>
    </row>
    <row r="127" spans="1:11" ht="15.6" x14ac:dyDescent="0.3">
      <c r="A127" s="58"/>
      <c r="B127" s="6" t="s">
        <v>3</v>
      </c>
      <c r="C127" s="12"/>
      <c r="D127" s="13"/>
      <c r="E127" s="14"/>
      <c r="F127" s="15"/>
      <c r="G127" s="18" t="str">
        <f t="shared" si="3"/>
        <v/>
      </c>
      <c r="H127" s="61"/>
      <c r="I127" s="25" t="str">
        <f t="shared" si="2"/>
        <v>0</v>
      </c>
      <c r="J127" s="64"/>
      <c r="K127" s="70"/>
    </row>
    <row r="128" spans="1:11" ht="15.6" x14ac:dyDescent="0.3">
      <c r="A128" s="58"/>
      <c r="B128" s="6" t="s">
        <v>2</v>
      </c>
      <c r="C128" s="12"/>
      <c r="D128" s="13"/>
      <c r="E128" s="14"/>
      <c r="F128" s="15"/>
      <c r="G128" s="18" t="str">
        <f t="shared" si="3"/>
        <v/>
      </c>
      <c r="H128" s="61"/>
      <c r="I128" s="25" t="str">
        <f t="shared" si="2"/>
        <v>0</v>
      </c>
      <c r="J128" s="64"/>
      <c r="K128" s="70"/>
    </row>
    <row r="129" spans="1:11" ht="16.2" thickBot="1" x14ac:dyDescent="0.35">
      <c r="A129" s="59"/>
      <c r="B129" s="7" t="s">
        <v>4</v>
      </c>
      <c r="C129" s="16"/>
      <c r="D129" s="17"/>
      <c r="E129" s="21"/>
      <c r="F129" s="22"/>
      <c r="G129" s="20" t="str">
        <f t="shared" si="3"/>
        <v/>
      </c>
      <c r="H129" s="62"/>
      <c r="I129" s="26" t="str">
        <f t="shared" si="2"/>
        <v>0</v>
      </c>
      <c r="J129" s="65"/>
      <c r="K129" s="71"/>
    </row>
    <row r="130" spans="1:11" ht="15.6" x14ac:dyDescent="0.3">
      <c r="A130" s="57"/>
      <c r="B130" s="5" t="s">
        <v>1</v>
      </c>
      <c r="C130" s="8"/>
      <c r="D130" s="9"/>
      <c r="E130" s="10"/>
      <c r="F130" s="11"/>
      <c r="G130" s="19" t="str">
        <f t="shared" si="3"/>
        <v/>
      </c>
      <c r="H130" s="60" t="e">
        <f>AVERAGE(G130:G133)</f>
        <v>#DIV/0!</v>
      </c>
      <c r="I130" s="24" t="str">
        <f t="shared" si="2"/>
        <v>0</v>
      </c>
      <c r="J130" s="63" t="e">
        <f>AVERAGE(I130:I132)</f>
        <v>#DIV/0!</v>
      </c>
      <c r="K130" s="69" t="e">
        <f>AVERAGE(J130,H130)</f>
        <v>#DIV/0!</v>
      </c>
    </row>
    <row r="131" spans="1:11" ht="15.6" x14ac:dyDescent="0.3">
      <c r="A131" s="58"/>
      <c r="B131" s="6" t="s">
        <v>3</v>
      </c>
      <c r="C131" s="12"/>
      <c r="D131" s="13"/>
      <c r="E131" s="14"/>
      <c r="F131" s="15"/>
      <c r="G131" s="18" t="str">
        <f t="shared" si="3"/>
        <v/>
      </c>
      <c r="H131" s="61"/>
      <c r="I131" s="25" t="str">
        <f t="shared" ref="I131:I161" si="4">IF(F131="","0",F131/E131)</f>
        <v>0</v>
      </c>
      <c r="J131" s="64"/>
      <c r="K131" s="70"/>
    </row>
    <row r="132" spans="1:11" ht="15.6" x14ac:dyDescent="0.3">
      <c r="A132" s="58"/>
      <c r="B132" s="6" t="s">
        <v>2</v>
      </c>
      <c r="C132" s="12"/>
      <c r="D132" s="13"/>
      <c r="E132" s="14"/>
      <c r="F132" s="15"/>
      <c r="G132" s="18" t="str">
        <f t="shared" si="3"/>
        <v/>
      </c>
      <c r="H132" s="61"/>
      <c r="I132" s="25" t="str">
        <f t="shared" si="4"/>
        <v>0</v>
      </c>
      <c r="J132" s="64"/>
      <c r="K132" s="70"/>
    </row>
    <row r="133" spans="1:11" ht="16.2" thickBot="1" x14ac:dyDescent="0.35">
      <c r="A133" s="59"/>
      <c r="B133" s="7" t="s">
        <v>4</v>
      </c>
      <c r="C133" s="16"/>
      <c r="D133" s="17"/>
      <c r="E133" s="21"/>
      <c r="F133" s="22"/>
      <c r="G133" s="20" t="str">
        <f t="shared" si="3"/>
        <v/>
      </c>
      <c r="H133" s="62"/>
      <c r="I133" s="26" t="str">
        <f t="shared" si="4"/>
        <v>0</v>
      </c>
      <c r="J133" s="65"/>
      <c r="K133" s="71"/>
    </row>
    <row r="134" spans="1:11" ht="15.6" x14ac:dyDescent="0.3">
      <c r="A134" s="57"/>
      <c r="B134" s="5" t="s">
        <v>1</v>
      </c>
      <c r="C134" s="8"/>
      <c r="D134" s="9"/>
      <c r="E134" s="10"/>
      <c r="F134" s="11"/>
      <c r="G134" s="19" t="str">
        <f t="shared" ref="G134:G161" si="5">IF(D134="","",IF(D134=0,"0",C134/D134))</f>
        <v/>
      </c>
      <c r="H134" s="60" t="e">
        <f>AVERAGE(G134:G137)</f>
        <v>#DIV/0!</v>
      </c>
      <c r="I134" s="24" t="str">
        <f t="shared" si="4"/>
        <v>0</v>
      </c>
      <c r="J134" s="63" t="e">
        <f>AVERAGE(I134:I136)</f>
        <v>#DIV/0!</v>
      </c>
      <c r="K134" s="69" t="e">
        <f>AVERAGE(J134,H134)</f>
        <v>#DIV/0!</v>
      </c>
    </row>
    <row r="135" spans="1:11" ht="15.6" x14ac:dyDescent="0.3">
      <c r="A135" s="58"/>
      <c r="B135" s="6" t="s">
        <v>3</v>
      </c>
      <c r="C135" s="12"/>
      <c r="D135" s="13"/>
      <c r="E135" s="14"/>
      <c r="F135" s="15"/>
      <c r="G135" s="18" t="str">
        <f t="shared" si="5"/>
        <v/>
      </c>
      <c r="H135" s="61"/>
      <c r="I135" s="25" t="str">
        <f t="shared" si="4"/>
        <v>0</v>
      </c>
      <c r="J135" s="64"/>
      <c r="K135" s="70"/>
    </row>
    <row r="136" spans="1:11" ht="15.6" x14ac:dyDescent="0.3">
      <c r="A136" s="58"/>
      <c r="B136" s="6" t="s">
        <v>2</v>
      </c>
      <c r="C136" s="12"/>
      <c r="D136" s="13"/>
      <c r="E136" s="14"/>
      <c r="F136" s="15"/>
      <c r="G136" s="18" t="str">
        <f t="shared" si="5"/>
        <v/>
      </c>
      <c r="H136" s="61"/>
      <c r="I136" s="25" t="str">
        <f t="shared" si="4"/>
        <v>0</v>
      </c>
      <c r="J136" s="64"/>
      <c r="K136" s="70"/>
    </row>
    <row r="137" spans="1:11" ht="16.2" thickBot="1" x14ac:dyDescent="0.35">
      <c r="A137" s="59"/>
      <c r="B137" s="7" t="s">
        <v>4</v>
      </c>
      <c r="C137" s="16"/>
      <c r="D137" s="17"/>
      <c r="E137" s="21"/>
      <c r="F137" s="22"/>
      <c r="G137" s="20" t="str">
        <f t="shared" si="5"/>
        <v/>
      </c>
      <c r="H137" s="62"/>
      <c r="I137" s="26" t="str">
        <f t="shared" si="4"/>
        <v>0</v>
      </c>
      <c r="J137" s="65"/>
      <c r="K137" s="71"/>
    </row>
    <row r="138" spans="1:11" ht="15.6" x14ac:dyDescent="0.3">
      <c r="A138" s="57"/>
      <c r="B138" s="5" t="s">
        <v>1</v>
      </c>
      <c r="C138" s="8"/>
      <c r="D138" s="9"/>
      <c r="E138" s="10"/>
      <c r="F138" s="11"/>
      <c r="G138" s="19" t="str">
        <f t="shared" si="5"/>
        <v/>
      </c>
      <c r="H138" s="60" t="e">
        <f>AVERAGE(G138:G141)</f>
        <v>#DIV/0!</v>
      </c>
      <c r="I138" s="24" t="str">
        <f t="shared" si="4"/>
        <v>0</v>
      </c>
      <c r="J138" s="63" t="e">
        <f>AVERAGE(I138:I140)</f>
        <v>#DIV/0!</v>
      </c>
      <c r="K138" s="69" t="e">
        <f>AVERAGE(J138,H138)</f>
        <v>#DIV/0!</v>
      </c>
    </row>
    <row r="139" spans="1:11" ht="15.6" x14ac:dyDescent="0.3">
      <c r="A139" s="58"/>
      <c r="B139" s="6" t="s">
        <v>3</v>
      </c>
      <c r="C139" s="12"/>
      <c r="D139" s="13"/>
      <c r="E139" s="14"/>
      <c r="F139" s="15"/>
      <c r="G139" s="18" t="str">
        <f t="shared" si="5"/>
        <v/>
      </c>
      <c r="H139" s="61"/>
      <c r="I139" s="25" t="str">
        <f t="shared" si="4"/>
        <v>0</v>
      </c>
      <c r="J139" s="64"/>
      <c r="K139" s="70"/>
    </row>
    <row r="140" spans="1:11" ht="15.6" x14ac:dyDescent="0.3">
      <c r="A140" s="58"/>
      <c r="B140" s="6" t="s">
        <v>2</v>
      </c>
      <c r="C140" s="12"/>
      <c r="D140" s="13"/>
      <c r="E140" s="14"/>
      <c r="F140" s="15"/>
      <c r="G140" s="18" t="str">
        <f t="shared" si="5"/>
        <v/>
      </c>
      <c r="H140" s="61"/>
      <c r="I140" s="25" t="str">
        <f t="shared" si="4"/>
        <v>0</v>
      </c>
      <c r="J140" s="64"/>
      <c r="K140" s="70"/>
    </row>
    <row r="141" spans="1:11" ht="16.2" thickBot="1" x14ac:dyDescent="0.35">
      <c r="A141" s="59"/>
      <c r="B141" s="7" t="s">
        <v>4</v>
      </c>
      <c r="C141" s="16"/>
      <c r="D141" s="17"/>
      <c r="E141" s="21"/>
      <c r="F141" s="22"/>
      <c r="G141" s="20" t="str">
        <f t="shared" si="5"/>
        <v/>
      </c>
      <c r="H141" s="62"/>
      <c r="I141" s="26" t="str">
        <f t="shared" si="4"/>
        <v>0</v>
      </c>
      <c r="J141" s="65"/>
      <c r="K141" s="71"/>
    </row>
    <row r="142" spans="1:11" ht="15.6" x14ac:dyDescent="0.3">
      <c r="A142" s="57"/>
      <c r="B142" s="5" t="s">
        <v>1</v>
      </c>
      <c r="C142" s="8"/>
      <c r="D142" s="9"/>
      <c r="E142" s="10"/>
      <c r="F142" s="11"/>
      <c r="G142" s="19" t="str">
        <f t="shared" si="5"/>
        <v/>
      </c>
      <c r="H142" s="60" t="e">
        <f>AVERAGE(G142:G145)</f>
        <v>#DIV/0!</v>
      </c>
      <c r="I142" s="24" t="str">
        <f t="shared" si="4"/>
        <v>0</v>
      </c>
      <c r="J142" s="63" t="e">
        <f>AVERAGE(I142:I144)</f>
        <v>#DIV/0!</v>
      </c>
      <c r="K142" s="69" t="e">
        <f>AVERAGE(J142,H142)</f>
        <v>#DIV/0!</v>
      </c>
    </row>
    <row r="143" spans="1:11" ht="15.6" x14ac:dyDescent="0.3">
      <c r="A143" s="58"/>
      <c r="B143" s="6" t="s">
        <v>3</v>
      </c>
      <c r="C143" s="12"/>
      <c r="D143" s="13"/>
      <c r="E143" s="14"/>
      <c r="F143" s="15"/>
      <c r="G143" s="18" t="str">
        <f t="shared" si="5"/>
        <v/>
      </c>
      <c r="H143" s="61"/>
      <c r="I143" s="25" t="str">
        <f t="shared" si="4"/>
        <v>0</v>
      </c>
      <c r="J143" s="64"/>
      <c r="K143" s="70"/>
    </row>
    <row r="144" spans="1:11" ht="15.6" x14ac:dyDescent="0.3">
      <c r="A144" s="58"/>
      <c r="B144" s="6" t="s">
        <v>2</v>
      </c>
      <c r="C144" s="12"/>
      <c r="D144" s="13"/>
      <c r="E144" s="14"/>
      <c r="F144" s="15"/>
      <c r="G144" s="18" t="str">
        <f t="shared" si="5"/>
        <v/>
      </c>
      <c r="H144" s="61"/>
      <c r="I144" s="25" t="str">
        <f t="shared" si="4"/>
        <v>0</v>
      </c>
      <c r="J144" s="64"/>
      <c r="K144" s="70"/>
    </row>
    <row r="145" spans="1:11" ht="16.2" thickBot="1" x14ac:dyDescent="0.35">
      <c r="A145" s="59"/>
      <c r="B145" s="7" t="s">
        <v>4</v>
      </c>
      <c r="C145" s="16"/>
      <c r="D145" s="17"/>
      <c r="E145" s="21"/>
      <c r="F145" s="22"/>
      <c r="G145" s="20" t="str">
        <f t="shared" si="5"/>
        <v/>
      </c>
      <c r="H145" s="62"/>
      <c r="I145" s="26" t="str">
        <f t="shared" si="4"/>
        <v>0</v>
      </c>
      <c r="J145" s="65"/>
      <c r="K145" s="71"/>
    </row>
    <row r="146" spans="1:11" ht="15.6" x14ac:dyDescent="0.3">
      <c r="A146" s="57"/>
      <c r="B146" s="5" t="s">
        <v>1</v>
      </c>
      <c r="C146" s="8"/>
      <c r="D146" s="9"/>
      <c r="E146" s="10"/>
      <c r="F146" s="11"/>
      <c r="G146" s="19" t="str">
        <f t="shared" si="5"/>
        <v/>
      </c>
      <c r="H146" s="60" t="e">
        <f>AVERAGE(G146:G149)</f>
        <v>#DIV/0!</v>
      </c>
      <c r="I146" s="24" t="str">
        <f t="shared" si="4"/>
        <v>0</v>
      </c>
      <c r="J146" s="63" t="e">
        <f>AVERAGE(I146:I148)</f>
        <v>#DIV/0!</v>
      </c>
      <c r="K146" s="69" t="e">
        <f>AVERAGE(J146,H146)</f>
        <v>#DIV/0!</v>
      </c>
    </row>
    <row r="147" spans="1:11" ht="15.6" x14ac:dyDescent="0.3">
      <c r="A147" s="58"/>
      <c r="B147" s="6" t="s">
        <v>3</v>
      </c>
      <c r="C147" s="12"/>
      <c r="D147" s="13"/>
      <c r="E147" s="14"/>
      <c r="F147" s="15"/>
      <c r="G147" s="18" t="str">
        <f t="shared" si="5"/>
        <v/>
      </c>
      <c r="H147" s="61"/>
      <c r="I147" s="25" t="str">
        <f t="shared" si="4"/>
        <v>0</v>
      </c>
      <c r="J147" s="64"/>
      <c r="K147" s="70"/>
    </row>
    <row r="148" spans="1:11" ht="15.6" x14ac:dyDescent="0.3">
      <c r="A148" s="58"/>
      <c r="B148" s="6" t="s">
        <v>2</v>
      </c>
      <c r="C148" s="12"/>
      <c r="D148" s="13"/>
      <c r="E148" s="14"/>
      <c r="F148" s="15"/>
      <c r="G148" s="18" t="str">
        <f t="shared" si="5"/>
        <v/>
      </c>
      <c r="H148" s="61"/>
      <c r="I148" s="25" t="str">
        <f t="shared" si="4"/>
        <v>0</v>
      </c>
      <c r="J148" s="64"/>
      <c r="K148" s="70"/>
    </row>
    <row r="149" spans="1:11" ht="16.2" thickBot="1" x14ac:dyDescent="0.35">
      <c r="A149" s="59"/>
      <c r="B149" s="7" t="s">
        <v>4</v>
      </c>
      <c r="C149" s="16"/>
      <c r="D149" s="17"/>
      <c r="E149" s="21"/>
      <c r="F149" s="22"/>
      <c r="G149" s="20" t="str">
        <f t="shared" si="5"/>
        <v/>
      </c>
      <c r="H149" s="62"/>
      <c r="I149" s="26" t="str">
        <f t="shared" si="4"/>
        <v>0</v>
      </c>
      <c r="J149" s="65"/>
      <c r="K149" s="71"/>
    </row>
    <row r="150" spans="1:11" ht="15.6" x14ac:dyDescent="0.3">
      <c r="A150" s="57"/>
      <c r="B150" s="5" t="s">
        <v>1</v>
      </c>
      <c r="C150" s="8"/>
      <c r="D150" s="9"/>
      <c r="E150" s="10"/>
      <c r="F150" s="11"/>
      <c r="G150" s="19" t="str">
        <f t="shared" si="5"/>
        <v/>
      </c>
      <c r="H150" s="60" t="e">
        <f>AVERAGE(G150:G153)</f>
        <v>#DIV/0!</v>
      </c>
      <c r="I150" s="24" t="str">
        <f t="shared" si="4"/>
        <v>0</v>
      </c>
      <c r="J150" s="63" t="e">
        <f>AVERAGE(I150:I152)</f>
        <v>#DIV/0!</v>
      </c>
      <c r="K150" s="69" t="e">
        <f>AVERAGE(J150,H150)</f>
        <v>#DIV/0!</v>
      </c>
    </row>
    <row r="151" spans="1:11" ht="15.6" x14ac:dyDescent="0.3">
      <c r="A151" s="58"/>
      <c r="B151" s="6" t="s">
        <v>3</v>
      </c>
      <c r="C151" s="12"/>
      <c r="D151" s="13"/>
      <c r="E151" s="14"/>
      <c r="F151" s="15"/>
      <c r="G151" s="18" t="str">
        <f t="shared" si="5"/>
        <v/>
      </c>
      <c r="H151" s="61"/>
      <c r="I151" s="25" t="str">
        <f t="shared" si="4"/>
        <v>0</v>
      </c>
      <c r="J151" s="64"/>
      <c r="K151" s="70"/>
    </row>
    <row r="152" spans="1:11" ht="15.6" x14ac:dyDescent="0.3">
      <c r="A152" s="58"/>
      <c r="B152" s="6" t="s">
        <v>2</v>
      </c>
      <c r="C152" s="12"/>
      <c r="D152" s="13"/>
      <c r="E152" s="14"/>
      <c r="F152" s="15"/>
      <c r="G152" s="18" t="str">
        <f t="shared" si="5"/>
        <v/>
      </c>
      <c r="H152" s="61"/>
      <c r="I152" s="25" t="str">
        <f t="shared" si="4"/>
        <v>0</v>
      </c>
      <c r="J152" s="64"/>
      <c r="K152" s="70"/>
    </row>
    <row r="153" spans="1:11" ht="16.2" thickBot="1" x14ac:dyDescent="0.35">
      <c r="A153" s="59"/>
      <c r="B153" s="7" t="s">
        <v>4</v>
      </c>
      <c r="C153" s="16"/>
      <c r="D153" s="17"/>
      <c r="E153" s="21"/>
      <c r="F153" s="22"/>
      <c r="G153" s="20" t="str">
        <f t="shared" si="5"/>
        <v/>
      </c>
      <c r="H153" s="62"/>
      <c r="I153" s="26" t="str">
        <f t="shared" si="4"/>
        <v>0</v>
      </c>
      <c r="J153" s="65"/>
      <c r="K153" s="71"/>
    </row>
    <row r="154" spans="1:11" ht="15.6" x14ac:dyDescent="0.3">
      <c r="A154" s="57"/>
      <c r="B154" s="5" t="s">
        <v>1</v>
      </c>
      <c r="C154" s="8"/>
      <c r="D154" s="9"/>
      <c r="E154" s="10"/>
      <c r="F154" s="11"/>
      <c r="G154" s="19" t="str">
        <f t="shared" si="5"/>
        <v/>
      </c>
      <c r="H154" s="60" t="e">
        <f>AVERAGE(G154:G157)</f>
        <v>#DIV/0!</v>
      </c>
      <c r="I154" s="24" t="str">
        <f t="shared" si="4"/>
        <v>0</v>
      </c>
      <c r="J154" s="63" t="e">
        <f>AVERAGE(I154:I156)</f>
        <v>#DIV/0!</v>
      </c>
      <c r="K154" s="69" t="e">
        <f>AVERAGE(J154,H154)</f>
        <v>#DIV/0!</v>
      </c>
    </row>
    <row r="155" spans="1:11" ht="15.6" x14ac:dyDescent="0.3">
      <c r="A155" s="58"/>
      <c r="B155" s="6" t="s">
        <v>3</v>
      </c>
      <c r="C155" s="12"/>
      <c r="D155" s="13"/>
      <c r="E155" s="14"/>
      <c r="F155" s="15"/>
      <c r="G155" s="18" t="str">
        <f t="shared" si="5"/>
        <v/>
      </c>
      <c r="H155" s="61"/>
      <c r="I155" s="25" t="str">
        <f t="shared" si="4"/>
        <v>0</v>
      </c>
      <c r="J155" s="64"/>
      <c r="K155" s="70"/>
    </row>
    <row r="156" spans="1:11" ht="15.6" x14ac:dyDescent="0.3">
      <c r="A156" s="58"/>
      <c r="B156" s="6" t="s">
        <v>2</v>
      </c>
      <c r="C156" s="12"/>
      <c r="D156" s="13"/>
      <c r="E156" s="14"/>
      <c r="F156" s="15"/>
      <c r="G156" s="18" t="str">
        <f t="shared" si="5"/>
        <v/>
      </c>
      <c r="H156" s="61"/>
      <c r="I156" s="25" t="str">
        <f t="shared" si="4"/>
        <v>0</v>
      </c>
      <c r="J156" s="64"/>
      <c r="K156" s="70"/>
    </row>
    <row r="157" spans="1:11" ht="16.2" thickBot="1" x14ac:dyDescent="0.35">
      <c r="A157" s="59"/>
      <c r="B157" s="7" t="s">
        <v>4</v>
      </c>
      <c r="C157" s="16"/>
      <c r="D157" s="17"/>
      <c r="E157" s="21"/>
      <c r="F157" s="22"/>
      <c r="G157" s="20" t="str">
        <f t="shared" si="5"/>
        <v/>
      </c>
      <c r="H157" s="62"/>
      <c r="I157" s="26" t="str">
        <f t="shared" si="4"/>
        <v>0</v>
      </c>
      <c r="J157" s="65"/>
      <c r="K157" s="71"/>
    </row>
    <row r="158" spans="1:11" ht="15.6" x14ac:dyDescent="0.3">
      <c r="A158" s="57"/>
      <c r="B158" s="5" t="s">
        <v>1</v>
      </c>
      <c r="C158" s="8"/>
      <c r="D158" s="9"/>
      <c r="E158" s="10"/>
      <c r="F158" s="11"/>
      <c r="G158" s="19" t="str">
        <f t="shared" si="5"/>
        <v/>
      </c>
      <c r="H158" s="60" t="e">
        <f>AVERAGE(G158:G161)</f>
        <v>#DIV/0!</v>
      </c>
      <c r="I158" s="24" t="str">
        <f t="shared" si="4"/>
        <v>0</v>
      </c>
      <c r="J158" s="63" t="e">
        <f>AVERAGE(I158:I160)</f>
        <v>#DIV/0!</v>
      </c>
      <c r="K158" s="69" t="e">
        <f>AVERAGE(J158,H158)</f>
        <v>#DIV/0!</v>
      </c>
    </row>
    <row r="159" spans="1:11" ht="15.6" x14ac:dyDescent="0.3">
      <c r="A159" s="58"/>
      <c r="B159" s="6" t="s">
        <v>3</v>
      </c>
      <c r="C159" s="12"/>
      <c r="D159" s="13"/>
      <c r="E159" s="14"/>
      <c r="F159" s="15"/>
      <c r="G159" s="18" t="str">
        <f t="shared" si="5"/>
        <v/>
      </c>
      <c r="H159" s="61"/>
      <c r="I159" s="25" t="str">
        <f t="shared" si="4"/>
        <v>0</v>
      </c>
      <c r="J159" s="64"/>
      <c r="K159" s="70"/>
    </row>
    <row r="160" spans="1:11" ht="15.6" x14ac:dyDescent="0.3">
      <c r="A160" s="58"/>
      <c r="B160" s="6" t="s">
        <v>2</v>
      </c>
      <c r="C160" s="12"/>
      <c r="D160" s="13"/>
      <c r="E160" s="14"/>
      <c r="F160" s="15"/>
      <c r="G160" s="18" t="str">
        <f t="shared" si="5"/>
        <v/>
      </c>
      <c r="H160" s="61"/>
      <c r="I160" s="25" t="str">
        <f t="shared" si="4"/>
        <v>0</v>
      </c>
      <c r="J160" s="64"/>
      <c r="K160" s="70"/>
    </row>
    <row r="161" spans="1:11" ht="16.2" thickBot="1" x14ac:dyDescent="0.35">
      <c r="A161" s="59"/>
      <c r="B161" s="7" t="s">
        <v>4</v>
      </c>
      <c r="C161" s="16"/>
      <c r="D161" s="17"/>
      <c r="E161" s="21"/>
      <c r="F161" s="22"/>
      <c r="G161" s="20" t="str">
        <f t="shared" si="5"/>
        <v/>
      </c>
      <c r="H161" s="62"/>
      <c r="I161" s="26" t="str">
        <f t="shared" si="4"/>
        <v>0</v>
      </c>
      <c r="J161" s="65"/>
      <c r="K161" s="71"/>
    </row>
  </sheetData>
  <mergeCells count="160">
    <mergeCell ref="K142:K145"/>
    <mergeCell ref="K146:K149"/>
    <mergeCell ref="K150:K153"/>
    <mergeCell ref="K154:K157"/>
    <mergeCell ref="K158:K161"/>
    <mergeCell ref="K122:K125"/>
    <mergeCell ref="K126:K129"/>
    <mergeCell ref="K130:K133"/>
    <mergeCell ref="K134:K137"/>
    <mergeCell ref="K138:K141"/>
    <mergeCell ref="K102:K105"/>
    <mergeCell ref="K106:K109"/>
    <mergeCell ref="K110:K113"/>
    <mergeCell ref="K114:K117"/>
    <mergeCell ref="K118:K121"/>
    <mergeCell ref="K82:K85"/>
    <mergeCell ref="K86:K89"/>
    <mergeCell ref="K90:K93"/>
    <mergeCell ref="K94:K97"/>
    <mergeCell ref="K98:K101"/>
    <mergeCell ref="K62:K65"/>
    <mergeCell ref="K66:K69"/>
    <mergeCell ref="K70:K73"/>
    <mergeCell ref="K74:K77"/>
    <mergeCell ref="K78:K81"/>
    <mergeCell ref="K42:K45"/>
    <mergeCell ref="K46:K49"/>
    <mergeCell ref="K50:K53"/>
    <mergeCell ref="K54:K57"/>
    <mergeCell ref="K58:K61"/>
    <mergeCell ref="K22:K25"/>
    <mergeCell ref="K26:K29"/>
    <mergeCell ref="K30:K33"/>
    <mergeCell ref="K34:K37"/>
    <mergeCell ref="K38:K41"/>
    <mergeCell ref="K2:K5"/>
    <mergeCell ref="K6:K9"/>
    <mergeCell ref="K10:K13"/>
    <mergeCell ref="K14:K17"/>
    <mergeCell ref="K18:K21"/>
    <mergeCell ref="J142:J145"/>
    <mergeCell ref="J146:J149"/>
    <mergeCell ref="J150:J153"/>
    <mergeCell ref="J154:J157"/>
    <mergeCell ref="J158:J161"/>
    <mergeCell ref="J122:J125"/>
    <mergeCell ref="J126:J129"/>
    <mergeCell ref="J130:J133"/>
    <mergeCell ref="J134:J137"/>
    <mergeCell ref="J138:J141"/>
    <mergeCell ref="J102:J105"/>
    <mergeCell ref="J106:J109"/>
    <mergeCell ref="J110:J113"/>
    <mergeCell ref="J114:J117"/>
    <mergeCell ref="J118:J121"/>
    <mergeCell ref="J82:J85"/>
    <mergeCell ref="J86:J89"/>
    <mergeCell ref="J90:J93"/>
    <mergeCell ref="J94:J97"/>
    <mergeCell ref="J98:J101"/>
    <mergeCell ref="J62:J65"/>
    <mergeCell ref="J66:J69"/>
    <mergeCell ref="J70:J73"/>
    <mergeCell ref="J74:J77"/>
    <mergeCell ref="J78:J81"/>
    <mergeCell ref="J42:J45"/>
    <mergeCell ref="J46:J49"/>
    <mergeCell ref="J50:J53"/>
    <mergeCell ref="J54:J57"/>
    <mergeCell ref="J58:J61"/>
    <mergeCell ref="J22:J25"/>
    <mergeCell ref="J26:J29"/>
    <mergeCell ref="J30:J33"/>
    <mergeCell ref="J34:J37"/>
    <mergeCell ref="J38:J41"/>
    <mergeCell ref="J2:J5"/>
    <mergeCell ref="J6:J9"/>
    <mergeCell ref="J10:J13"/>
    <mergeCell ref="J14:J17"/>
    <mergeCell ref="J18:J21"/>
    <mergeCell ref="H142:H145"/>
    <mergeCell ref="H146:H149"/>
    <mergeCell ref="H150:H153"/>
    <mergeCell ref="H154:H157"/>
    <mergeCell ref="H158:H161"/>
    <mergeCell ref="H122:H125"/>
    <mergeCell ref="H126:H129"/>
    <mergeCell ref="H130:H133"/>
    <mergeCell ref="H134:H137"/>
    <mergeCell ref="H138:H141"/>
    <mergeCell ref="H102:H105"/>
    <mergeCell ref="H106:H109"/>
    <mergeCell ref="H110:H113"/>
    <mergeCell ref="H114:H117"/>
    <mergeCell ref="H118:H121"/>
    <mergeCell ref="H82:H85"/>
    <mergeCell ref="H86:H89"/>
    <mergeCell ref="H90:H93"/>
    <mergeCell ref="H94:H97"/>
    <mergeCell ref="H98:H101"/>
    <mergeCell ref="H62:H65"/>
    <mergeCell ref="H66:H69"/>
    <mergeCell ref="H70:H73"/>
    <mergeCell ref="H74:H77"/>
    <mergeCell ref="H78:H81"/>
    <mergeCell ref="H42:H45"/>
    <mergeCell ref="H46:H49"/>
    <mergeCell ref="H50:H53"/>
    <mergeCell ref="H54:H57"/>
    <mergeCell ref="H58:H61"/>
    <mergeCell ref="H22:H25"/>
    <mergeCell ref="H26:H29"/>
    <mergeCell ref="H30:H33"/>
    <mergeCell ref="H34:H37"/>
    <mergeCell ref="H38:H41"/>
    <mergeCell ref="H2:H5"/>
    <mergeCell ref="H6:H9"/>
    <mergeCell ref="H10:H13"/>
    <mergeCell ref="H14:H17"/>
    <mergeCell ref="H18:H21"/>
    <mergeCell ref="A146:A149"/>
    <mergeCell ref="A150:A153"/>
    <mergeCell ref="A154:A157"/>
    <mergeCell ref="A158:A161"/>
    <mergeCell ref="A126:A129"/>
    <mergeCell ref="A130:A133"/>
    <mergeCell ref="A134:A137"/>
    <mergeCell ref="A138:A141"/>
    <mergeCell ref="A142:A145"/>
    <mergeCell ref="A106:A109"/>
    <mergeCell ref="A110:A113"/>
    <mergeCell ref="A114:A117"/>
    <mergeCell ref="A118:A121"/>
    <mergeCell ref="A122:A125"/>
    <mergeCell ref="A86:A89"/>
    <mergeCell ref="A90:A93"/>
    <mergeCell ref="A94:A97"/>
    <mergeCell ref="A98:A101"/>
    <mergeCell ref="A102:A105"/>
    <mergeCell ref="A66:A69"/>
    <mergeCell ref="A70:A73"/>
    <mergeCell ref="A74:A77"/>
    <mergeCell ref="A78:A81"/>
    <mergeCell ref="A82:A85"/>
    <mergeCell ref="A46:A49"/>
    <mergeCell ref="A50:A53"/>
    <mergeCell ref="A54:A57"/>
    <mergeCell ref="A58:A61"/>
    <mergeCell ref="A62:A65"/>
    <mergeCell ref="A2:A5"/>
    <mergeCell ref="A6:A9"/>
    <mergeCell ref="A10:A13"/>
    <mergeCell ref="A14:A17"/>
    <mergeCell ref="A18:A21"/>
    <mergeCell ref="A42:A45"/>
    <mergeCell ref="A22:A25"/>
    <mergeCell ref="A26:A29"/>
    <mergeCell ref="A30:A33"/>
    <mergeCell ref="A34:A37"/>
    <mergeCell ref="A38:A41"/>
  </mergeCells>
  <pageMargins left="0.7" right="0.7" top="0.75" bottom="0.75" header="0.3" footer="0.3"/>
  <pageSetup paperSize="9" scale="6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sheet_Availibility</vt:lpstr>
      <vt:lpstr>Master</vt:lpstr>
      <vt:lpstr>Report_Card</vt:lpstr>
      <vt:lpstr>Achievement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2022-08-03T05:01:09Z</dcterms:modified>
</cp:coreProperties>
</file>
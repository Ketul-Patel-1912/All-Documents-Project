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codeName="ThisWorkbook"/>
  <mc:AlternateContent xmlns:mc="http://schemas.openxmlformats.org/markup-compatibility/2006">
    <mc:Choice Requires="x15">
      <x15ac:absPath xmlns:x15ac="http://schemas.microsoft.com/office/spreadsheetml/2010/11/ac" url="C:\Users\ketul\OneDrive\Desktop\Revision\Excel\"/>
    </mc:Choice>
  </mc:AlternateContent>
  <xr:revisionPtr revIDLastSave="0" documentId="13_ncr:1_{EFA6D483-2D26-4C87-9778-82551FBA9A1E}" xr6:coauthVersionLast="47" xr6:coauthVersionMax="47" xr10:uidLastSave="{00000000-0000-0000-0000-000000000000}"/>
  <bookViews>
    <workbookView xWindow="-108" yWindow="-108" windowWidth="23256" windowHeight="12456" activeTab="8" xr2:uid="{00000000-000D-0000-FFFF-FFFF00000000}"/>
  </bookViews>
  <sheets>
    <sheet name="DATA" sheetId="4" r:id="rId1"/>
    <sheet name="Product_manager" sheetId="10" state="hidden" r:id="rId2"/>
    <sheet name="Utilize_Purchase" sheetId="11" state="hidden" r:id="rId3"/>
    <sheet name="Utilize_Purchase_Display" sheetId="12" state="hidden" r:id="rId4"/>
    <sheet name="Inventory" sheetId="13" state="hidden" r:id="rId5"/>
    <sheet name="DATA_DISPLAY" sheetId="16" state="hidden" r:id="rId6"/>
    <sheet name="Inventory_Display" sheetId="14" state="hidden" r:id="rId7"/>
    <sheet name="Report" sheetId="15" state="hidden" r:id="rId8"/>
    <sheet name="Die_Test_Parameter" sheetId="19" r:id="rId9"/>
    <sheet name="Attendance_Sheet" sheetId="21" r:id="rId10"/>
    <sheet name="Enhance_safety" sheetId="24" r:id="rId11"/>
    <sheet name="Measuring_Instrument" sheetId="23" r:id="rId12"/>
    <sheet name="Machine_Equipment_Level_Page01" sheetId="30" r:id="rId13"/>
    <sheet name="Machine_Equipment_Level_Page02" sheetId="26" r:id="rId14"/>
    <sheet name="Mechanical_Equipment_01" sheetId="27" r:id="rId15"/>
    <sheet name="Mechanical_Equipment_02" sheetId="28" r:id="rId16"/>
    <sheet name="Energy_Shutdown" sheetId="29" r:id="rId17"/>
    <sheet name="helper" sheetId="18" state="hidden" r:id="rId18"/>
    <sheet name="extra" sheetId="5" state="hidden" r:id="rId19"/>
  </sheets>
  <definedNames>
    <definedName name="_xlnm._FilterDatabase" localSheetId="0" hidden="1">DATA!$A$1:$V$9999</definedName>
    <definedName name="_xlnm._FilterDatabase" localSheetId="5" hidden="1">DATA_DISPLAY!$A$1:$Q$1</definedName>
    <definedName name="_xlnm._FilterDatabase" localSheetId="8" hidden="1">Die_Test_Parameter!$A$1:$Q$9999</definedName>
    <definedName name="_xlnm._FilterDatabase" localSheetId="4" hidden="1">Inventory!$A$1:$D$31</definedName>
    <definedName name="_xlnm._FilterDatabase" localSheetId="14" hidden="1">Mechanical_Equipment_01!$A$1:$AS$32</definedName>
    <definedName name="_xlnm._FilterDatabase" localSheetId="2" hidden="1">Utilize_Purchase!$A$1:$K$416</definedName>
    <definedName name="compound">extra!$B$7:$B$17</definedName>
    <definedName name="_xlnm.Criteria" localSheetId="0">DATA!$X$1:$X$2</definedName>
    <definedName name="_xlnm.Criteria" localSheetId="8">Die_Test_Parameter!$X$1:$X$2</definedName>
    <definedName name="data" localSheetId="5">DATA_DISPLAY!$A:$Q</definedName>
    <definedName name="data">DATA!$A:$Q</definedName>
    <definedName name="data2" localSheetId="5">DATA_DISPLAY!$A$2:$Q$1048576</definedName>
    <definedName name="data2">DATA!$A$2:$Q$1048576</definedName>
    <definedName name="data3">DATA!$A$2:$Q$1048576</definedName>
    <definedName name="dynamic">OFFSET(DATA!$1:$22,0,0,COUNTA(DATA!$A:$V),22)</definedName>
    <definedName name="empdata">#REF!</definedName>
    <definedName name="_xlnm.Extract" localSheetId="0">DATA!$AA$1:$AV$1</definedName>
    <definedName name="_xlnm.Extract" localSheetId="8">Die_Test_Parameter!$AA$1:$AQ$1</definedName>
    <definedName name="FilterList">OFFSET(Table13[[#Headers],[Sr.No]],1,0,COUNTA(DATA!$AA$2:$AA$9958),22)</definedName>
    <definedName name="FilterList2">OFFSET(Die_Test_Parameter!$AA$1,1,0,COUNTA(Die_Test_Parameter!$AA$2:$AA$8797),17)</definedName>
    <definedName name="KETU">#REF!</definedName>
    <definedName name="ketul">Die_Test_Parameter!$A:$Q</definedName>
    <definedName name="lalo">Table1[#All]</definedName>
    <definedName name="MemberList">OFFSET(Table1[[#Headers],[Sr.No]],1,0,COUNTA(DATA!$A$2:$A$10010),22)</definedName>
    <definedName name="MemberList2">OFFSET(Table4[[#Headers],[Sr.No]],1,0,COUNTA(Die_Test_Parameter!$A$2:$A$9047),17)</definedName>
    <definedName name="OEM">extra!$C$7:$C$14</definedName>
    <definedName name="_xlnm.Print_Area" localSheetId="9">Attendance_Sheet!$A$1:$U$40</definedName>
    <definedName name="_xlnm.Print_Area" localSheetId="10">Enhance_safety!$A$1:$T$35</definedName>
    <definedName name="_xlnm.Print_Area" localSheetId="13">Machine_Equipment_Level_Page02!$A$1:$AS$41</definedName>
    <definedName name="_xlnm.Print_Area" localSheetId="11">Measuring_Instrument!$A$1:$AA$34</definedName>
    <definedName name="_xlnm.Print_Area" localSheetId="14">Mechanical_Equipment_01!$A$1:$AS$32</definedName>
    <definedName name="_xlnm.Print_Area" localSheetId="15">Mechanical_Equipment_02!$A$1:$AS$37</definedName>
    <definedName name="_xlnm.Print_Titles" localSheetId="12">Machine_Equipment_Level_Page01!$5:$7</definedName>
    <definedName name="_xlnm.Print_Titles" localSheetId="13">Machine_Equipment_Level_Page02!$1:$3</definedName>
    <definedName name="_xlnm.Print_Titles" localSheetId="14">Mechanical_Equipment_01!$4:$6</definedName>
    <definedName name="_xlnm.Print_Titles" localSheetId="15">Mechanical_Equipment_02!$1:$3</definedName>
    <definedName name="pro">Product_manager!$A$2:$B$20</definedName>
    <definedName name="product">Product_manager!$A$2:$B$1048576</definedName>
    <definedName name="product2">#REF!</definedName>
    <definedName name="productmaster">Product_manager!$A:$B</definedName>
    <definedName name="qqq">Die_Test_Parameter!$A$2:$P$1048576</definedName>
    <definedName name="raw">Die_Test_Parameter!$A$2:$P$1048576</definedName>
    <definedName name="stage">extra!$E$7:$E$10</definedName>
    <definedName name="stage22">helper!$G$3:$G$6</definedName>
    <definedName name="stage222">helper!$G$3:$G$7</definedName>
    <definedName name="status">extra!$D$7:$D$8</definedName>
    <definedName name="TTTL">extra!$F$7:$F$8</definedName>
    <definedName name="type11">helper!$G$2:$G$7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13" i="15" l="1"/>
  <c r="C6" i="15"/>
  <c r="C19" i="15" l="1"/>
  <c r="C18" i="15"/>
  <c r="C17" i="15"/>
  <c r="C16" i="15"/>
  <c r="C15" i="15"/>
  <c r="C14" i="15"/>
  <c r="C12" i="15"/>
  <c r="C11" i="15"/>
  <c r="C10" i="15"/>
  <c r="C9" i="15"/>
  <c r="C5" i="15"/>
  <c r="C7" i="15" l="1"/>
  <c r="A5" i="11"/>
  <c r="A28" i="23" l="1"/>
  <c r="I27" i="23"/>
  <c r="D27" i="23"/>
  <c r="A23" i="23"/>
  <c r="I22" i="23"/>
  <c r="D22" i="23"/>
  <c r="A18" i="23"/>
  <c r="I17" i="23"/>
  <c r="D17" i="23"/>
  <c r="A13" i="23"/>
  <c r="I12" i="23"/>
  <c r="D12" i="23"/>
  <c r="A8" i="23"/>
  <c r="I7" i="23"/>
  <c r="D7" i="23"/>
  <c r="C24" i="15" l="1"/>
  <c r="C22" i="15"/>
  <c r="C21" i="15"/>
  <c r="C20" i="15"/>
  <c r="C23" i="15"/>
  <c r="C8" i="15"/>
  <c r="A2" i="11" l="1"/>
  <c r="D1" i="10" l="1"/>
</calcChain>
</file>

<file path=xl/sharedStrings.xml><?xml version="1.0" encoding="utf-8"?>
<sst xmlns="http://schemas.openxmlformats.org/spreadsheetml/2006/main" count="9856" uniqueCount="1828">
  <si>
    <t>Product Name</t>
  </si>
  <si>
    <t>lr</t>
  </si>
  <si>
    <t>Sr.No</t>
  </si>
  <si>
    <t>Transaction Type1</t>
  </si>
  <si>
    <t>Transaction Type2</t>
  </si>
  <si>
    <t>Qty</t>
  </si>
  <si>
    <t>Die No</t>
  </si>
  <si>
    <t>Remark</t>
  </si>
  <si>
    <t>Date</t>
  </si>
  <si>
    <t>Purchase</t>
  </si>
  <si>
    <t>Fresh</t>
  </si>
  <si>
    <t>Die Number</t>
  </si>
  <si>
    <t>Compound</t>
  </si>
  <si>
    <t>Top Width</t>
  </si>
  <si>
    <t>Length</t>
  </si>
  <si>
    <t>Weight</t>
  </si>
  <si>
    <t>1 m Weight</t>
  </si>
  <si>
    <t>Spec No.</t>
  </si>
  <si>
    <t>Edition</t>
  </si>
  <si>
    <t>TT/TL</t>
  </si>
  <si>
    <t>Stage</t>
  </si>
  <si>
    <t>OEM</t>
  </si>
  <si>
    <t>Tread Size</t>
  </si>
  <si>
    <t>Status</t>
  </si>
  <si>
    <t>Mold Pattern</t>
  </si>
  <si>
    <t>Total Width</t>
  </si>
  <si>
    <t>Company Name</t>
  </si>
  <si>
    <t>RE</t>
  </si>
  <si>
    <t>Running</t>
  </si>
  <si>
    <t>OE Honda</t>
  </si>
  <si>
    <t>OE Yamaha</t>
  </si>
  <si>
    <t>OE Hero</t>
  </si>
  <si>
    <t>OE Suzuki</t>
  </si>
  <si>
    <t>OE 22 Motors</t>
  </si>
  <si>
    <t>OE Tvs</t>
  </si>
  <si>
    <t>RE Piaggio</t>
  </si>
  <si>
    <t>A</t>
  </si>
  <si>
    <t>B</t>
  </si>
  <si>
    <t>C</t>
  </si>
  <si>
    <t>T</t>
  </si>
  <si>
    <t>Revoked</t>
  </si>
  <si>
    <t>7316F</t>
  </si>
  <si>
    <t>Type</t>
  </si>
  <si>
    <t>Utilize</t>
  </si>
  <si>
    <t>Available Stocks</t>
  </si>
  <si>
    <t>Start Date</t>
  </si>
  <si>
    <t>End Date</t>
  </si>
  <si>
    <t>items</t>
  </si>
  <si>
    <t>preformer</t>
  </si>
  <si>
    <t>Production</t>
  </si>
  <si>
    <t>Scrap</t>
  </si>
  <si>
    <t xml:space="preserve">Recycle </t>
  </si>
  <si>
    <t>Total Inventory</t>
  </si>
  <si>
    <t>Child</t>
  </si>
  <si>
    <t>Recycle</t>
  </si>
  <si>
    <t xml:space="preserve">Inner </t>
  </si>
  <si>
    <t xml:space="preserve">middle </t>
  </si>
  <si>
    <t xml:space="preserve">outer </t>
  </si>
  <si>
    <t xml:space="preserve">inner </t>
  </si>
  <si>
    <t>TT</t>
  </si>
  <si>
    <t>TL</t>
  </si>
  <si>
    <t>sr no</t>
  </si>
  <si>
    <t>Outer Die</t>
  </si>
  <si>
    <t>Middle Die</t>
  </si>
  <si>
    <t>Inner Die</t>
  </si>
  <si>
    <t>Child Die</t>
  </si>
  <si>
    <t>Preformer</t>
  </si>
  <si>
    <t>TREAD_FILTER</t>
  </si>
  <si>
    <t>7716F</t>
  </si>
  <si>
    <t>7717F</t>
  </si>
  <si>
    <t>7199F</t>
  </si>
  <si>
    <t>0736F/7731F</t>
  </si>
  <si>
    <t>0752F</t>
  </si>
  <si>
    <t>0736F</t>
  </si>
  <si>
    <t>7718F</t>
  </si>
  <si>
    <t>0751F</t>
  </si>
  <si>
    <t>110/90-10</t>
  </si>
  <si>
    <t>M6220</t>
  </si>
  <si>
    <t>RE YAMAHA</t>
  </si>
  <si>
    <t>IA109(101-05)</t>
  </si>
  <si>
    <t>SMS22167</t>
  </si>
  <si>
    <t>285</t>
  </si>
  <si>
    <t>7716</t>
  </si>
  <si>
    <t>7717</t>
  </si>
  <si>
    <t>7316</t>
  </si>
  <si>
    <t>7199</t>
  </si>
  <si>
    <t>752</t>
  </si>
  <si>
    <t>7718</t>
  </si>
  <si>
    <t>751</t>
  </si>
  <si>
    <t>Add</t>
  </si>
  <si>
    <t>drop-down type</t>
  </si>
  <si>
    <t>parent drop-down.</t>
  </si>
  <si>
    <t>Trasaction type 1</t>
  </si>
  <si>
    <t>Trasaction type 2</t>
  </si>
  <si>
    <t xml:space="preserve">Shift </t>
  </si>
  <si>
    <t>Child No.</t>
  </si>
  <si>
    <t>Upper Extruder</t>
  </si>
  <si>
    <t>Middle Extruder</t>
  </si>
  <si>
    <t>Lower Extruder</t>
  </si>
  <si>
    <t>Line Speed</t>
  </si>
  <si>
    <t xml:space="preserve">Pre Width </t>
  </si>
  <si>
    <t xml:space="preserve">Pre Weight </t>
  </si>
  <si>
    <t xml:space="preserve">Post Width </t>
  </si>
  <si>
    <t xml:space="preserve">Post Weight </t>
  </si>
  <si>
    <t>Machine</t>
  </si>
  <si>
    <t>G</t>
  </si>
  <si>
    <t>IA089</t>
  </si>
  <si>
    <t>IA111</t>
  </si>
  <si>
    <t>IA112</t>
  </si>
  <si>
    <t>IA083</t>
  </si>
  <si>
    <t>IA085</t>
  </si>
  <si>
    <t>IA001</t>
  </si>
  <si>
    <t>IA117</t>
  </si>
  <si>
    <t>IA044</t>
  </si>
  <si>
    <t>IA120</t>
  </si>
  <si>
    <t>IA118</t>
  </si>
  <si>
    <t>IA119</t>
  </si>
  <si>
    <t>IA086</t>
  </si>
  <si>
    <t>IA058</t>
  </si>
  <si>
    <t>IA046</t>
  </si>
  <si>
    <t>736/7731</t>
  </si>
  <si>
    <t>IA124</t>
  </si>
  <si>
    <t>IA096</t>
  </si>
  <si>
    <t>IA095</t>
  </si>
  <si>
    <t>IA099</t>
  </si>
  <si>
    <t>IA101</t>
  </si>
  <si>
    <t>IA105</t>
  </si>
  <si>
    <t>IA038</t>
  </si>
  <si>
    <t>IA141</t>
  </si>
  <si>
    <t>IA115</t>
  </si>
  <si>
    <t>IA155</t>
  </si>
  <si>
    <t>IA107</t>
  </si>
  <si>
    <t>IA106</t>
  </si>
  <si>
    <t>IA109</t>
  </si>
  <si>
    <t>IA108</t>
  </si>
  <si>
    <t>IA114</t>
  </si>
  <si>
    <t>IA116</t>
  </si>
  <si>
    <t>IA121</t>
  </si>
  <si>
    <t>IA123</t>
  </si>
  <si>
    <t>IA129</t>
  </si>
  <si>
    <t>IA126</t>
  </si>
  <si>
    <t>238-39</t>
  </si>
  <si>
    <t>1320-40</t>
  </si>
  <si>
    <t>240-41</t>
  </si>
  <si>
    <t>219-20</t>
  </si>
  <si>
    <t>1330-45</t>
  </si>
  <si>
    <t>220-21</t>
  </si>
  <si>
    <t>1420-40</t>
  </si>
  <si>
    <t>RD1 MATERIAL TEST OK</t>
  </si>
  <si>
    <t>TR-01 WINDING OK</t>
  </si>
  <si>
    <t>183-84</t>
  </si>
  <si>
    <t>790-810</t>
  </si>
  <si>
    <t>1170-85</t>
  </si>
  <si>
    <t>228-29</t>
  </si>
  <si>
    <t>940-970</t>
  </si>
  <si>
    <t>235-36</t>
  </si>
  <si>
    <t>1300-30</t>
  </si>
  <si>
    <t>TR-02 DIE TEST</t>
  </si>
  <si>
    <t>225-26</t>
  </si>
  <si>
    <t>291-93</t>
  </si>
  <si>
    <t>1650-65</t>
  </si>
  <si>
    <t>2120-30</t>
  </si>
  <si>
    <t>224-25</t>
  </si>
  <si>
    <t>830-40</t>
  </si>
  <si>
    <t>234-35</t>
  </si>
  <si>
    <t>1325-40</t>
  </si>
  <si>
    <t>293-94</t>
  </si>
  <si>
    <t>295-96</t>
  </si>
  <si>
    <t>830-45</t>
  </si>
  <si>
    <t>233-34</t>
  </si>
  <si>
    <t>286-87</t>
  </si>
  <si>
    <t>1445-70</t>
  </si>
  <si>
    <t>291-92</t>
  </si>
  <si>
    <t>1570-90</t>
  </si>
  <si>
    <t>294-95</t>
  </si>
  <si>
    <t>TR-02 WINDING OK</t>
  </si>
  <si>
    <t>TR-01 DIE TEST</t>
  </si>
  <si>
    <t>191-92</t>
  </si>
  <si>
    <t>940-50</t>
  </si>
  <si>
    <t>190-91</t>
  </si>
  <si>
    <t>1045-55</t>
  </si>
  <si>
    <t>248-49</t>
  </si>
  <si>
    <t>1440-45</t>
  </si>
  <si>
    <t>WINDING 3-HSPOOL</t>
  </si>
  <si>
    <t>TEST NEW DIE (FROM IA083)</t>
  </si>
  <si>
    <t>193-94</t>
  </si>
  <si>
    <t>890-900</t>
  </si>
  <si>
    <t>1185-95</t>
  </si>
  <si>
    <t>TR-01 (TESTED FROM IA094)</t>
  </si>
  <si>
    <t>TR-01 WINDING (FROM IA094)</t>
  </si>
  <si>
    <t>TR-02 WINDING</t>
  </si>
  <si>
    <t>TR-01 WINDING</t>
  </si>
  <si>
    <t>262-63</t>
  </si>
  <si>
    <t>TR-01 DIE TEST (UNBLANDED)</t>
  </si>
  <si>
    <t>TR-02 DIE TEST (CETER ALL LOW)</t>
  </si>
  <si>
    <t>WEIGHT LOWER OUT PIECE OK</t>
  </si>
  <si>
    <t>LOWER</t>
  </si>
  <si>
    <t>PROTOTYPE WINDNG</t>
  </si>
  <si>
    <t>IA130</t>
  </si>
  <si>
    <t>PROTOTYPE</t>
  </si>
  <si>
    <t>IA131</t>
  </si>
  <si>
    <t>IA135</t>
  </si>
  <si>
    <t>IA078</t>
  </si>
  <si>
    <t>IA013</t>
  </si>
  <si>
    <t>DUAL SCREW</t>
  </si>
  <si>
    <t>IA015</t>
  </si>
  <si>
    <t>WINDING</t>
  </si>
  <si>
    <t>IA022</t>
  </si>
  <si>
    <t>OK PRODUCTION</t>
  </si>
  <si>
    <t>EXT. CHANGE</t>
  </si>
  <si>
    <t>IA027</t>
  </si>
  <si>
    <t>EXT.U: 30 TO 31</t>
  </si>
  <si>
    <t>SMC21522</t>
  </si>
  <si>
    <t>80/100-18</t>
  </si>
  <si>
    <t>M6302</t>
  </si>
  <si>
    <t>HONDA K0NF</t>
  </si>
  <si>
    <t>SMC21523</t>
  </si>
  <si>
    <t>M6303S</t>
  </si>
  <si>
    <t>SMS21860</t>
  </si>
  <si>
    <t>90/100-10</t>
  </si>
  <si>
    <t>SMS21861</t>
  </si>
  <si>
    <t>M6000R</t>
  </si>
  <si>
    <t>SMS21018</t>
  </si>
  <si>
    <t>110/70-11</t>
  </si>
  <si>
    <t>M6017</t>
  </si>
  <si>
    <t>SMS21750</t>
  </si>
  <si>
    <t>M6000</t>
  </si>
  <si>
    <t>HONDA KWPK</t>
  </si>
  <si>
    <t>SMS21884</t>
  </si>
  <si>
    <t>M6016R</t>
  </si>
  <si>
    <t>SMS21883</t>
  </si>
  <si>
    <t>M6016</t>
  </si>
  <si>
    <t>SMS21928</t>
  </si>
  <si>
    <t>HERO DUET</t>
  </si>
  <si>
    <t>SMS21865</t>
  </si>
  <si>
    <t>M6303</t>
  </si>
  <si>
    <t>SUZUKI XF3Z1</t>
  </si>
  <si>
    <t>SMC21417</t>
  </si>
  <si>
    <t>2.75-17</t>
  </si>
  <si>
    <t>SMC21418</t>
  </si>
  <si>
    <t>2.75-18</t>
  </si>
  <si>
    <t>M6301</t>
  </si>
  <si>
    <t>SMC21423</t>
  </si>
  <si>
    <t>SMC21432</t>
  </si>
  <si>
    <t>SMC21673</t>
  </si>
  <si>
    <t>SMC21677</t>
  </si>
  <si>
    <t>SMC21674</t>
  </si>
  <si>
    <t>SMC21422</t>
  </si>
  <si>
    <t>MA-V6</t>
  </si>
  <si>
    <t>SMC21424</t>
  </si>
  <si>
    <t>HERO HF-DELUXE</t>
  </si>
  <si>
    <t>SMS21956</t>
  </si>
  <si>
    <t>YAMAHA 06M</t>
  </si>
  <si>
    <t>SMC21426</t>
  </si>
  <si>
    <t>3.00-17</t>
  </si>
  <si>
    <t>SMC21434</t>
  </si>
  <si>
    <t>3.00-18</t>
  </si>
  <si>
    <t>SMC21678</t>
  </si>
  <si>
    <t>SMC21676</t>
  </si>
  <si>
    <t>SMS21957</t>
  </si>
  <si>
    <t xml:space="preserve">90/90-12 </t>
  </si>
  <si>
    <t>M6307</t>
  </si>
  <si>
    <t>SMC21433</t>
  </si>
  <si>
    <t>M6304</t>
  </si>
  <si>
    <t>SMC21672</t>
  </si>
  <si>
    <t>SMS21871</t>
  </si>
  <si>
    <t>90/90-12</t>
  </si>
  <si>
    <t>SMS21878</t>
  </si>
  <si>
    <t>HONDA K0LA</t>
  </si>
  <si>
    <t>SMS22156</t>
  </si>
  <si>
    <t>TVS JUPITER</t>
  </si>
  <si>
    <t>SMC21425</t>
  </si>
  <si>
    <t>MA-V6R</t>
  </si>
  <si>
    <t>SMS21879</t>
  </si>
  <si>
    <t>SMS21980</t>
  </si>
  <si>
    <t>M6309</t>
  </si>
  <si>
    <t>YAMAHA T72</t>
  </si>
  <si>
    <t>SMC21419</t>
  </si>
  <si>
    <t>SMC21420</t>
  </si>
  <si>
    <t>SMC21670</t>
  </si>
  <si>
    <t>SMC21671</t>
  </si>
  <si>
    <t>SMS21880</t>
  </si>
  <si>
    <t>M6182</t>
  </si>
  <si>
    <t>SMS21981</t>
  </si>
  <si>
    <t>M6310</t>
  </si>
  <si>
    <t>SMS21971</t>
  </si>
  <si>
    <t>M922F</t>
  </si>
  <si>
    <t>22 MOTORS</t>
  </si>
  <si>
    <t>SMS21970</t>
  </si>
  <si>
    <t>120/70-12</t>
  </si>
  <si>
    <t>SMC21520</t>
  </si>
  <si>
    <t>SMC21521</t>
  </si>
  <si>
    <t>SMS21864</t>
  </si>
  <si>
    <t>M6305</t>
  </si>
  <si>
    <t>OE YAMAHA</t>
  </si>
  <si>
    <t>SMS21873</t>
  </si>
  <si>
    <t>120/70-10</t>
  </si>
  <si>
    <t>SMC21572</t>
  </si>
  <si>
    <t>140/70-17</t>
  </si>
  <si>
    <t>M6234</t>
  </si>
  <si>
    <t>HONDA K1LA</t>
  </si>
  <si>
    <t>SMC21557</t>
  </si>
  <si>
    <t>M116</t>
  </si>
  <si>
    <t>SMC21558</t>
  </si>
  <si>
    <t>SMC21675</t>
  </si>
  <si>
    <t>SMC21575</t>
  </si>
  <si>
    <t>M910</t>
  </si>
  <si>
    <t>HERO AANN</t>
  </si>
  <si>
    <t>SMC21576</t>
  </si>
  <si>
    <t>100/80-18</t>
  </si>
  <si>
    <t>M904</t>
  </si>
  <si>
    <t>SMC21559</t>
  </si>
  <si>
    <t>SMC21560</t>
  </si>
  <si>
    <t>0752</t>
  </si>
  <si>
    <t>SMC21571</t>
  </si>
  <si>
    <t>110/70-17</t>
  </si>
  <si>
    <t>M6233</t>
  </si>
  <si>
    <t>HERO I-SMART</t>
  </si>
  <si>
    <t>SMC21537</t>
  </si>
  <si>
    <t>SMC21554</t>
  </si>
  <si>
    <t>SMC21633</t>
  </si>
  <si>
    <t>100/80-17</t>
  </si>
  <si>
    <t>M6311</t>
  </si>
  <si>
    <t>RE SCENARIO 1</t>
  </si>
  <si>
    <t>SMC21632</t>
  </si>
  <si>
    <t>80/100-17</t>
  </si>
  <si>
    <t>SMC21654</t>
  </si>
  <si>
    <t>SMC21655</t>
  </si>
  <si>
    <t>SMC21631</t>
  </si>
  <si>
    <t>M6312</t>
  </si>
  <si>
    <t>SMC21634</t>
  </si>
  <si>
    <t>100/90-17</t>
  </si>
  <si>
    <t>SMC21637</t>
  </si>
  <si>
    <t>130/70-17</t>
  </si>
  <si>
    <t>IA074(101-04)</t>
  </si>
  <si>
    <t>SMC21636</t>
  </si>
  <si>
    <t>110/80-17</t>
  </si>
  <si>
    <t>IA075(101-04)</t>
  </si>
  <si>
    <t>SMC21635</t>
  </si>
  <si>
    <t>100/90-18</t>
  </si>
  <si>
    <t>IA076(101-05)</t>
  </si>
  <si>
    <t>SMS22055</t>
  </si>
  <si>
    <t>110/80-14</t>
  </si>
  <si>
    <t>MA-PD</t>
  </si>
  <si>
    <t>HONDA K2HA</t>
  </si>
  <si>
    <t>IA077(101-05)</t>
  </si>
  <si>
    <t>SMS22056</t>
  </si>
  <si>
    <t>120/70-14</t>
  </si>
  <si>
    <t>IA078(101-05)</t>
  </si>
  <si>
    <t>SMC21630</t>
  </si>
  <si>
    <t>140/60-17</t>
  </si>
  <si>
    <t>IA082(101-04)</t>
  </si>
  <si>
    <t>SMC21628</t>
  </si>
  <si>
    <t>120/80-17</t>
  </si>
  <si>
    <t>IA083(101-04)</t>
  </si>
  <si>
    <t>SMC21629</t>
  </si>
  <si>
    <t>90/90-17</t>
  </si>
  <si>
    <t>IA085(101-04)</t>
  </si>
  <si>
    <t>HONDA K0NG</t>
  </si>
  <si>
    <t>IA086(101-02)</t>
  </si>
  <si>
    <t>IA087(101-05)</t>
  </si>
  <si>
    <t>0736</t>
  </si>
  <si>
    <t>SMS22133</t>
  </si>
  <si>
    <t>M0098ST</t>
  </si>
  <si>
    <t>Yamaha 06R</t>
  </si>
  <si>
    <t>IA088(101-05)</t>
  </si>
  <si>
    <t>SMS22134</t>
  </si>
  <si>
    <t>140/70-14</t>
  </si>
  <si>
    <t>IA089(101-04)</t>
  </si>
  <si>
    <t>SMC21642</t>
  </si>
  <si>
    <t>M6240</t>
  </si>
  <si>
    <t>RE SCENARIO 2</t>
  </si>
  <si>
    <t>IA090(101-01)</t>
  </si>
  <si>
    <t>IA091(101-01)</t>
  </si>
  <si>
    <t>IA092(101-02)</t>
  </si>
  <si>
    <t>SMS22119</t>
  </si>
  <si>
    <t>IA093(101-01)</t>
  </si>
  <si>
    <t>IA094(101-01)</t>
  </si>
  <si>
    <t>IA095(101-04)</t>
  </si>
  <si>
    <t>SMC21644</t>
  </si>
  <si>
    <t>IA096(101-04)</t>
  </si>
  <si>
    <t>SMC21643</t>
  </si>
  <si>
    <t>IA097(202-00)</t>
  </si>
  <si>
    <t>IA098(101-01)</t>
  </si>
  <si>
    <t>-</t>
  </si>
  <si>
    <t>IA099(101-04)</t>
  </si>
  <si>
    <t>SMC21714</t>
  </si>
  <si>
    <t>120/80-18</t>
  </si>
  <si>
    <t>M6312H</t>
  </si>
  <si>
    <t>RE SCENARIO 4</t>
  </si>
  <si>
    <t>IA101(101-04)</t>
  </si>
  <si>
    <t>SMC21713</t>
  </si>
  <si>
    <t>90/90-19</t>
  </si>
  <si>
    <t>IA105(101-04)</t>
  </si>
  <si>
    <t>SMC21710</t>
  </si>
  <si>
    <t>M6239</t>
  </si>
  <si>
    <t>RE SCENARIO 6</t>
  </si>
  <si>
    <t>IA106(101-02)</t>
  </si>
  <si>
    <t>SMS22170</t>
  </si>
  <si>
    <t>IA107(101-05)</t>
  </si>
  <si>
    <t>SMS22169</t>
  </si>
  <si>
    <t>IA108(101-02)</t>
  </si>
  <si>
    <t>SMS22168</t>
  </si>
  <si>
    <t>IA111(101-02)</t>
  </si>
  <si>
    <t>0751</t>
  </si>
  <si>
    <t>SMS22172</t>
  </si>
  <si>
    <t>100/90-10</t>
  </si>
  <si>
    <t>IA112(101-02)</t>
  </si>
  <si>
    <t>SMS22173</t>
  </si>
  <si>
    <t>90/90-10</t>
  </si>
  <si>
    <t>IA113(101-02)</t>
  </si>
  <si>
    <t>SMS22171</t>
  </si>
  <si>
    <t>3.50-10</t>
  </si>
  <si>
    <t>IA114(101-04)</t>
  </si>
  <si>
    <t>SMC21717</t>
  </si>
  <si>
    <t>110/90-18</t>
  </si>
  <si>
    <t>IA115(101-05)</t>
  </si>
  <si>
    <t>SMC21732</t>
  </si>
  <si>
    <t>IA116(101-05)</t>
  </si>
  <si>
    <t>SMC21716</t>
  </si>
  <si>
    <t>120/90-17</t>
  </si>
  <si>
    <t>RE SCENARIO 5</t>
  </si>
  <si>
    <t>IA117(101-04)</t>
  </si>
  <si>
    <t>SMC21695</t>
  </si>
  <si>
    <t>100/90-19</t>
  </si>
  <si>
    <t>SUZUKI XF1F1</t>
  </si>
  <si>
    <t>IA118(101-05)</t>
  </si>
  <si>
    <t>SMC21696</t>
  </si>
  <si>
    <t>IA119(101-05)</t>
  </si>
  <si>
    <t>IA120(101-05)</t>
  </si>
  <si>
    <t>IA121(101-04)</t>
  </si>
  <si>
    <t>SMC21715</t>
  </si>
  <si>
    <t>90/90-21</t>
  </si>
  <si>
    <t>IA122_01</t>
  </si>
  <si>
    <t>SMC21730</t>
  </si>
  <si>
    <t>IA123(101-04)</t>
  </si>
  <si>
    <t>SMC21734</t>
  </si>
  <si>
    <t>3.25-19</t>
  </si>
  <si>
    <t>IA124(101-02)</t>
  </si>
  <si>
    <t>IA125</t>
  </si>
  <si>
    <t>SMC21711</t>
  </si>
  <si>
    <t>IA126_02</t>
  </si>
  <si>
    <t>SMC21733</t>
  </si>
  <si>
    <t>IA127_02</t>
  </si>
  <si>
    <t>SMC21729</t>
  </si>
  <si>
    <t>3.50-19</t>
  </si>
  <si>
    <t>IA128_02</t>
  </si>
  <si>
    <t>SMC21731</t>
  </si>
  <si>
    <t>IA129(101-02)</t>
  </si>
  <si>
    <t>SMC21735</t>
  </si>
  <si>
    <t>IA130_02</t>
  </si>
  <si>
    <t>SMC21738</t>
  </si>
  <si>
    <t>RE SCENARIO 4 +</t>
  </si>
  <si>
    <t>IA131_02</t>
  </si>
  <si>
    <t>SMC21737</t>
  </si>
  <si>
    <t>IA132</t>
  </si>
  <si>
    <t>SMC21741</t>
  </si>
  <si>
    <t>IA133</t>
  </si>
  <si>
    <t>SMC21723</t>
  </si>
  <si>
    <t>IA134</t>
  </si>
  <si>
    <t>SMC21724</t>
  </si>
  <si>
    <t>IA135_02</t>
  </si>
  <si>
    <t>SMC21728</t>
  </si>
  <si>
    <t>IA136</t>
  </si>
  <si>
    <t>SMC21726</t>
  </si>
  <si>
    <t>IA137_02</t>
  </si>
  <si>
    <t>SMC21736</t>
  </si>
  <si>
    <t>IA138</t>
  </si>
  <si>
    <t>SMC21725</t>
  </si>
  <si>
    <t>150/60-17</t>
  </si>
  <si>
    <t>IA141(101-04)</t>
  </si>
  <si>
    <t>TEST049(101-05)</t>
  </si>
  <si>
    <t xml:space="preserve">140/70-17 </t>
  </si>
  <si>
    <t>190</t>
  </si>
  <si>
    <t>200</t>
  </si>
  <si>
    <t>240</t>
  </si>
  <si>
    <t>220</t>
  </si>
  <si>
    <t>236</t>
  </si>
  <si>
    <t>195</t>
  </si>
  <si>
    <t>204</t>
  </si>
  <si>
    <t>210</t>
  </si>
  <si>
    <t>260</t>
  </si>
  <si>
    <t>244</t>
  </si>
  <si>
    <t>255</t>
  </si>
  <si>
    <t>295</t>
  </si>
  <si>
    <t>185</t>
  </si>
  <si>
    <t>205</t>
  </si>
  <si>
    <t>230</t>
  </si>
  <si>
    <t>225</t>
  </si>
  <si>
    <t>250</t>
  </si>
  <si>
    <t>245</t>
  </si>
  <si>
    <t>290</t>
  </si>
  <si>
    <t>246</t>
  </si>
  <si>
    <t>270</t>
  </si>
  <si>
    <t>300</t>
  </si>
  <si>
    <t>235</t>
  </si>
  <si>
    <t>215</t>
  </si>
  <si>
    <t>280</t>
  </si>
  <si>
    <t>106</t>
  </si>
  <si>
    <t>900</t>
  </si>
  <si>
    <t>1467</t>
  </si>
  <si>
    <t>1630</t>
  </si>
  <si>
    <t>12</t>
  </si>
  <si>
    <t>6</t>
  </si>
  <si>
    <t>18</t>
  </si>
  <si>
    <t>IA001(101-02)-03</t>
  </si>
  <si>
    <t>IA002(101-02)-02</t>
  </si>
  <si>
    <t>IA003(101-01)-02</t>
  </si>
  <si>
    <t>IA004(101-01)-04</t>
  </si>
  <si>
    <t>IA005(101-01)-04</t>
  </si>
  <si>
    <t>IA006(101-01)-05_01</t>
  </si>
  <si>
    <t>IA006(101-01)-05_02</t>
  </si>
  <si>
    <t>IA006(101-01)-05_03</t>
  </si>
  <si>
    <t>IA006(101-01)-05_04</t>
  </si>
  <si>
    <t>IA006(101-01)-05_05</t>
  </si>
  <si>
    <t>IA008(101-01)-05</t>
  </si>
  <si>
    <t>IA010(101-01)-03</t>
  </si>
  <si>
    <t>IA011(101-02)-04_01</t>
  </si>
  <si>
    <t>IA011(101-02)-04_02</t>
  </si>
  <si>
    <t>IA011(101-02)-04_03</t>
  </si>
  <si>
    <t>IA011(101-02)-04_04</t>
  </si>
  <si>
    <t>IA011(101-02)-04_05</t>
  </si>
  <si>
    <t>IA011(101-02)-04_06</t>
  </si>
  <si>
    <t>IA011(101-02)-04_07</t>
  </si>
  <si>
    <t>IA011(101-02)-04_08</t>
  </si>
  <si>
    <t>IA012(101-02)-04_01</t>
  </si>
  <si>
    <t>IA012(101-02)-04_02</t>
  </si>
  <si>
    <t>IA012T(101-02)-01</t>
  </si>
  <si>
    <t>IA013(101-05)-02</t>
  </si>
  <si>
    <t>IA014(101-03)-05_01</t>
  </si>
  <si>
    <t>IA014(101-03)-05_02</t>
  </si>
  <si>
    <t>IA014(101-03)-05_03</t>
  </si>
  <si>
    <t>IA014(101-03)-05_04</t>
  </si>
  <si>
    <t>IA015(101-02)-01</t>
  </si>
  <si>
    <t>IA016(101-02)-03_01</t>
  </si>
  <si>
    <t>IA016(101-02)-03_02</t>
  </si>
  <si>
    <t>IA017(101-01)-03</t>
  </si>
  <si>
    <t>IA018(101-01)-03_01</t>
  </si>
  <si>
    <t>IA018(101-01)-03_02</t>
  </si>
  <si>
    <t>IA018(101-01)-03_03</t>
  </si>
  <si>
    <t>IA018(101-01)-03_04</t>
  </si>
  <si>
    <t>IA018(101-01)-03_05</t>
  </si>
  <si>
    <t>IA018(101-01)-03_06</t>
  </si>
  <si>
    <t>IA018(101-01)-03_07</t>
  </si>
  <si>
    <t>IA020(101-02) -02</t>
  </si>
  <si>
    <t>IA020T(101-02)-01</t>
  </si>
  <si>
    <t>IA021(101-01)-02</t>
  </si>
  <si>
    <t>IA022(101-02)-02</t>
  </si>
  <si>
    <t>IA023(101-03)-03_01</t>
  </si>
  <si>
    <t>IA023(101-03)-03_02</t>
  </si>
  <si>
    <t>IA023(101-03)-03_03</t>
  </si>
  <si>
    <t>IA023(101-03)-03_04</t>
  </si>
  <si>
    <t>IA024(101-01)-02</t>
  </si>
  <si>
    <t>IA025(101-01)-02</t>
  </si>
  <si>
    <t>IA026(101-01)-01</t>
  </si>
  <si>
    <t>IA027(101-05)-04</t>
  </si>
  <si>
    <t>IA030(101-01)-04</t>
  </si>
  <si>
    <t>IA031(101-01)-05</t>
  </si>
  <si>
    <t>IA032(101-02)-01</t>
  </si>
  <si>
    <t>IA033(101-02)-03</t>
  </si>
  <si>
    <t>IA034(101-01)-02</t>
  </si>
  <si>
    <t>IA036(101-02)-04</t>
  </si>
  <si>
    <t>IA037(101-01)-05</t>
  </si>
  <si>
    <t>IA038(101-01)-05</t>
  </si>
  <si>
    <t>IA046(202-00)-04</t>
  </si>
  <si>
    <t>IA049(101-02)-02_01</t>
  </si>
  <si>
    <t>IA049(101-02)-02_02</t>
  </si>
  <si>
    <t>IA049(101-02)-02-03</t>
  </si>
  <si>
    <t>19-047-21</t>
  </si>
  <si>
    <t>IA052(101-02)-02</t>
  </si>
  <si>
    <t>IA053(101-02)-02</t>
  </si>
  <si>
    <t>IA054(101-02)-03</t>
  </si>
  <si>
    <t>IA055(101-02)-03</t>
  </si>
  <si>
    <t>IA058(101-02)-02</t>
  </si>
  <si>
    <t>IA059(101-02)-01</t>
  </si>
  <si>
    <t>IA060(101-02)-01</t>
  </si>
  <si>
    <t>IA062(101-02)-01</t>
  </si>
  <si>
    <t>IA063(101-02)-01</t>
  </si>
  <si>
    <t>IA066(101-04)-05</t>
  </si>
  <si>
    <t>IA067(101-02)-04</t>
  </si>
  <si>
    <t>IA068(101-04)-02</t>
  </si>
  <si>
    <t>IA069(101-05)-03</t>
  </si>
  <si>
    <t>IA070(101-05)-03</t>
  </si>
  <si>
    <t>IA071(101-04)-04</t>
  </si>
  <si>
    <t>IA073(101-05)-03</t>
  </si>
  <si>
    <t>IA048(101-02)-04</t>
  </si>
  <si>
    <t>IA074(101-04)-03</t>
  </si>
  <si>
    <t>IA076(101-05)-02</t>
  </si>
  <si>
    <t>IA077(101-05)-02</t>
  </si>
  <si>
    <t>IA078(101-05)-04</t>
  </si>
  <si>
    <t>IA082(101-04)-01</t>
  </si>
  <si>
    <t>IA083(101-04)-01</t>
  </si>
  <si>
    <t>IA087(101-05)-03</t>
  </si>
  <si>
    <t>IA088(101-05)-03</t>
  </si>
  <si>
    <t>IA089(101-04)-02</t>
  </si>
  <si>
    <t>IA090(101-01)-01</t>
  </si>
  <si>
    <t>IA091(101-01)-01</t>
  </si>
  <si>
    <t>IA092(101-02)-02</t>
  </si>
  <si>
    <t>IA093(101-01)-01</t>
  </si>
  <si>
    <t>IA096(101-04)-01</t>
  </si>
  <si>
    <t>IA098(101-01)-01</t>
  </si>
  <si>
    <t>IA099(101-04)-01</t>
  </si>
  <si>
    <t>IA101(101-04)-01</t>
  </si>
  <si>
    <t>IA105(101-04)-02</t>
  </si>
  <si>
    <t>IA106(101-02)-02</t>
  </si>
  <si>
    <t>IA107(101-05)-02</t>
  </si>
  <si>
    <t>IA109(101-05)-01</t>
  </si>
  <si>
    <t>IA111(101-02)-01</t>
  </si>
  <si>
    <t>IA112(101-02)-02</t>
  </si>
  <si>
    <t>IA113(101-02)-01</t>
  </si>
  <si>
    <t>IA114(101-04)-01</t>
  </si>
  <si>
    <t>IA115(101-05)-01</t>
  </si>
  <si>
    <t>IA116(101-05)-01</t>
  </si>
  <si>
    <t>IA117(101-04)-02</t>
  </si>
  <si>
    <t>IA118(101-05)-02</t>
  </si>
  <si>
    <t>IA119(101-05)-03</t>
  </si>
  <si>
    <t>IA120(101-05)-03</t>
  </si>
  <si>
    <t>IA123(101-02)-02</t>
  </si>
  <si>
    <t>IA124(101-02)-02</t>
  </si>
  <si>
    <t>IA126(101-02)-02</t>
  </si>
  <si>
    <t>IA127(101-02)-01</t>
  </si>
  <si>
    <t>IA129(101-02)-02</t>
  </si>
  <si>
    <t>IA131(101-02)-01</t>
  </si>
  <si>
    <t>IA130(101-02)-01</t>
  </si>
  <si>
    <t>IA135(101-02)-01</t>
  </si>
  <si>
    <t>Spec. Issue Date</t>
  </si>
  <si>
    <t>Die Machining Date</t>
  </si>
  <si>
    <t>Prototype Completion Date</t>
  </si>
  <si>
    <t>Pre-launch Completion Date</t>
  </si>
  <si>
    <t>Production Date</t>
  </si>
  <si>
    <t>Spec. Revoke Date</t>
  </si>
  <si>
    <t>IA122(101-04)-01</t>
  </si>
  <si>
    <t>IA125(101-02)-02</t>
  </si>
  <si>
    <t>IA128(101-02)-01</t>
  </si>
  <si>
    <t>IA132(101-04)-02</t>
  </si>
  <si>
    <t>IA133(101-05)-02</t>
  </si>
  <si>
    <t>IA134(101-05)-02</t>
  </si>
  <si>
    <t>IA136(101-02)-02</t>
  </si>
  <si>
    <t>IA137(101-02)-01</t>
  </si>
  <si>
    <t>IA138(101-05)-02</t>
  </si>
  <si>
    <t>IA141(101-04)-01</t>
  </si>
  <si>
    <t>IA142(101-01)-01</t>
  </si>
  <si>
    <t>IA143(101-01)-01</t>
  </si>
  <si>
    <t>IA144(101-01)-01</t>
  </si>
  <si>
    <t>IA145(101-02)-01</t>
  </si>
  <si>
    <t>IA146(101-01)-01</t>
  </si>
  <si>
    <t>1486</t>
  </si>
  <si>
    <t>1651</t>
  </si>
  <si>
    <t/>
  </si>
  <si>
    <t>TEST052(101-05)</t>
  </si>
  <si>
    <t>1490</t>
  </si>
  <si>
    <t>यूनिट Unit:
109-Extruding</t>
  </si>
  <si>
    <t>एम्प्लोय हाजरी पत्रक Employee Attendance Sheet</t>
  </si>
  <si>
    <r>
      <rPr>
        <b/>
        <sz val="10"/>
        <rFont val="Calibri"/>
        <family val="2"/>
      </rPr>
      <t xml:space="preserve">______महिनाMonth </t>
    </r>
    <r>
      <rPr>
        <b/>
        <u/>
        <sz val="10"/>
        <rFont val="Calibri"/>
        <family val="2"/>
      </rPr>
      <t xml:space="preserve">     _______  </t>
    </r>
    <r>
      <rPr>
        <b/>
        <sz val="10"/>
        <rFont val="Calibri"/>
        <family val="2"/>
      </rPr>
      <t>सालYear</t>
    </r>
  </si>
  <si>
    <t>Sr No.</t>
  </si>
  <si>
    <t>एम्प्लोय ID
Employee ID</t>
  </si>
  <si>
    <t>नाम
Name</t>
  </si>
  <si>
    <t>नोंध
Remark</t>
  </si>
  <si>
    <t>KETUL PATEL</t>
    <phoneticPr fontId="2" type="noConversion"/>
  </si>
  <si>
    <t>HARDIK PATEL</t>
    <phoneticPr fontId="2" type="noConversion"/>
  </si>
  <si>
    <t>AKASH THAKKAR</t>
    <phoneticPr fontId="2" type="noConversion"/>
  </si>
  <si>
    <t>FT2104067</t>
  </si>
  <si>
    <t>PRATIK CHANDANI</t>
  </si>
  <si>
    <r>
      <t>√: वकत पर On Time</t>
    </r>
    <r>
      <rPr>
        <b/>
        <sz val="10"/>
        <rFont val="細明體"/>
        <family val="3"/>
        <charset val="136"/>
      </rPr>
      <t xml:space="preserve">　    </t>
    </r>
    <r>
      <rPr>
        <b/>
        <sz val="10"/>
        <rFont val="Calibri"/>
        <family val="2"/>
      </rPr>
      <t xml:space="preserve">: देरी Later      </t>
    </r>
    <r>
      <rPr>
        <b/>
        <sz val="10"/>
        <rFont val="細明體"/>
        <family val="3"/>
        <charset val="136"/>
      </rPr>
      <t>○</t>
    </r>
    <r>
      <rPr>
        <b/>
        <sz val="10"/>
        <rFont val="Calibri"/>
        <family val="2"/>
      </rPr>
      <t>: गेरहाजर Absent</t>
    </r>
    <r>
      <rPr>
        <b/>
        <sz val="10"/>
        <rFont val="細明體"/>
        <family val="3"/>
        <charset val="136"/>
      </rPr>
      <t xml:space="preserve">　
</t>
    </r>
    <r>
      <rPr>
        <b/>
        <sz val="10"/>
        <rFont val="Calibri"/>
        <family val="2"/>
      </rPr>
      <t>/:  काम छोड़ दिया Skipped Work</t>
    </r>
    <r>
      <rPr>
        <b/>
        <sz val="10"/>
        <rFont val="細明體"/>
        <family val="3"/>
        <charset val="136"/>
      </rPr>
      <t>　　╳</t>
    </r>
    <r>
      <rPr>
        <b/>
        <sz val="10"/>
        <rFont val="Calibri"/>
        <family val="2"/>
      </rPr>
      <t xml:space="preserve">:  छुट्टी On Leave       </t>
    </r>
    <r>
      <rPr>
        <b/>
        <sz val="9"/>
        <rFont val="細明體"/>
        <family val="3"/>
        <charset val="136"/>
      </rPr>
      <t>●</t>
    </r>
    <r>
      <rPr>
        <b/>
        <sz val="10"/>
        <rFont val="Calibri"/>
        <family val="2"/>
      </rPr>
      <t xml:space="preserve"> : बिजनेस ट्रिप Business Trip</t>
    </r>
  </si>
  <si>
    <t>सुपरवाइजर
Supervisor</t>
  </si>
  <si>
    <t>क्रू लीडर
Crew Leader</t>
  </si>
  <si>
    <t>कोलर
Caller</t>
  </si>
  <si>
    <t>खुदकी  सलामती जागृति फॉर्म    Enhance safety awareness Form</t>
  </si>
  <si>
    <t xml:space="preserve">लागु किया तबका समय 
Implement Time:    </t>
  </si>
  <si>
    <t xml:space="preserve">       Name
Date</t>
  </si>
  <si>
    <t xml:space="preserve">  160086  KETUL PATEL</t>
    <phoneticPr fontId="1" type="noConversion"/>
  </si>
  <si>
    <t xml:space="preserve">   160092 HARDIK  PATEL</t>
    <phoneticPr fontId="1" type="noConversion"/>
  </si>
  <si>
    <t xml:space="preserve">   190097 AAKASH THAKKER</t>
    <phoneticPr fontId="1" type="noConversion"/>
  </si>
  <si>
    <t>FT2104067
PRATIK
CHANDANI</t>
  </si>
  <si>
    <r>
      <rPr>
        <b/>
        <sz val="16"/>
        <rFont val="Calibri"/>
        <family val="2"/>
      </rPr>
      <t>M____ Y ______</t>
    </r>
    <r>
      <rPr>
        <b/>
        <sz val="12"/>
        <rFont val="Calibri"/>
        <family val="2"/>
      </rPr>
      <t>માપનના સાધનોની રોજની ચેકશીટ  Measuring Instrument Daily Checksheet</t>
    </r>
  </si>
  <si>
    <t>પ્રોસેસ Process: 
મશીન Machine:</t>
  </si>
  <si>
    <t>વપરાશકર્તા વિભાગ: Extrusion mold
Using Unit:115</t>
  </si>
  <si>
    <t>એમ્પ્લોય આઈ ડી:
Employee ID</t>
  </si>
  <si>
    <t>Instrument Type ઉપકરણ લીસ્ટ:</t>
    <phoneticPr fontId="8" type="noConversion"/>
  </si>
  <si>
    <t>માપન ટેપ Measuring Tape</t>
    <phoneticPr fontId="8" type="noConversion"/>
  </si>
  <si>
    <t>સ્ટીલ પટ્ટી Steel Ruler</t>
    <phoneticPr fontId="8" type="noConversion"/>
  </si>
  <si>
    <t>થીક્નેસ ગેજ Thickness Gauge</t>
    <phoneticPr fontId="8" type="noConversion"/>
  </si>
  <si>
    <t>Other</t>
  </si>
  <si>
    <t>વર્નીયર કેલીપર Vernier Cali</t>
    <phoneticPr fontId="8" type="noConversion"/>
  </si>
  <si>
    <t>પ્રોતેકટર Protractor</t>
    <phoneticPr fontId="8" type="noConversion"/>
  </si>
  <si>
    <t>R-ટેપ R-Tape</t>
    <phoneticPr fontId="8" type="noConversion"/>
  </si>
  <si>
    <t>L-સ્ક્વેર L-Square</t>
    <phoneticPr fontId="8" type="noConversion"/>
  </si>
  <si>
    <t>Type</t>
    <phoneticPr fontId="8" type="noConversion"/>
  </si>
  <si>
    <t>2 m</t>
  </si>
  <si>
    <t>તારીખ Date</t>
  </si>
  <si>
    <t>માપન ટેપ Measuring Tape</t>
  </si>
  <si>
    <t>નિરીક્ષણની વસ્તુ Inspection Item:
૧.ટેપમાં ક્ષતિ ના હોય અને બરાબર કામ કરવું જોઈએ 
1. No deformation in tape and function normally.
૨. હુકમાં ક્ષતિ ના હોય અને બરાબર કામ કરવું જોઈએ
2. No deformation in hook and function normally.
૩. ટેપનું અંકન ચોખ્ખું અને બરાબર હોવું જોઈએ.
3. Tape reading should be clear and perfect.</t>
    <phoneticPr fontId="8" type="noConversion"/>
  </si>
  <si>
    <t>સ્ટીલ પટ્ટી Steel Ruler</t>
  </si>
  <si>
    <t>નિરીક્ષણની વસ્તુ Inspection Item:
૧. પટ્ટી ની સપાટી પર ક્ષતિ ના હોવી જોઈએ. 
1. No deformation in ruler surface.
૨. પટ્ટીની અંકન ચોખ્ખું હોવું જોઈએ.
2. Ruler reading and lines is clear.
૩. પટ્ટીની સપાટી પર માપન ની ભૂલ ના હોવી જોઈએ.
3. Ruler surface should not effect the precision's defect.</t>
    <phoneticPr fontId="8" type="noConversion"/>
  </si>
  <si>
    <t>થીક્નેસ ગેજ Thickness Gauge</t>
  </si>
  <si>
    <t>નિરીક્ષણની વસ્તુ Inspection Item:
૧.સપાટી અને ડાયલ સેન્સીટીવ હોવા જોઈએ.
1. Clear surface and dials should be sensitive.
૨. થીક્નેસનો ક્લેમ્પ બંધ કરો ત્યારે શૂન્ય હોવું જોઈએ 
2. Thickness clamp should be closed and even and can be zeroed by resetting the sensor.
૩. મુવિંગ પાર્ટ સરળતાથી ફરવા જોઈએ અને બધા પાર્ટ હોવા જોઈએ.
3. Moving should be smooth and no parts fall apart.</t>
    <phoneticPr fontId="8" type="noConversion"/>
  </si>
  <si>
    <t>નંબર No.:</t>
  </si>
  <si>
    <t>વર્નીયર કેલીપર Vernier Caliper</t>
  </si>
  <si>
    <t>નિરીક્ષણની વસ્તુ Inspection Item:
૧.જયારે કલો બંધ હોય ત્યારે શૂન્ય બતાવવું જોઈએ.
1. Detecting claw should be zeroed when completely closed.
૨. વર્નીયર કેલીપર સરળતાથી ફરવું જોઈએ.
2. Vernier Caliper should move smoothly.
૩.કોઈ પણ પાર્ટ છુટ્ટો ના હોવો જોઈએ.
3. No associate parts fall apart.</t>
    <phoneticPr fontId="8" type="noConversion"/>
  </si>
  <si>
    <t>પ્રોતેકટર Protractor</t>
  </si>
  <si>
    <t>નિરીક્ષણની વસ્તુ Inspection Item:
૧. માપન શૂન્ય અને સમાંતર હોવું જોઈએ.
1. Meter needs to be zeroed and aligned.
૨. મીટરનુ અંકન બરાબર હોવું જોઈએ.
2. Meters label should be clear.
૩. પ્રોટેકટર ની સપાટી પર કોઈ ક્ષતિ ના હોવી જોઈએ.
3.No deformation for protractor surface and screw should be stabilized.</t>
    <phoneticPr fontId="8" type="noConversion"/>
  </si>
  <si>
    <t>R-ટેપ R-Tape</t>
  </si>
  <si>
    <t>L-સ્ક્વેર L-Square</t>
  </si>
  <si>
    <t>150 mm</t>
  </si>
  <si>
    <r>
      <t>Description:
૧. V  બરાબર , X ખરાબી , / કામમાં ન લેવું 
1. V for normal, X for abnormal, / for no operation</t>
    </r>
    <r>
      <rPr>
        <sz val="8"/>
        <rFont val="新細明體"/>
        <family val="1"/>
        <charset val="136"/>
      </rPr>
      <t xml:space="preserve">
૨.જવાબદાર વ્યક્તિએ રોજ કામગીરી જોવાની, સુપરવાઈઝરને જાણ કરવી કઈ ક્ષતિ લાગે તો અને માપન વિભાગને પણ જાણ કરવી. ભાંગ તૂટ માટે દંડ ભરવો પડશે.
</t>
    </r>
    <r>
      <rPr>
        <sz val="8"/>
        <rFont val="Calibri"/>
        <family val="2"/>
      </rPr>
      <t>2. Operation custodian should inspect prior daily operation, notify supervisor if abnormity occurs. Send to measuring unit for process and suspend the usage. Violaters shall be penalized</t>
    </r>
    <r>
      <rPr>
        <sz val="8"/>
        <rFont val="新細明體"/>
        <family val="1"/>
        <charset val="136"/>
      </rPr>
      <t xml:space="preserve">
૩. આ ફોર્મ વિભાગના સુપરવાઈઝરને અપ્રુવલ માટે આપવું અને ક્રુ પછીના વિક માટે આને આધાર ગણશે.
</t>
    </r>
    <r>
      <rPr>
        <sz val="8"/>
        <rFont val="Calibri"/>
        <family val="2"/>
      </rPr>
      <t>3. This form should submit to unit supervisors for approval and submit to control crew for reference in the following week.</t>
    </r>
  </si>
  <si>
    <t>રિમાર્ક
Remark</t>
  </si>
  <si>
    <r>
      <t xml:space="preserve">સહી </t>
    </r>
    <r>
      <rPr>
        <sz val="7"/>
        <rFont val="Calibri"/>
        <family val="2"/>
      </rPr>
      <t>Signature</t>
    </r>
  </si>
  <si>
    <t>સેક્શન મેનેજર 
Section Manager</t>
  </si>
  <si>
    <t>ક્રુ લીડર 
Crew Leader</t>
  </si>
  <si>
    <t>શિફ્ટ લીડર 
Shift Leader</t>
  </si>
  <si>
    <t xml:space="preserve">              [Y]                         [M]</t>
  </si>
  <si>
    <t>विभाग: 
Department:  Production</t>
  </si>
  <si>
    <t>सेक्शन: 
Section:  Extrusion Mold</t>
  </si>
  <si>
    <t xml:space="preserve"> </t>
    <phoneticPr fontId="1" type="noConversion"/>
  </si>
  <si>
    <t>મશીન સાધન સ્તર-1 (દૈનિક) જાળવણી ચેકલિસ્ટ Machine Equipment Level 1 (Daily) Maintenance Checksheet</t>
  </si>
  <si>
    <r>
      <t xml:space="preserve">મશીન નામ
</t>
    </r>
    <r>
      <rPr>
        <b/>
        <sz val="9"/>
        <rFont val="Calibri"/>
        <family val="2"/>
      </rPr>
      <t>Machine Name</t>
    </r>
  </si>
  <si>
    <t xml:space="preserve">                                           VMC  મશીન                                               VMC MACHINE</t>
  </si>
  <si>
    <r>
      <t xml:space="preserve">મહિનો / સાલ 
</t>
    </r>
    <r>
      <rPr>
        <b/>
        <sz val="9"/>
        <rFont val="Calibri"/>
        <family val="2"/>
      </rPr>
      <t xml:space="preserve">Month / Year </t>
    </r>
  </si>
  <si>
    <t>MM             YYYY</t>
  </si>
  <si>
    <r>
      <t xml:space="preserve">દ્વારા મંજૂર
</t>
    </r>
    <r>
      <rPr>
        <b/>
        <sz val="9"/>
        <rFont val="Calibri"/>
        <family val="2"/>
      </rPr>
      <t>Approved By</t>
    </r>
  </si>
  <si>
    <r>
      <t xml:space="preserve">દ્વારા તપાસાયેલું
</t>
    </r>
    <r>
      <rPr>
        <b/>
        <sz val="9"/>
        <rFont val="Calibri"/>
        <family val="2"/>
      </rPr>
      <t>Checked By</t>
    </r>
  </si>
  <si>
    <r>
      <t xml:space="preserve">મશીન નંબર
</t>
    </r>
    <r>
      <rPr>
        <b/>
        <sz val="9"/>
        <rFont val="Calibri"/>
        <family val="2"/>
      </rPr>
      <t>Machine No.</t>
    </r>
  </si>
  <si>
    <t>M70</t>
  </si>
  <si>
    <r>
      <t xml:space="preserve">યુનિટ
</t>
    </r>
    <r>
      <rPr>
        <b/>
        <sz val="9"/>
        <rFont val="Calibri"/>
        <family val="2"/>
      </rPr>
      <t>Unit</t>
    </r>
  </si>
  <si>
    <t>No.</t>
  </si>
  <si>
    <r>
      <rPr>
        <b/>
        <sz val="8"/>
        <rFont val="Calibri"/>
        <family val="2"/>
      </rPr>
      <t>નિરીક્ષણ આઇટમ</t>
    </r>
    <r>
      <rPr>
        <b/>
        <sz val="10"/>
        <rFont val="Calibri"/>
        <family val="2"/>
      </rPr>
      <t xml:space="preserve"> Inspection Item</t>
    </r>
  </si>
  <si>
    <r>
      <rPr>
        <b/>
        <sz val="8"/>
        <rFont val="Calibri"/>
        <family val="2"/>
      </rPr>
      <t>નિરીક્ષણ સ્ટાન્ડર્ડ</t>
    </r>
    <r>
      <rPr>
        <b/>
        <sz val="10"/>
        <rFont val="Calibri"/>
        <family val="2"/>
      </rPr>
      <t xml:space="preserve"> Inspection Standard</t>
    </r>
  </si>
  <si>
    <r>
      <t xml:space="preserve">અસાધારણ પ્રક્રિયા પદ્ધતિ
</t>
    </r>
    <r>
      <rPr>
        <b/>
        <sz val="9"/>
        <rFont val="Calibri"/>
        <family val="2"/>
      </rPr>
      <t>Abnormity Process Method</t>
    </r>
  </si>
  <si>
    <r>
      <rPr>
        <b/>
        <sz val="9"/>
        <rFont val="Calibri"/>
        <family val="2"/>
      </rPr>
      <t>તારીખ</t>
    </r>
    <r>
      <rPr>
        <b/>
        <sz val="10"/>
        <rFont val="Calibri"/>
        <family val="2"/>
      </rPr>
      <t xml:space="preserve">  </t>
    </r>
    <r>
      <rPr>
        <b/>
        <sz val="11"/>
        <rFont val="Calibri"/>
        <family val="2"/>
      </rPr>
      <t>Date</t>
    </r>
  </si>
  <si>
    <t xml:space="preserve">મોટર અને રીડ્યુસર </t>
  </si>
  <si>
    <t>ઓપરેસન વખતે અવાજ ના આવવો જોઈએ</t>
  </si>
  <si>
    <t>રેપઈર કરવું</t>
  </si>
  <si>
    <t>motor and reducer</t>
  </si>
  <si>
    <t>No sound during operation</t>
  </si>
  <si>
    <t>repair</t>
  </si>
  <si>
    <t>બધા ભાગ ના સ્ક્રુ</t>
  </si>
  <si>
    <t>ફિક્ષ કરેલા સ્ક્રુ ઢીલા ના હોવા જોઈએ</t>
  </si>
  <si>
    <t>ફિક્ષિન્ગ</t>
  </si>
  <si>
    <t>all parts of fixed screw</t>
  </si>
  <si>
    <t>The fixing screws are not loose</t>
  </si>
  <si>
    <t>locked</t>
  </si>
  <si>
    <t xml:space="preserve"> નિર્દેશક  </t>
  </si>
  <si>
    <t xml:space="preserve">સામાન્ય, કોઈ નુકસાન ના હોવું જોઈએ </t>
  </si>
  <si>
    <t>સરખું કરો અથવા રિપેર કરો</t>
  </si>
  <si>
    <t>Normal, no damage</t>
  </si>
  <si>
    <t>Adjust or repair</t>
  </si>
  <si>
    <t>Indicator</t>
  </si>
  <si>
    <t>રેફ્રીજરેન્ટ નીચે દબાવ નો મૂલ્ય</t>
  </si>
  <si>
    <t>રેફ્રીજરેન્ટ સપ્લીમેન્ટ</t>
  </si>
  <si>
    <t>Sign of refrigerant low pressure</t>
  </si>
  <si>
    <t>Refrigerant supplement</t>
  </si>
  <si>
    <t>સ્પિન્ડલ ટેપર</t>
  </si>
  <si>
    <t>દેખાવે ચોખું હોવું જોઈએ</t>
  </si>
  <si>
    <t>સાફ કરો</t>
  </si>
  <si>
    <t>Spindle taper</t>
  </si>
  <si>
    <t>Looks clean</t>
  </si>
  <si>
    <t>Clean up</t>
  </si>
  <si>
    <t>સાધનો અને સાધન ધારકો</t>
  </si>
  <si>
    <t>તે ચીપ્સથી મુક્ત હોવું જોઈએ</t>
  </si>
  <si>
    <t xml:space="preserve">તેને સાફ કરો </t>
  </si>
  <si>
    <t>Tools and tool holders</t>
  </si>
  <si>
    <t>It should be free from chips</t>
  </si>
  <si>
    <t>Clean up it</t>
  </si>
  <si>
    <t>સ્પિન્ડલ ઓઇલ કૂલર અને ઓઇલ ટાંકીમાંથી તેલનું કદ</t>
  </si>
  <si>
    <t>તેલ સ્તર તપાસો</t>
  </si>
  <si>
    <t>જો ઓછું હોય, તો સમાન ગ્રેડ તેલ ઉમેરો</t>
  </si>
  <si>
    <t>Oil volume from spindle oil cooler and oil tank</t>
  </si>
  <si>
    <t>Check oil level</t>
  </si>
  <si>
    <t>If low, add same grade oil</t>
  </si>
  <si>
    <t xml:space="preserve">લુબ્રિકેશન સિસ્ટમ અને તેની તેલ ટાંકીમાંથી તેલનું કદ </t>
  </si>
  <si>
    <t>Oil volume from lubrication system and its oil tank</t>
  </si>
  <si>
    <t>શીતક ટાંકીમાંથી શીતક વોલ્યુમ</t>
  </si>
  <si>
    <t>તેલ ઉમેરો</t>
  </si>
  <si>
    <t>The coolant volume from coolant tank</t>
  </si>
  <si>
    <t>oil fill up</t>
  </si>
  <si>
    <t>કૂલન્ટ ટાંકી</t>
  </si>
  <si>
    <t xml:space="preserve"> દેખાવે ચોખું હોવું જોઈએ</t>
  </si>
  <si>
    <t>Coolant tank</t>
  </si>
  <si>
    <t xml:space="preserve"> Looks clean</t>
  </si>
  <si>
    <t xml:space="preserve">બત્તી </t>
  </si>
  <si>
    <t>કામ કરવું કે નહીં</t>
  </si>
  <si>
    <t>તેને બદલો</t>
  </si>
  <si>
    <t>Lamp</t>
  </si>
  <si>
    <t>Change it</t>
  </si>
  <si>
    <t>સલામતી સહાયક કાર્ય</t>
  </si>
  <si>
    <t>Safety accessory  function</t>
  </si>
  <si>
    <t>Working or not</t>
  </si>
  <si>
    <t xml:space="preserve">ઓપરેશન પેનલ કાર્ય </t>
  </si>
  <si>
    <t>Operation panel function</t>
  </si>
  <si>
    <r>
      <rPr>
        <sz val="7"/>
        <rFont val="Calibri"/>
        <family val="2"/>
      </rPr>
      <t>તારીખ</t>
    </r>
    <r>
      <rPr>
        <sz val="8"/>
        <rFont val="Calibri"/>
        <family val="2"/>
      </rPr>
      <t xml:space="preserve">  Date</t>
    </r>
  </si>
  <si>
    <r>
      <rPr>
        <b/>
        <sz val="8"/>
        <rFont val="Calibri"/>
        <family val="2"/>
      </rPr>
      <t>અસાધારણ પ્રક્રિયા પદ્ધતિ</t>
    </r>
    <r>
      <rPr>
        <b/>
        <sz val="10"/>
        <rFont val="Calibri"/>
        <family val="2"/>
      </rPr>
      <t xml:space="preserve"> ( </t>
    </r>
    <r>
      <rPr>
        <b/>
        <sz val="8"/>
        <rFont val="Calibri"/>
        <family val="2"/>
      </rPr>
      <t>મૈનટૈનન્સ  સંખ્યા</t>
    </r>
    <r>
      <rPr>
        <b/>
        <sz val="10"/>
        <rFont val="Calibri"/>
        <family val="2"/>
      </rPr>
      <t xml:space="preserve"> )
Abnormity Process Status (Maintenance Number)</t>
    </r>
  </si>
  <si>
    <r>
      <rPr>
        <b/>
        <sz val="8"/>
        <rFont val="Calibri"/>
        <family val="2"/>
      </rPr>
      <t>ઇન્સ્પેક્ટર</t>
    </r>
    <r>
      <rPr>
        <b/>
        <sz val="10"/>
        <rFont val="Calibri"/>
        <family val="2"/>
      </rPr>
      <t xml:space="preserve">
Inspector</t>
    </r>
  </si>
  <si>
    <r>
      <rPr>
        <b/>
        <sz val="8"/>
        <rFont val="Calibri"/>
        <family val="2"/>
      </rPr>
      <t>શીફ્ટ લીડર પુષ્ટિકરણ</t>
    </r>
    <r>
      <rPr>
        <b/>
        <sz val="10"/>
        <rFont val="Calibri"/>
        <family val="2"/>
      </rPr>
      <t xml:space="preserve">
Shift Leader Confirmation</t>
    </r>
  </si>
  <si>
    <t xml:space="preserve">નોંધ:     </t>
  </si>
  <si>
    <t xml:space="preserve"> 1. લખવા માટે વાદળી પેનનો ઉપયોગ કરો                                       2. શિફ્ટ લીડર સાપ્તાહિક ધોરણે પુષ્ટિ કરશે અને સ્ટેમ્પ કરશે.</t>
  </si>
  <si>
    <t>Remark:</t>
  </si>
  <si>
    <t xml:space="preserve"> 1. Use blue pen to write                                                         2. Shift leader should confirm and stamp on weekly basis</t>
  </si>
  <si>
    <t>લિગેન્ડ:</t>
  </si>
  <si>
    <r>
      <t>1.</t>
    </r>
    <r>
      <rPr>
        <b/>
        <sz val="8"/>
        <rFont val="Calibri"/>
        <family val="2"/>
      </rPr>
      <t>✔</t>
    </r>
    <r>
      <rPr>
        <sz val="8"/>
        <rFont val="Calibri"/>
        <family val="2"/>
      </rPr>
      <t>= સામાન્ય</t>
    </r>
    <r>
      <rPr>
        <sz val="8"/>
        <rFont val="Calibri"/>
        <family val="2"/>
      </rPr>
      <t xml:space="preserve">  </t>
    </r>
  </si>
  <si>
    <t>2.○ = નાની સમસ્યા, સ્વયં સમારકામ કરી શકાય છે</t>
  </si>
  <si>
    <t>3.△ : જાળવનાર દ્વારા સમસ્યાને સમારકામ કરવાની જરૂર છે</t>
  </si>
  <si>
    <t xml:space="preserve">   4./: અસ્થાયી રૂપે ઉપયોગની બહાર</t>
  </si>
  <si>
    <t xml:space="preserve">  5.S: સસ્પેન્ડેડ </t>
  </si>
  <si>
    <t xml:space="preserve">Legend: </t>
  </si>
  <si>
    <r>
      <t xml:space="preserve"> 1.</t>
    </r>
    <r>
      <rPr>
        <b/>
        <sz val="9"/>
        <rFont val="Calibri"/>
        <family val="2"/>
        <scheme val="minor"/>
      </rPr>
      <t>✔</t>
    </r>
    <r>
      <rPr>
        <sz val="9"/>
        <rFont val="Calibri"/>
        <family val="2"/>
        <scheme val="minor"/>
      </rPr>
      <t>= Normal</t>
    </r>
  </si>
  <si>
    <t xml:space="preserve"> 2.○ = Minor problem, can be self-repaired</t>
  </si>
  <si>
    <t>3: Problem needs to be repaired by maintainer</t>
  </si>
  <si>
    <t>4./: Temporarily out of use</t>
  </si>
  <si>
    <t>5.S: Suspended</t>
  </si>
  <si>
    <t>અસાધારણ પ્રક્રિયા પદ્ધતિ
Abnormity Process Method</t>
    <phoneticPr fontId="2" type="noConversion"/>
  </si>
  <si>
    <r>
      <rPr>
        <b/>
        <sz val="9"/>
        <rFont val="Calibri"/>
        <family val="2"/>
      </rPr>
      <t>તારીખ</t>
    </r>
    <r>
      <rPr>
        <b/>
        <sz val="10"/>
        <rFont val="Calibri"/>
        <family val="2"/>
      </rPr>
      <t xml:space="preserve">  Date</t>
    </r>
  </si>
  <si>
    <t xml:space="preserve">હવાનું દબાણ </t>
  </si>
  <si>
    <t>દબાણ તપાસો</t>
  </si>
  <si>
    <t>તેને સમાયોજિત કરો</t>
  </si>
  <si>
    <t>Air pressure</t>
  </si>
  <si>
    <t>Check pressure</t>
  </si>
  <si>
    <t>Adjust it</t>
  </si>
  <si>
    <t xml:space="preserve">પમ્પ </t>
  </si>
  <si>
    <t>Pump</t>
  </si>
  <si>
    <t xml:space="preserve">હાઇડ્રોલિક અને હવા ટ્યુબ અને પાઇપ રેખાઓ </t>
  </si>
  <si>
    <t xml:space="preserve">ઓપરેસન વખતે અવાજ ના આવવો જોઈએ </t>
  </si>
  <si>
    <t>Hydraulic and air tubes and pipe lines</t>
  </si>
  <si>
    <t>મશીન અને તેના બેડ</t>
  </si>
  <si>
    <t>ચિપ્સ</t>
  </si>
  <si>
    <t>Machine and its bed</t>
  </si>
  <si>
    <t>chips</t>
  </si>
  <si>
    <t xml:space="preserve">ફિલ્ટર પંખો </t>
  </si>
  <si>
    <t>Filter fan</t>
  </si>
  <si>
    <t>એટીસી મેગેઝિન</t>
  </si>
  <si>
    <t xml:space="preserve"> કાર્ય સામાન્ય હોવું જોઇએ</t>
  </si>
  <si>
    <t>ATC magazine</t>
  </si>
  <si>
    <t>Action function is normal</t>
  </si>
  <si>
    <t>ઇએલસી કેબિનેટ અને ઘટકો</t>
  </si>
  <si>
    <t>ELC cabinet and components</t>
  </si>
  <si>
    <t xml:space="preserve">  Looks clean</t>
  </si>
  <si>
    <t>સ્કૂસ</t>
  </si>
  <si>
    <t>Screws</t>
  </si>
  <si>
    <t>દરેક અક્ષીય રેખીય સ્લાઇડ્સ or બૉક્સ સ્લાઇડ્સને વ્યવસ્થિત કરવા માટે સ્લાઇડ કરે છે</t>
  </si>
  <si>
    <t>Each axial linear slides or box slides to adjust the gib</t>
  </si>
  <si>
    <t>સ્પ્લેશ રક્ષક</t>
  </si>
  <si>
    <t>Splash guard</t>
  </si>
  <si>
    <t xml:space="preserve">ઓઈલ જુદું પાડવાનું યંત્ર </t>
  </si>
  <si>
    <t xml:space="preserve"> OIL SEPRATOR MECHANISM</t>
  </si>
  <si>
    <t>વાયર  અને ઈલેકટરીક</t>
  </si>
  <si>
    <t xml:space="preserve"> કોઈ નુકસાન નહી અને ઇજા નહી </t>
  </si>
  <si>
    <t>કવર કરો અથવા બદલો</t>
  </si>
  <si>
    <t xml:space="preserve"> Wires, electric view</t>
  </si>
  <si>
    <t>No damage, no injuries</t>
  </si>
  <si>
    <t>Cover or replace</t>
  </si>
  <si>
    <t>બહાર નો દેખાવ</t>
  </si>
  <si>
    <t>Exteriore</t>
  </si>
  <si>
    <t>હાઈડ્રોલીક યુનિટ</t>
  </si>
  <si>
    <t>દબાણ ઉપરની અને નીચેની લીમીટ માં હોવી જોઇએ</t>
  </si>
  <si>
    <t>અપૂરતું હોય તો ઉમેરો</t>
  </si>
  <si>
    <t>Hydraulic unit</t>
  </si>
  <si>
    <t>The pressure is indicated between the upper and lower limits</t>
  </si>
  <si>
    <t>Insufficient to add</t>
  </si>
  <si>
    <t xml:space="preserve">તત્કાલીન રુકાવટો </t>
  </si>
  <si>
    <t>ઉપસાધનો બ્રેક ના સરખી રીતે કામ કરે છે</t>
  </si>
  <si>
    <t>Emergency brakes</t>
  </si>
  <si>
    <t xml:space="preserve"> Accessories complete brake normal</t>
  </si>
  <si>
    <t xml:space="preserve">  1. લખવા માટે વાદળી પેનનો ઉપયોગ કરો                                        2. શિફ્ટ લીડર સાપ્તાહિક ધોરણે પુષ્ટિ કરશે અને સ્ટેમ્પ કરશે.</t>
  </si>
  <si>
    <t xml:space="preserve"> 1. Use blue pen to write                                                          2. Shift leader should confirm and stamp on weekly basis</t>
  </si>
  <si>
    <r>
      <rPr>
        <b/>
        <sz val="14"/>
        <rFont val="Calibri"/>
        <family val="2"/>
      </rPr>
      <t>મશીન સુરક્ષા ડિવાઇસ ચેક લીસ્ટ</t>
    </r>
    <r>
      <rPr>
        <b/>
        <sz val="20"/>
        <rFont val="Calibri"/>
        <family val="2"/>
      </rPr>
      <t xml:space="preserve"> </t>
    </r>
    <r>
      <rPr>
        <b/>
        <sz val="14"/>
        <rFont val="Calibri"/>
        <family val="2"/>
      </rPr>
      <t>Mechanical Equipment Safety Device Checksheet</t>
    </r>
  </si>
  <si>
    <t>મશીન નું નામ
Equipment Name</t>
  </si>
  <si>
    <t xml:space="preserve">□ A .CNC M/C    □ B. WELDING M/C     □ C. GRINDING TOOLS 
□ D.                   □ E.                      □ F.                                </t>
  </si>
  <si>
    <t>મહિનો/સાલ:
Month/Year:</t>
  </si>
  <si>
    <t>/</t>
  </si>
  <si>
    <t>સહી
Signature</t>
  </si>
  <si>
    <r>
      <t xml:space="preserve">ક્રુ નેતા
</t>
    </r>
    <r>
      <rPr>
        <b/>
        <sz val="10"/>
        <rFont val="Calibri"/>
        <family val="2"/>
      </rPr>
      <t>Leader</t>
    </r>
  </si>
  <si>
    <t>મશીન નંબર:
Machine No.:</t>
  </si>
  <si>
    <t>VMC machine</t>
  </si>
  <si>
    <t>યુનિટ:
Unit:</t>
  </si>
  <si>
    <t>મશીન નું નામ
Equipment</t>
    <phoneticPr fontId="2" type="noConversion"/>
  </si>
  <si>
    <t>પોઝિશન્સની તપાસ કરવી
Poisition</t>
    <phoneticPr fontId="2" type="noConversion"/>
  </si>
  <si>
    <t>તપાસ કરવા ની આઇટીમ
Check item</t>
    <phoneticPr fontId="2" type="noConversion"/>
  </si>
  <si>
    <t>સ્ટાન્ડર્ડ ચેકપોઇન્ટ Standard</t>
  </si>
  <si>
    <t>A</t>
    <phoneticPr fontId="2" type="noConversion"/>
  </si>
  <si>
    <t>B</t>
    <phoneticPr fontId="2" type="noConversion"/>
  </si>
  <si>
    <t>C</t>
    <phoneticPr fontId="2" type="noConversion"/>
  </si>
  <si>
    <t>D</t>
    <phoneticPr fontId="2" type="noConversion"/>
  </si>
  <si>
    <t>E</t>
    <phoneticPr fontId="2" type="noConversion"/>
  </si>
  <si>
    <t>√</t>
  </si>
  <si>
    <t xml:space="preserve">Control Panel                  </t>
  </si>
  <si>
    <t>Emergency Button</t>
  </si>
  <si>
    <t>Buttons without damage and functions in desired manner</t>
  </si>
  <si>
    <t>કંટ્રોલ પેનલ</t>
  </si>
  <si>
    <t>આપાત્કાલીન બટન</t>
  </si>
  <si>
    <t xml:space="preserve">બટન તૂટેલા ન હોવા જોઈએ અને બરાબર કામ કરવા જોઈએ </t>
  </si>
  <si>
    <t xml:space="preserve">Machine Door               </t>
  </si>
  <si>
    <t xml:space="preserve">Door Safety System                    </t>
  </si>
  <si>
    <t xml:space="preserve">Pin without damage and function in desired manner </t>
  </si>
  <si>
    <t xml:space="preserve"> મશીન ડોર</t>
  </si>
  <si>
    <t xml:space="preserve">ડોર સેફટી સીસ્ટમ  </t>
  </si>
  <si>
    <t>પીન તૂટેલા ન હોવા જોઈએ અને બરાબર કામ કરવા જોઈએ</t>
  </si>
  <si>
    <t xml:space="preserve">Spindle Port                    </t>
  </si>
  <si>
    <t xml:space="preserve">Install tool in spindle port  </t>
  </si>
  <si>
    <t xml:space="preserve">Tool Proper fit in Tool Holder                                                     </t>
  </si>
  <si>
    <t xml:space="preserve"> સ્પિન્ડલ પોર્ટ </t>
  </si>
  <si>
    <t>સ્પિન્ડલ પોર્ટમાં ટૂલ ઇન્સ્ટોલ કરો</t>
  </si>
  <si>
    <t xml:space="preserve">ટૂલ હોલ્ડર માં યોગ્ય ફિટ હોવો જોયે </t>
  </si>
  <si>
    <t xml:space="preserve">Oxygen &amp; Acetylene Cylinder                     </t>
  </si>
  <si>
    <t xml:space="preserve">Cylinder valve           </t>
  </si>
  <si>
    <t xml:space="preserve">Cylinder Valve should Proper tight or No leakage                   </t>
  </si>
  <si>
    <t>સિલિન્ડર વાલ્વ</t>
  </si>
  <si>
    <t>સિલિન્ડર વાલ્વ યોગ્ય ચુસ્ત અથવા લિકેજ નહીં</t>
  </si>
  <si>
    <t xml:space="preserve">Cylinder cap             </t>
  </si>
  <si>
    <t xml:space="preserve"> Safety cap should be tighted on cylinder                                                                                                                           </t>
  </si>
  <si>
    <t>સિલિન્ડર ટોપી</t>
  </si>
  <si>
    <t>સલામતી કેપ સિલિન્ડર પર કડક હોવી જોઈએ</t>
  </si>
  <si>
    <t>ઓક્સિજન અને એસિટિલિન સિલિન્ડર</t>
  </si>
  <si>
    <t xml:space="preserve">Pressure Gauge              </t>
  </si>
  <si>
    <t xml:space="preserve">Pipe no lekage and function well                                       </t>
  </si>
  <si>
    <t>પ્રેશર ગેજ</t>
  </si>
  <si>
    <t>પાઈપ તૂટેલું નથી અને બરાબર કામ કરે છે</t>
  </si>
  <si>
    <t xml:space="preserve">Cylinder Pipes         </t>
  </si>
  <si>
    <t xml:space="preserve">Hose Pipe &amp; Pipe Joint </t>
  </si>
  <si>
    <t xml:space="preserve">Pipe no leakage, Not loose and Function well                                 </t>
  </si>
  <si>
    <t>નળી પાઇપ અને પાઇપ સંયુક્ત</t>
  </si>
  <si>
    <t>પાઇપ લીકેજ, ઢીલી ન હોવી જોયે અને એના ફંકશન નું કામ કરવું જોયે</t>
  </si>
  <si>
    <t>સિલિન્ડર પાઈપો</t>
  </si>
  <si>
    <t xml:space="preserve">Flashback Arrestor joint </t>
  </si>
  <si>
    <t xml:space="preserve">Not loose &amp; Function well work                                            </t>
  </si>
  <si>
    <t>ફ્લેશબેક એરેસ્ટર સંયુક્ત</t>
  </si>
  <si>
    <t>ઢીલું ન હોવું જોયે અને એના ફંકશન નું કામ કરવું જોયે</t>
  </si>
  <si>
    <t xml:space="preserve">Grinder Machine            </t>
  </si>
  <si>
    <t xml:space="preserve">Grinder Disk Lock </t>
  </si>
  <si>
    <t xml:space="preserve">Disk, without damage and well function in the desired manner   </t>
  </si>
  <si>
    <t>ગ્રાઇન્ડર ડિસ્ક લોક</t>
  </si>
  <si>
    <t>ડિસ્ક, નુકસાન વિના અને ઇચ્છિત રીતે સારી રીતે કાર્ય કરે છે</t>
  </si>
  <si>
    <t xml:space="preserve">ગ્રાઇન્ડર મશીન </t>
  </si>
  <si>
    <t xml:space="preserve">Supporting Disk          </t>
  </si>
  <si>
    <t xml:space="preserve">Disk, without damage and well function in the desired manner    </t>
  </si>
  <si>
    <t>સહાયક ડિસ્ક</t>
  </si>
  <si>
    <t>અસાધારણ પ્રક્રિયા પદ્ધતિ ( મૈનટૈનન્સ  સંખ્યા )
Abnormity Process Status (Maintenance Number)</t>
    <phoneticPr fontId="2" type="noConversion"/>
  </si>
  <si>
    <t>ઇન્સ્પેક્ટર
Inspector</t>
    <phoneticPr fontId="2" type="noConversion"/>
  </si>
  <si>
    <t>નોંધ: 1. લખવા માટે વાદળી પેનનો ઉપયોગ કરો. શીફ્ટ લીડરને અઠવાડિયામાં એક વખત પુષ્ટિ અને સ્ટેમ્પની પુષ્ટિ કરવી જોઈએ.
Remark: 1. Use blue pen to write  2. Shift leader should confirm and stamp once per week .
લિજેન્ડ: V = સામાન્ય      ○ = પોતાના જાળવણી સાથે નાનો મુદ્દો      ∆△: સાધનો ઇજનેરી જાળવણી         /: નિલંબિત              --: લાગુ પડતું નથી          NG :ચલાવી શકે નહીં .
Legend: V = Normal  ○ = Minor issue with self maintenance   ∆: Equipment Engineering Dept. maintenance /: Suspended     : Not Applicable  NG: Cannot Operate</t>
  </si>
  <si>
    <t>પોઝિશન્સની તપાસ કરવી
Check Poisition</t>
  </si>
  <si>
    <t>સ્ટાન્ડર્ડ ચેકપોઇન્ટ Standard Checkpoint</t>
  </si>
  <si>
    <t>Emergency Stop Button</t>
  </si>
  <si>
    <t>બટન તૂટેલા ન હોવા જોઈએ અને બરાબર કામ કરવા જોઈએ</t>
  </si>
  <si>
    <t>Power Supply Wire</t>
  </si>
  <si>
    <t>Wire should not be damage or Broken</t>
  </si>
  <si>
    <t>વીજ પુરવઠો વાયર</t>
  </si>
  <si>
    <t xml:space="preserve">વીજ પુરવઠા વાયર તૂટેલો ન હોવો જોઈએ </t>
  </si>
  <si>
    <t>Pre-Holiday Energy Shut Down Checklist</t>
  </si>
  <si>
    <t>Confirm</t>
  </si>
  <si>
    <t>Reviewed</t>
  </si>
  <si>
    <t>Established</t>
  </si>
  <si>
    <t>Section: Extrusion Die (VMC)</t>
  </si>
  <si>
    <t>Date:      Y      M      D</t>
  </si>
  <si>
    <t>Check Location</t>
  </si>
  <si>
    <t>Check Item</t>
  </si>
  <si>
    <t>Check Time</t>
  </si>
  <si>
    <t>Evaluation</t>
  </si>
  <si>
    <t>Check Person</t>
  </si>
  <si>
    <t>Reviewer</t>
  </si>
  <si>
    <t>Abnormality</t>
  </si>
  <si>
    <t>Remarks</t>
  </si>
  <si>
    <t>VMC Machine</t>
  </si>
  <si>
    <t xml:space="preserve">Air </t>
  </si>
  <si>
    <t xml:space="preserve">
Prevent beforehand , eliminate disasters</t>
  </si>
  <si>
    <t>Power</t>
  </si>
  <si>
    <t>Welding area</t>
  </si>
  <si>
    <t>Oxygene valve</t>
  </si>
  <si>
    <t>Acetylene valve</t>
  </si>
  <si>
    <t>Lights</t>
  </si>
  <si>
    <t>Air Conditioniner</t>
  </si>
  <si>
    <t>Computers</t>
  </si>
  <si>
    <t>Door/shutter</t>
  </si>
  <si>
    <t>Lock</t>
  </si>
  <si>
    <t>Manual die working area</t>
  </si>
  <si>
    <t>Air</t>
  </si>
  <si>
    <t xml:space="preserve">Grinder </t>
  </si>
  <si>
    <t>power</t>
  </si>
  <si>
    <r>
      <t>Remark: 
1.In Evaluation:V-----Turned off or normal、X-----Not turned off or abnormal, If abnormal should note how the problem was handled, leaders check until OK</t>
    </r>
    <r>
      <rPr>
        <sz val="11"/>
        <rFont val="新細明體"/>
        <family val="1"/>
        <charset val="136"/>
      </rPr>
      <t/>
    </r>
  </si>
  <si>
    <t>2.Check Person:Determined by TWI before leaving.
3.Reviewer: Determined by the senior level of the check person.(Shift Leader)
4.Section heads should check crucial places again before holidays
5.※Marked means should be closed for two day holidays
6. This checksheet should be filled before holiday by C shift person. e.g Sunday &amp; Public holidays.</t>
  </si>
  <si>
    <t>Production Die</t>
  </si>
  <si>
    <t>Prototype Die</t>
  </si>
  <si>
    <t>Pre-Launch Die</t>
  </si>
  <si>
    <t>Test-Ver Die</t>
  </si>
  <si>
    <t>Test Type</t>
  </si>
  <si>
    <t>Dual Screw Die</t>
  </si>
  <si>
    <t>Die Test Result &amp; Remark</t>
  </si>
  <si>
    <t>IA094(101-02)-03</t>
  </si>
  <si>
    <t>94</t>
  </si>
  <si>
    <t>1565</t>
  </si>
  <si>
    <t>1646</t>
  </si>
  <si>
    <t>1052</t>
  </si>
  <si>
    <t>05-12-20</t>
  </si>
  <si>
    <t>7</t>
  </si>
  <si>
    <t>05-03-21</t>
  </si>
  <si>
    <t>24-09-21</t>
  </si>
  <si>
    <t>8</t>
  </si>
  <si>
    <t>9</t>
  </si>
  <si>
    <t>06-08-21</t>
  </si>
  <si>
    <t>122</t>
  </si>
  <si>
    <t>2107</t>
  </si>
  <si>
    <t>1346</t>
  </si>
  <si>
    <t>04-05-21</t>
  </si>
  <si>
    <t>108</t>
  </si>
  <si>
    <t>10</t>
  </si>
  <si>
    <t>Transfer in B Stage</t>
  </si>
  <si>
    <t>Transfer In B Stage</t>
  </si>
  <si>
    <t>120</t>
  </si>
  <si>
    <t>1652</t>
  </si>
  <si>
    <t>2350</t>
  </si>
  <si>
    <t>1422</t>
  </si>
  <si>
    <t>2</t>
  </si>
  <si>
    <t>02-07-21</t>
  </si>
  <si>
    <t>28-09-21</t>
  </si>
  <si>
    <t>spec Cancelled Due to tyre groove thickness less(NSB)</t>
  </si>
  <si>
    <t>1640</t>
  </si>
  <si>
    <t>2080</t>
  </si>
  <si>
    <t>1268</t>
  </si>
  <si>
    <t>09-08-21</t>
  </si>
  <si>
    <t>11-08-21</t>
  </si>
  <si>
    <t>148</t>
  </si>
  <si>
    <t>2686</t>
  </si>
  <si>
    <t>1802</t>
  </si>
  <si>
    <t>IA130(101-02)-02</t>
  </si>
  <si>
    <t>IA131(101-02)-02</t>
  </si>
  <si>
    <t>1876</t>
  </si>
  <si>
    <t>1143</t>
  </si>
  <si>
    <t>10-08-21</t>
  </si>
  <si>
    <t>IA135(101-02)-02</t>
  </si>
  <si>
    <t>SMC21792</t>
  </si>
  <si>
    <t>SMC21791</t>
  </si>
  <si>
    <t>C.</t>
  </si>
  <si>
    <t>0736/7731</t>
  </si>
  <si>
    <t>SC-2</t>
  </si>
  <si>
    <t>SC-5</t>
  </si>
  <si>
    <t>SC-6</t>
  </si>
  <si>
    <t>SC-3</t>
  </si>
  <si>
    <t>HONDA K1FG</t>
  </si>
  <si>
    <t>RE HONDA K2HA</t>
  </si>
  <si>
    <t>218</t>
  </si>
  <si>
    <t>Die test</t>
  </si>
  <si>
    <t>TEST13(101-01)</t>
  </si>
  <si>
    <t>WINDING K1LA</t>
  </si>
  <si>
    <t>TEST12(101-01)</t>
  </si>
  <si>
    <t>101% DIE - EDGECUTS</t>
  </si>
  <si>
    <t>TEST15(101-02)</t>
  </si>
  <si>
    <t>WINDING K1LA HIGH-SPEED</t>
  </si>
  <si>
    <t>TEST16(101-02)</t>
  </si>
  <si>
    <t>TR-2 WINDING AND TEMPERATURE PARAMETERS WERE LOWER</t>
  </si>
  <si>
    <t>TEST14(101-02)</t>
  </si>
  <si>
    <t>LOW HARDNESS MATERIAL TR-1</t>
  </si>
  <si>
    <t>WINDING PROTOTYPE KONF HONDA 50 m</t>
  </si>
  <si>
    <t>WINDING PROTOTYPE KONF HONDA 60 m</t>
  </si>
  <si>
    <t>IA005(101-01)</t>
  </si>
  <si>
    <t xml:space="preserve"> WINDING ON TR-2</t>
  </si>
  <si>
    <t>IA037(101-01)</t>
  </si>
  <si>
    <t>IA039(101-01)</t>
  </si>
  <si>
    <t>96% DIE (T.W. HIGHER)</t>
  </si>
  <si>
    <t>IA040(101-01)</t>
  </si>
  <si>
    <t>96% DIE WINDING</t>
  </si>
  <si>
    <t>WAVES AT T.W.</t>
  </si>
  <si>
    <t>IA032H(101-02)</t>
  </si>
  <si>
    <t>IA033H(101-02)</t>
  </si>
  <si>
    <t>IA009(101-01)</t>
  </si>
  <si>
    <t>IA048(101-02)</t>
  </si>
  <si>
    <t>EDGECUTS</t>
  </si>
  <si>
    <t>IA012T(101-02)</t>
  </si>
  <si>
    <t>LITTLE WAVES</t>
  </si>
  <si>
    <t>IA020T(101-02)</t>
  </si>
  <si>
    <t>WINDING PROTOTYPE-LOW HARDNESS</t>
  </si>
  <si>
    <t>IA051(101-02)</t>
  </si>
  <si>
    <t>WINDING PROTOTYPE 45 M.</t>
  </si>
  <si>
    <t xml:space="preserve">WAVES AT </t>
  </si>
  <si>
    <t>IA045(101-02)</t>
  </si>
  <si>
    <t>IA017(101-01)</t>
  </si>
  <si>
    <t>TR-01 WINDING MOONEY NG BUT RESULT OK</t>
  </si>
  <si>
    <t>IA028(101-02)</t>
  </si>
  <si>
    <t>IA023(101-03)</t>
  </si>
  <si>
    <t>SPEC. VER. &amp; THICKNESS UPDATED SO TEST DONE</t>
  </si>
  <si>
    <t>IA014(101-03)</t>
  </si>
  <si>
    <t>IA050</t>
  </si>
  <si>
    <t>WINDING PROTOTYPE 50 M.</t>
  </si>
  <si>
    <t>IA049(101-02)</t>
  </si>
  <si>
    <t>HIGH HARDNESS MATERIAL 50 M.</t>
  </si>
  <si>
    <t>TEST018(101-03)</t>
  </si>
  <si>
    <t>WAVES</t>
  </si>
  <si>
    <t>TEST017(101-03)</t>
  </si>
  <si>
    <t>TEST019(101-01)</t>
  </si>
  <si>
    <t>WAVES AT 240 WIDTH</t>
  </si>
  <si>
    <t>TEST20(101-02)</t>
  </si>
  <si>
    <t>TEST21(101-02)</t>
  </si>
  <si>
    <t>IA052(101-02)</t>
  </si>
  <si>
    <t>IA053(101-02)</t>
  </si>
  <si>
    <t>WINDING 35 M. PROTOTYPE</t>
  </si>
  <si>
    <t>NEW SPEC. ISSUED</t>
  </si>
  <si>
    <t>IA035(101-01)</t>
  </si>
  <si>
    <t>TVS JUPITER PROTOTYPE</t>
  </si>
  <si>
    <t>IA036(101-01)</t>
  </si>
  <si>
    <t>SAME AS IA064 BUT MATERIAL CHANGED</t>
  </si>
  <si>
    <t>SAME AS IA065 BUT MATERIAL CHANGED</t>
  </si>
  <si>
    <t>MATERIAL CHANGED FROM 314 TO 7716</t>
  </si>
  <si>
    <t>IA043(101-01)</t>
  </si>
  <si>
    <t>WINDING PROTOTYPE</t>
  </si>
  <si>
    <t>IA044(101-01)</t>
  </si>
  <si>
    <t>MATERIAL CHANGED FROM 7316 TO 7717</t>
  </si>
  <si>
    <t>NEW SPEC ISSUED SAME AS IA054</t>
  </si>
  <si>
    <t>NEW SPEC ISSUED SAME AS IA055</t>
  </si>
  <si>
    <t>IA058(101-02)</t>
  </si>
  <si>
    <t>IA059(101-02)</t>
  </si>
  <si>
    <t>WINDING ON TR 1</t>
  </si>
  <si>
    <t>MATERIAL CHANGED FROM 314 TO 7716 &amp; EDGECUT PROBLEM</t>
  </si>
  <si>
    <t>IA063(101-02)</t>
  </si>
  <si>
    <t>IA062(101-02)</t>
  </si>
  <si>
    <t>K1LA WINDING</t>
  </si>
  <si>
    <t>IA002(101-01)</t>
  </si>
  <si>
    <t>IA021(101-01)</t>
  </si>
  <si>
    <t xml:space="preserve">NEW SPEC. SAME AS IA036 </t>
  </si>
  <si>
    <t>NEW DIE FOR C.D.5</t>
  </si>
  <si>
    <t>IA041</t>
  </si>
  <si>
    <t>C.D.2</t>
  </si>
  <si>
    <t>IA020</t>
  </si>
  <si>
    <t>C.D.5</t>
  </si>
  <si>
    <t>IA029</t>
  </si>
  <si>
    <t>C.D.2 WINDING</t>
  </si>
  <si>
    <t>IA026</t>
  </si>
  <si>
    <t>IA024</t>
  </si>
  <si>
    <t>H-SPOOL WINDING (C.D.2)</t>
  </si>
  <si>
    <t>IA042T</t>
  </si>
  <si>
    <t xml:space="preserve">WINDING 25 M. </t>
  </si>
  <si>
    <t>TEST23</t>
  </si>
  <si>
    <t>NEW SPEC ISSUED (SAME AS IA036)</t>
  </si>
  <si>
    <t>LITTLE WAVES (IA080)</t>
  </si>
  <si>
    <t>TVS WINDING (TR01)</t>
  </si>
  <si>
    <t>TEST22</t>
  </si>
  <si>
    <t>IA054(101-02)</t>
  </si>
  <si>
    <t>NEW SPEC.</t>
  </si>
  <si>
    <t>IA055(101-02)</t>
  </si>
  <si>
    <t>D.T. REQUIRED MODIFICATION</t>
  </si>
  <si>
    <t>NEW SPEC ISSUED (SAME AS IA058)</t>
  </si>
  <si>
    <t>NEW SPEC ISSUED (SAME AS IA046)</t>
  </si>
  <si>
    <t>NEW SPEC ISSUED (SAME AS IA035)</t>
  </si>
  <si>
    <t>CENTER POINTS NG</t>
  </si>
  <si>
    <t>IA060H</t>
  </si>
  <si>
    <t>25 M. WINDING</t>
  </si>
  <si>
    <t>NG</t>
  </si>
  <si>
    <t>NEW SPEC ISSUED (SAME AS IA044)</t>
  </si>
  <si>
    <t>SIDEWALL THICKNESS CHANGED SO TESTING DONE</t>
  </si>
  <si>
    <t>NG (LOWER)</t>
  </si>
  <si>
    <t>IA060(101-02)</t>
  </si>
  <si>
    <t>IA001(101-01)</t>
  </si>
  <si>
    <t>PRODUCTION OK</t>
  </si>
  <si>
    <t>FOR MAKING NEW DIE</t>
  </si>
  <si>
    <t>DIE TEST</t>
  </si>
  <si>
    <t>HEAD WEIGHT SCALE NOT OK</t>
  </si>
  <si>
    <t>IA032(101-02)</t>
  </si>
  <si>
    <t>IA033(101-02)</t>
  </si>
  <si>
    <t>FRESH BATCH WINDING</t>
  </si>
  <si>
    <t>PRE-LAUNCH WINDING</t>
  </si>
  <si>
    <t>WAVE</t>
  </si>
  <si>
    <t>TR-02 PRODUCTION 85M</t>
  </si>
  <si>
    <t>7319F</t>
  </si>
  <si>
    <t>TR-02 PRE-LAUNCH 70 M</t>
  </si>
  <si>
    <t>TR-01 ONE POINT NG</t>
  </si>
  <si>
    <t>TR-01 OK</t>
  </si>
  <si>
    <t>TR-01 LOW</t>
  </si>
  <si>
    <t>TR-01 1-H-SPOOL</t>
  </si>
  <si>
    <t>TR-01 2-H-SPOOL</t>
  </si>
  <si>
    <t>TR-01 PRODUCTION</t>
  </si>
  <si>
    <t>IA012(101-02)</t>
  </si>
  <si>
    <t>TR-01 DIR TEST</t>
  </si>
  <si>
    <t>DIE TEST FOR</t>
  </si>
  <si>
    <t>TE-01 WINDING</t>
  </si>
  <si>
    <t>PROTOTYPE 25M</t>
  </si>
  <si>
    <t>IA060</t>
  </si>
  <si>
    <t>WINDING OK</t>
  </si>
  <si>
    <t>IA011T</t>
  </si>
  <si>
    <t>OK</t>
  </si>
  <si>
    <t>CENTER LOW(TEST030 DIE USED)</t>
  </si>
  <si>
    <t>WINDING DONE (30M, 4 H-SPOOL)</t>
  </si>
  <si>
    <t>TEST25</t>
  </si>
  <si>
    <t>WINDING 85M</t>
  </si>
  <si>
    <t>WINDING 35M</t>
  </si>
  <si>
    <t>TR-02 WINDING 40M</t>
  </si>
  <si>
    <t>PROTOTYPE 50M</t>
  </si>
  <si>
    <t>6 H SPOOL OK</t>
  </si>
  <si>
    <t>TR-01 WINDING DONE</t>
  </si>
  <si>
    <t>TR-02 (V-1)</t>
  </si>
  <si>
    <t>TR-02(V-2)</t>
  </si>
  <si>
    <t>TEST27</t>
  </si>
  <si>
    <t>TR-02 WINDING 50M</t>
  </si>
  <si>
    <t>IA018</t>
  </si>
  <si>
    <t>CENTER NG</t>
  </si>
  <si>
    <t>IA068(101-04)</t>
  </si>
  <si>
    <t>IA069(101-05)</t>
  </si>
  <si>
    <t>2 H-SPOOL WINDING</t>
  </si>
  <si>
    <t>NEW SPEC ISSED</t>
  </si>
  <si>
    <t>IA064(101-04)</t>
  </si>
  <si>
    <t>IA065(101-04)</t>
  </si>
  <si>
    <t xml:space="preserve">TR-02 WINDING </t>
  </si>
  <si>
    <t>DIE TEST (SAME AS I009 )</t>
  </si>
  <si>
    <t>DIE TEST SAME AS IA001</t>
  </si>
  <si>
    <t>TR-01 WINDING 40M</t>
  </si>
  <si>
    <t>TR-01 WAVE</t>
  </si>
  <si>
    <t>IA029(101-02)</t>
  </si>
  <si>
    <t>IA003(101-01)</t>
  </si>
  <si>
    <t>STICKING MATERIAL</t>
  </si>
  <si>
    <t>IA072(101-04)</t>
  </si>
  <si>
    <t>HIGH SPEED WINDING(10.0+)</t>
  </si>
  <si>
    <t>TR-02 DIE TEST (NEW SPEC ISSUED)</t>
  </si>
  <si>
    <t xml:space="preserve">TR-01 DIE TEST </t>
  </si>
  <si>
    <t>TR-01 DIE TEST (NEW SPEC ISSUED)</t>
  </si>
  <si>
    <t>IA024(101-01)</t>
  </si>
  <si>
    <t>TEST30</t>
  </si>
  <si>
    <t>TR-02 DIE TEST K1LA NEW SPEC</t>
  </si>
  <si>
    <t>TR-02 DIR TEST</t>
  </si>
  <si>
    <t>TR-01 NEW SPEC TEST</t>
  </si>
  <si>
    <t>IA071(101-)</t>
  </si>
  <si>
    <t>K1LA 1 POINT NG</t>
  </si>
  <si>
    <t>c</t>
  </si>
  <si>
    <t>WINDING FROM IA036</t>
  </si>
  <si>
    <t>TR-01 WINDING 3 H-SPOOL</t>
  </si>
  <si>
    <t>IA004(101-01)</t>
  </si>
  <si>
    <t>NON CONTROL POINT NG</t>
  </si>
  <si>
    <t>TR-01 TEST NEW SPEC(V2)</t>
  </si>
  <si>
    <t>TR-01 DIE TEST OK</t>
  </si>
  <si>
    <t>TR-01 WINDING OK(V2)</t>
  </si>
  <si>
    <t>TEST31</t>
  </si>
  <si>
    <t>TR-01 WINDING OK(V1)</t>
  </si>
  <si>
    <t>IA026(101-01)</t>
  </si>
  <si>
    <t>WHITE COLOR LINE OK</t>
  </si>
  <si>
    <t>IA034(101-01)</t>
  </si>
  <si>
    <t>IA041(101-02)</t>
  </si>
  <si>
    <t>TR-01 DIE TEST(V3)</t>
  </si>
  <si>
    <t>IA042(101-02)</t>
  </si>
  <si>
    <t>TR-01 DIE TEST(V4)</t>
  </si>
  <si>
    <t>IA025(101-01)</t>
  </si>
  <si>
    <t>MATERIAL STICK</t>
  </si>
  <si>
    <t>DUAL SCREW DIE TEST</t>
  </si>
  <si>
    <t>DUAL SCREW DIE TEST(V2)</t>
  </si>
  <si>
    <t>IA018(101-01)</t>
  </si>
  <si>
    <t>TR-01 WINDING (V3)</t>
  </si>
  <si>
    <t>TR-1 DIE TEST(CH2)</t>
  </si>
  <si>
    <t>TR-01 TEST NG</t>
  </si>
  <si>
    <t>TR-02 DIE TEST CH-4</t>
  </si>
  <si>
    <t>COOLING TANK PROB</t>
  </si>
  <si>
    <t>736+7731</t>
  </si>
  <si>
    <t>35+9</t>
  </si>
  <si>
    <t>TR-02 DUAL SCREW TEST</t>
  </si>
  <si>
    <t>TR-02 DUAL SCREW TEST(V4)</t>
  </si>
  <si>
    <t>TR-02 DUAL SCREW TEST(V2)</t>
  </si>
  <si>
    <t>TR-02 DIE TEST DS</t>
  </si>
  <si>
    <t>42.5+ 10.5</t>
  </si>
  <si>
    <t>TEST031</t>
  </si>
  <si>
    <t>IA067(101-02)</t>
  </si>
  <si>
    <t>IA066(101-04)</t>
  </si>
  <si>
    <t>IA070(101-05)</t>
  </si>
  <si>
    <t>IA073(101-05)</t>
  </si>
  <si>
    <t>IA071(101-04)</t>
  </si>
  <si>
    <t>TEST30(101-01)</t>
  </si>
  <si>
    <t>7716FT</t>
  </si>
  <si>
    <t>42.5+11</t>
  </si>
  <si>
    <t>7717FT</t>
  </si>
  <si>
    <t>IA079(101-01)</t>
  </si>
  <si>
    <t>IA080(101-01)</t>
  </si>
  <si>
    <t>IA081</t>
  </si>
  <si>
    <t>IA084</t>
  </si>
  <si>
    <t>IA071(101-01)</t>
  </si>
  <si>
    <t>35+6.0</t>
  </si>
  <si>
    <t>IA043(101-02)</t>
  </si>
  <si>
    <t>TEST036(101-02)</t>
  </si>
  <si>
    <t>IA044(101-05)</t>
  </si>
  <si>
    <t>IA044(101-050</t>
  </si>
  <si>
    <t>35+6</t>
  </si>
  <si>
    <t>TEST037(101-01)</t>
  </si>
  <si>
    <t>TEST038(101-02)</t>
  </si>
  <si>
    <t>35+7</t>
  </si>
  <si>
    <t>35+7.2</t>
  </si>
  <si>
    <t>IA085(101-02)</t>
  </si>
  <si>
    <t>TEST043(101-02)</t>
  </si>
  <si>
    <t>TEST040</t>
  </si>
  <si>
    <t>35+7.3</t>
  </si>
  <si>
    <t>TEST039(101-05)</t>
  </si>
  <si>
    <t>TEST044(101-02)</t>
  </si>
  <si>
    <t>TEST042(101-05)</t>
  </si>
  <si>
    <t>TEST041(101-02)</t>
  </si>
  <si>
    <t>203-4</t>
  </si>
  <si>
    <t>209-10</t>
  </si>
  <si>
    <t>1335-45</t>
  </si>
  <si>
    <t>TEST040(101-02)</t>
  </si>
  <si>
    <t>229-30</t>
  </si>
  <si>
    <t>277-278</t>
  </si>
  <si>
    <t>281-82</t>
  </si>
  <si>
    <t>2045-50</t>
  </si>
  <si>
    <t>TEST045(101-05)</t>
  </si>
  <si>
    <t>197-98</t>
  </si>
  <si>
    <t>208-9</t>
  </si>
  <si>
    <t>201-202</t>
  </si>
  <si>
    <t>IA091(101-02)</t>
  </si>
  <si>
    <t>1495-1510</t>
  </si>
  <si>
    <t>284-85</t>
  </si>
  <si>
    <t>2020-35</t>
  </si>
  <si>
    <t>1450-55</t>
  </si>
  <si>
    <t>1590-1610</t>
  </si>
  <si>
    <t>2135-50</t>
  </si>
  <si>
    <t>282-283</t>
  </si>
  <si>
    <t>2140-50</t>
  </si>
  <si>
    <t>890-95</t>
  </si>
  <si>
    <t>1450-60</t>
  </si>
  <si>
    <t>840-50</t>
  </si>
  <si>
    <t>1320-35</t>
  </si>
  <si>
    <t>IA092(101-01)</t>
  </si>
  <si>
    <t>222-23</t>
  </si>
  <si>
    <t>1130-45</t>
  </si>
  <si>
    <t>1450-65</t>
  </si>
  <si>
    <t>199-200</t>
  </si>
  <si>
    <t>1095-1105</t>
  </si>
  <si>
    <t>1405-1415</t>
  </si>
  <si>
    <t>TEST046</t>
  </si>
  <si>
    <t>35/7.5</t>
  </si>
  <si>
    <t>TEST048(101-04)</t>
  </si>
  <si>
    <t>IA094(101-02)</t>
  </si>
  <si>
    <t>TEST047(101-04)</t>
  </si>
  <si>
    <t>1045-65</t>
  </si>
  <si>
    <t>201-2</t>
  </si>
  <si>
    <t>1150-65</t>
  </si>
  <si>
    <t>1585-95</t>
  </si>
  <si>
    <t>1080-1100</t>
  </si>
  <si>
    <t>TEST049(1010-05)</t>
  </si>
  <si>
    <t xml:space="preserve">B </t>
  </si>
  <si>
    <t>204-5</t>
  </si>
  <si>
    <t>980-90</t>
  </si>
  <si>
    <t>1370-80</t>
  </si>
  <si>
    <t>1210-20</t>
  </si>
  <si>
    <t>1520-35</t>
  </si>
  <si>
    <t>1190-1200</t>
  </si>
  <si>
    <t>35/8.5</t>
  </si>
  <si>
    <t>1550-60</t>
  </si>
  <si>
    <t>35/8</t>
  </si>
  <si>
    <t>1030-45</t>
  </si>
  <si>
    <t>1410-25</t>
  </si>
  <si>
    <t>1710-30</t>
  </si>
  <si>
    <t>285-86</t>
  </si>
  <si>
    <t>2080-95</t>
  </si>
  <si>
    <t>IA068(101-02)</t>
  </si>
  <si>
    <t>245-6</t>
  </si>
  <si>
    <t>1100-30</t>
  </si>
  <si>
    <t>246-7</t>
  </si>
  <si>
    <t>192-93</t>
  </si>
  <si>
    <t>1325-33</t>
  </si>
  <si>
    <t>1765-80</t>
  </si>
  <si>
    <t>2115-25</t>
  </si>
  <si>
    <t>283-84</t>
  </si>
  <si>
    <t>2110-45</t>
  </si>
  <si>
    <t>TEST077(101-05)</t>
  </si>
  <si>
    <t>1315-30</t>
  </si>
  <si>
    <t>2130-2155</t>
  </si>
  <si>
    <t>TEST051(101-01)</t>
  </si>
  <si>
    <t>232-33</t>
  </si>
  <si>
    <t>239-40</t>
  </si>
  <si>
    <t>TEST050(101-01)</t>
  </si>
  <si>
    <t>226-27</t>
  </si>
  <si>
    <t>1100-15</t>
  </si>
  <si>
    <t>240-1</t>
  </si>
  <si>
    <t>1695-1715</t>
  </si>
  <si>
    <t>245-45</t>
  </si>
  <si>
    <t>245-46</t>
  </si>
  <si>
    <t>287-88</t>
  </si>
  <si>
    <t>IA022(101-02)</t>
  </si>
  <si>
    <t>739+7731</t>
  </si>
  <si>
    <t>35/7.8</t>
  </si>
  <si>
    <t>IA027(101-05)</t>
  </si>
  <si>
    <t>282-3</t>
  </si>
  <si>
    <t>1530-50</t>
  </si>
  <si>
    <t>284-5</t>
  </si>
  <si>
    <t>1990-2010</t>
  </si>
  <si>
    <t>237-38</t>
  </si>
  <si>
    <t>1250-60</t>
  </si>
  <si>
    <t>1670-85</t>
  </si>
  <si>
    <t>1350-65</t>
  </si>
  <si>
    <t>230-31</t>
  </si>
  <si>
    <t>1795-1810</t>
  </si>
  <si>
    <t>IA097</t>
  </si>
  <si>
    <t>736-7731</t>
  </si>
  <si>
    <t>1550-65</t>
  </si>
  <si>
    <t>243-44</t>
  </si>
  <si>
    <t>2090-2100</t>
  </si>
  <si>
    <t>2065-80</t>
  </si>
  <si>
    <t>2080-90</t>
  </si>
  <si>
    <t>860-70</t>
  </si>
  <si>
    <t>1265-85</t>
  </si>
  <si>
    <t>IA015(101-02)</t>
  </si>
  <si>
    <t>1635-50</t>
  </si>
  <si>
    <t>293-95</t>
  </si>
  <si>
    <t>1660-75</t>
  </si>
  <si>
    <t>292-96</t>
  </si>
  <si>
    <t>2195-2210</t>
  </si>
  <si>
    <t>236-37</t>
  </si>
  <si>
    <t>TEST47(101-04)</t>
  </si>
  <si>
    <t>1050-60</t>
  </si>
  <si>
    <t>1395-1405</t>
  </si>
  <si>
    <t>1935-50</t>
  </si>
  <si>
    <t>1570-85</t>
  </si>
  <si>
    <t>1975-90</t>
  </si>
  <si>
    <t>205-6</t>
  </si>
  <si>
    <t>935-45</t>
  </si>
  <si>
    <t>210-11</t>
  </si>
  <si>
    <t>1295-1310</t>
  </si>
  <si>
    <t>187-88</t>
  </si>
  <si>
    <t>875-95</t>
  </si>
  <si>
    <t>1180-95</t>
  </si>
  <si>
    <t>198-99</t>
  </si>
  <si>
    <t>815-35</t>
  </si>
  <si>
    <t>200-1</t>
  </si>
  <si>
    <t>1080-95</t>
  </si>
  <si>
    <t>1640-60</t>
  </si>
  <si>
    <t>294-96</t>
  </si>
  <si>
    <t>2135-45</t>
  </si>
  <si>
    <t>283-4</t>
  </si>
  <si>
    <t>285-6</t>
  </si>
  <si>
    <t>185-6</t>
  </si>
  <si>
    <t>188-9</t>
  </si>
  <si>
    <t>IA036(101-00)</t>
  </si>
  <si>
    <t>28/35</t>
  </si>
  <si>
    <t>IA011(101-02)</t>
  </si>
  <si>
    <t>192-3</t>
  </si>
  <si>
    <t>850-60</t>
  </si>
  <si>
    <t>IA113(101-01)</t>
  </si>
  <si>
    <t>236-7</t>
  </si>
  <si>
    <t>216-7</t>
  </si>
  <si>
    <t>TEST41</t>
  </si>
  <si>
    <t>135-45</t>
  </si>
  <si>
    <t>200-2</t>
  </si>
  <si>
    <t>186-7</t>
  </si>
  <si>
    <t>28-35</t>
  </si>
  <si>
    <t>TEST42</t>
  </si>
  <si>
    <t>28/28</t>
  </si>
  <si>
    <t>28/30</t>
  </si>
  <si>
    <t>187-8</t>
  </si>
  <si>
    <t>191-20</t>
  </si>
  <si>
    <t>TEST 48</t>
  </si>
  <si>
    <t>224-5</t>
  </si>
  <si>
    <t>IA143</t>
  </si>
  <si>
    <t>NEW SPEC</t>
  </si>
  <si>
    <t>IA144</t>
  </si>
  <si>
    <t>DIETEST M6000</t>
  </si>
  <si>
    <t>IA142</t>
  </si>
  <si>
    <t>IA076</t>
  </si>
  <si>
    <t>IA077</t>
  </si>
  <si>
    <t>IA145</t>
  </si>
  <si>
    <t>IA146</t>
  </si>
  <si>
    <t>Die Test</t>
  </si>
  <si>
    <t>Die Test-DS</t>
  </si>
  <si>
    <t>ok PRODUCTION</t>
  </si>
  <si>
    <t>IA094</t>
  </si>
  <si>
    <t>IA127</t>
  </si>
  <si>
    <t>IA128</t>
  </si>
  <si>
    <t>IA122</t>
  </si>
  <si>
    <t>VER-04</t>
  </si>
  <si>
    <t xml:space="preserve"> FROM IA094</t>
  </si>
  <si>
    <t>PRE-LAUNCH WINDNG</t>
  </si>
  <si>
    <t>NG PRE-LAUNCH IA041 USED</t>
  </si>
  <si>
    <t xml:space="preserve"> 40 MTR</t>
  </si>
  <si>
    <t xml:space="preserve"> 50 MTR</t>
  </si>
  <si>
    <t>55 MTR</t>
  </si>
  <si>
    <t>2692</t>
  </si>
  <si>
    <t>1629</t>
  </si>
  <si>
    <t>2378</t>
  </si>
  <si>
    <t>1450</t>
  </si>
  <si>
    <t>2082</t>
  </si>
  <si>
    <t>1270</t>
  </si>
  <si>
    <t>IA085(101-04)-03</t>
  </si>
  <si>
    <t>IA086(101-02)-05</t>
  </si>
  <si>
    <t>3</t>
  </si>
  <si>
    <t>1522</t>
  </si>
  <si>
    <t>1691</t>
  </si>
  <si>
    <t>118</t>
  </si>
  <si>
    <t>902</t>
  </si>
  <si>
    <t>1458</t>
  </si>
  <si>
    <t>1616</t>
  </si>
  <si>
    <t>SMS22233</t>
  </si>
  <si>
    <t>W6170I</t>
  </si>
  <si>
    <t>113</t>
  </si>
  <si>
    <t>1303</t>
  </si>
  <si>
    <t>1441</t>
  </si>
  <si>
    <t>SMS22234</t>
  </si>
  <si>
    <t>110</t>
  </si>
  <si>
    <t>897</t>
  </si>
  <si>
    <t>1301</t>
  </si>
  <si>
    <t>4</t>
  </si>
  <si>
    <t>10-07-21</t>
  </si>
  <si>
    <t>REVOKED</t>
  </si>
  <si>
    <t>SMS22232</t>
  </si>
  <si>
    <t>1527</t>
  </si>
  <si>
    <t>1697</t>
  </si>
  <si>
    <t>145</t>
  </si>
  <si>
    <t>987</t>
  </si>
  <si>
    <t>1402</t>
  </si>
  <si>
    <t>1420</t>
  </si>
  <si>
    <t>21</t>
  </si>
  <si>
    <t>22-03-21</t>
  </si>
  <si>
    <t>`</t>
  </si>
  <si>
    <t>IA012T</t>
  </si>
  <si>
    <t>IA020T</t>
  </si>
  <si>
    <t>IA048</t>
  </si>
  <si>
    <t>IA052</t>
  </si>
  <si>
    <t>IA053</t>
  </si>
  <si>
    <t>IA087</t>
  </si>
  <si>
    <t>IA088</t>
  </si>
  <si>
    <t>IA090</t>
  </si>
  <si>
    <t>IA091</t>
  </si>
  <si>
    <t>IA093</t>
  </si>
  <si>
    <t>IA098</t>
  </si>
  <si>
    <t>IA142-143</t>
  </si>
  <si>
    <t>TEST049</t>
  </si>
  <si>
    <t>TEST052</t>
  </si>
  <si>
    <t>DS</t>
  </si>
  <si>
    <t>IA006</t>
  </si>
  <si>
    <t>TR-02</t>
  </si>
  <si>
    <t>TEST145</t>
  </si>
  <si>
    <t>IA137</t>
  </si>
  <si>
    <t>IA002</t>
  </si>
  <si>
    <t>IA003</t>
  </si>
  <si>
    <t>IA004</t>
  </si>
  <si>
    <t>IA005</t>
  </si>
  <si>
    <t>IA008</t>
  </si>
  <si>
    <t>IA010</t>
  </si>
  <si>
    <t>IA011</t>
  </si>
  <si>
    <t>IA012</t>
  </si>
  <si>
    <t>IA014</t>
  </si>
  <si>
    <t>IA016</t>
  </si>
  <si>
    <t>IA017</t>
  </si>
  <si>
    <t>IA021</t>
  </si>
  <si>
    <t>IA023</t>
  </si>
  <si>
    <t>IA025</t>
  </si>
  <si>
    <t>IA030</t>
  </si>
  <si>
    <t>IA031</t>
  </si>
  <si>
    <t>IA032</t>
  </si>
  <si>
    <t>IA033</t>
  </si>
  <si>
    <t>IA034</t>
  </si>
  <si>
    <t>IA037</t>
  </si>
  <si>
    <t>IA049</t>
  </si>
  <si>
    <t>IA054</t>
  </si>
  <si>
    <t>IA055</t>
  </si>
  <si>
    <t>IA059</t>
  </si>
  <si>
    <t>IA062</t>
  </si>
  <si>
    <t>IA063</t>
  </si>
  <si>
    <t>IA066</t>
  </si>
  <si>
    <t>IA067</t>
  </si>
  <si>
    <t>IA068</t>
  </si>
  <si>
    <t>IA069</t>
  </si>
  <si>
    <t>IA070</t>
  </si>
  <si>
    <t>IA071</t>
  </si>
  <si>
    <t>IA073</t>
  </si>
  <si>
    <t>IA074</t>
  </si>
  <si>
    <t>IA075</t>
  </si>
  <si>
    <t>IA082</t>
  </si>
  <si>
    <t>IA092</t>
  </si>
  <si>
    <t>IA113</t>
  </si>
  <si>
    <t>Utilized</t>
  </si>
  <si>
    <t>168</t>
  </si>
  <si>
    <t>1495</t>
  </si>
  <si>
    <t>2745</t>
  </si>
  <si>
    <t>1836</t>
  </si>
  <si>
    <t>23-07-21</t>
  </si>
  <si>
    <t>16-10-21</t>
  </si>
  <si>
    <t>26-10-21</t>
  </si>
  <si>
    <t>88</t>
  </si>
  <si>
    <t>1555</t>
  </si>
  <si>
    <t>11-10-21</t>
  </si>
  <si>
    <t>78</t>
  </si>
  <si>
    <t>1560</t>
  </si>
  <si>
    <t>2610</t>
  </si>
  <si>
    <t>1672</t>
  </si>
  <si>
    <t>80</t>
  </si>
  <si>
    <t>1550</t>
  </si>
  <si>
    <t>T153</t>
  </si>
  <si>
    <t>TRIAL</t>
  </si>
  <si>
    <t>150</t>
  </si>
  <si>
    <t>1570</t>
  </si>
  <si>
    <t>3047</t>
  </si>
  <si>
    <t>1941</t>
  </si>
  <si>
    <t>05-05-21</t>
  </si>
  <si>
    <t>19-10-21</t>
  </si>
  <si>
    <t>152</t>
  </si>
  <si>
    <t>2589</t>
  </si>
  <si>
    <t>1649</t>
  </si>
  <si>
    <t>17-06-21</t>
  </si>
  <si>
    <t>21-06-21</t>
  </si>
  <si>
    <t>24-06-21</t>
  </si>
  <si>
    <t>116</t>
  </si>
  <si>
    <t>2110</t>
  </si>
  <si>
    <t>1286</t>
  </si>
  <si>
    <t>26-07-21</t>
  </si>
  <si>
    <t>02-08-21</t>
  </si>
  <si>
    <t>1645</t>
  </si>
  <si>
    <t>2340</t>
  </si>
  <si>
    <t>140</t>
  </si>
  <si>
    <t>2805</t>
  </si>
  <si>
    <t>1786</t>
  </si>
  <si>
    <t>156</t>
  </si>
  <si>
    <t>3142</t>
  </si>
  <si>
    <t>2102</t>
  </si>
  <si>
    <t>30-06-21</t>
  </si>
  <si>
    <t>05-07-21</t>
  </si>
  <si>
    <t>12-07-21</t>
  </si>
  <si>
    <t>2439</t>
  </si>
  <si>
    <t>16-06-21</t>
  </si>
  <si>
    <t>130</t>
  </si>
  <si>
    <t>1488</t>
  </si>
  <si>
    <t>2366</t>
  </si>
  <si>
    <t>1590</t>
  </si>
  <si>
    <t>22-10-21</t>
  </si>
  <si>
    <t>Defect Counter Measure(TEST Version)</t>
  </si>
  <si>
    <t>87</t>
  </si>
  <si>
    <t>1562</t>
  </si>
  <si>
    <t>2364</t>
  </si>
  <si>
    <t>1513</t>
  </si>
  <si>
    <t>18-10-21</t>
  </si>
  <si>
    <t>17-10-21</t>
  </si>
  <si>
    <t>42.5</t>
  </si>
  <si>
    <t>6.7</t>
  </si>
  <si>
    <t>293</t>
  </si>
  <si>
    <t>9.1</t>
  </si>
  <si>
    <t>238</t>
  </si>
  <si>
    <t>1280</t>
  </si>
  <si>
    <t>1695</t>
  </si>
  <si>
    <t>IA159</t>
  </si>
  <si>
    <t>GHU CHI</t>
  </si>
  <si>
    <t>23-10-21</t>
  </si>
  <si>
    <t>IA111T(101-02)-01_01</t>
  </si>
  <si>
    <t>00</t>
  </si>
  <si>
    <t>29-10-21</t>
  </si>
  <si>
    <t>IA095T(101-04)-01</t>
  </si>
  <si>
    <t>1494</t>
  </si>
  <si>
    <t>2545</t>
  </si>
  <si>
    <t>1703</t>
  </si>
  <si>
    <t>27-10-21</t>
  </si>
  <si>
    <t>Trail version-01</t>
  </si>
  <si>
    <t>188</t>
  </si>
  <si>
    <t>1482</t>
  </si>
  <si>
    <t>IA070T(101-05)</t>
  </si>
  <si>
    <t>3306</t>
  </si>
  <si>
    <t>2230</t>
  </si>
  <si>
    <t>Trial Version-01</t>
  </si>
  <si>
    <t>1827</t>
  </si>
  <si>
    <t>5</t>
  </si>
  <si>
    <t>2288</t>
  </si>
  <si>
    <t>1462</t>
  </si>
  <si>
    <t>10-03-21</t>
  </si>
  <si>
    <t>27-09-21</t>
  </si>
  <si>
    <t>IA111T(101-02)-01_02</t>
  </si>
  <si>
    <t>17-11-21</t>
  </si>
  <si>
    <t>IA156T</t>
  </si>
  <si>
    <t>TEST VERSION</t>
  </si>
  <si>
    <t>IA146T</t>
  </si>
  <si>
    <t>Double Screw Ghuchi</t>
  </si>
  <si>
    <t>400*50*10</t>
  </si>
  <si>
    <t>24-11-21</t>
  </si>
  <si>
    <t>IA150</t>
  </si>
  <si>
    <t>IA152</t>
  </si>
  <si>
    <t>IA151</t>
  </si>
  <si>
    <t>IA020(101-02)-02</t>
  </si>
  <si>
    <t>1048</t>
  </si>
  <si>
    <t>23-03-21</t>
  </si>
  <si>
    <t>29-11-21</t>
  </si>
  <si>
    <t>Trial Version to Production</t>
  </si>
  <si>
    <t>2379</t>
  </si>
  <si>
    <t>1572</t>
  </si>
  <si>
    <t>TEST156(101-03)-01</t>
  </si>
  <si>
    <t>11.1</t>
  </si>
  <si>
    <t>1485</t>
  </si>
  <si>
    <t>2484</t>
  </si>
  <si>
    <t>16</t>
  </si>
  <si>
    <t>19</t>
  </si>
  <si>
    <t>IA152(101-05)-01</t>
  </si>
  <si>
    <t>176</t>
  </si>
  <si>
    <t>1065</t>
  </si>
  <si>
    <t>2127</t>
  </si>
  <si>
    <t>1997</t>
  </si>
  <si>
    <t>SMS22231</t>
  </si>
  <si>
    <t>02</t>
  </si>
  <si>
    <t>130/70-12</t>
  </si>
  <si>
    <t>IA151(101-05)-01</t>
  </si>
  <si>
    <t>265</t>
  </si>
  <si>
    <t>1887</t>
  </si>
  <si>
    <t>1771</t>
  </si>
  <si>
    <t>SMS22236</t>
  </si>
  <si>
    <t>03</t>
  </si>
  <si>
    <t>142</t>
  </si>
  <si>
    <t>1399</t>
  </si>
  <si>
    <t>SMS22235</t>
  </si>
  <si>
    <t>110/70-12</t>
  </si>
  <si>
    <t>04</t>
  </si>
  <si>
    <t>24</t>
  </si>
  <si>
    <t>IA145(101-02)-02</t>
  </si>
  <si>
    <t>HONDA J1FZ</t>
  </si>
  <si>
    <t>SPEC REVOKED Due to tyre groove thickness less(NSB)</t>
  </si>
  <si>
    <t>1067</t>
  </si>
  <si>
    <t>IA111T(101-02)-01_03</t>
  </si>
  <si>
    <t>REVOKED Trial-01 For Solve LT issue In regular Die</t>
  </si>
  <si>
    <t>REVOKED Trial -02 For Solve LT issue In regular Die</t>
  </si>
  <si>
    <t>REVOKED  Trial-03 For Solve LT issue In regular Die</t>
  </si>
  <si>
    <t>05-05-221</t>
  </si>
  <si>
    <t>18--01-21</t>
  </si>
  <si>
    <t>1856</t>
  </si>
  <si>
    <t>1181</t>
  </si>
  <si>
    <t>13</t>
  </si>
  <si>
    <t>19--11-20</t>
  </si>
  <si>
    <t>15</t>
  </si>
  <si>
    <t>1979</t>
  </si>
  <si>
    <t>11</t>
  </si>
  <si>
    <t>46</t>
  </si>
  <si>
    <t>47</t>
  </si>
  <si>
    <t>OE HONDA</t>
  </si>
  <si>
    <t>22</t>
  </si>
  <si>
    <t>31</t>
  </si>
  <si>
    <t>190-3-21</t>
  </si>
  <si>
    <t>22-12-21</t>
  </si>
  <si>
    <t>7316+7250</t>
  </si>
  <si>
    <t>1558</t>
  </si>
  <si>
    <t>1005</t>
  </si>
  <si>
    <t>17</t>
  </si>
  <si>
    <t>from ia159</t>
  </si>
  <si>
    <t>IA160(202-00)-01</t>
  </si>
  <si>
    <t>1493</t>
  </si>
  <si>
    <t>IA164(202-00)-01</t>
  </si>
  <si>
    <t>92</t>
  </si>
  <si>
    <t>1849</t>
  </si>
  <si>
    <t>36</t>
  </si>
  <si>
    <t>IA165(202-00)-01</t>
  </si>
  <si>
    <t>1639</t>
  </si>
  <si>
    <t>1054</t>
  </si>
  <si>
    <t>14</t>
  </si>
  <si>
    <t>IA166(202-00)-01</t>
  </si>
  <si>
    <t>1475</t>
  </si>
  <si>
    <t>1553</t>
  </si>
  <si>
    <t>1053</t>
  </si>
  <si>
    <t>IA167(202-00)-01</t>
  </si>
  <si>
    <t>IA169(101-04)-01</t>
  </si>
  <si>
    <t>132</t>
  </si>
  <si>
    <t>1643</t>
  </si>
  <si>
    <t>2357</t>
  </si>
  <si>
    <t>1435</t>
  </si>
  <si>
    <t>OE SUZUKI</t>
  </si>
  <si>
    <t>IA170(101-05)-01</t>
  </si>
  <si>
    <t>180</t>
  </si>
  <si>
    <t>3080</t>
  </si>
  <si>
    <t>2067</t>
  </si>
  <si>
    <t>7250</t>
  </si>
  <si>
    <t>IA161(101-02)-01</t>
  </si>
  <si>
    <t>IA156(101-03)-02</t>
  </si>
  <si>
    <t>IA153(101-03)-02</t>
  </si>
  <si>
    <t>25</t>
  </si>
  <si>
    <t>20</t>
  </si>
  <si>
    <t>1735</t>
  </si>
  <si>
    <t>2028</t>
  </si>
  <si>
    <t>1236</t>
  </si>
  <si>
    <t>IA121(101-02)-02</t>
  </si>
  <si>
    <t>2037</t>
  </si>
  <si>
    <t>IA111T(101-02)-01_04</t>
  </si>
  <si>
    <t>1471</t>
  </si>
  <si>
    <t>1631</t>
  </si>
  <si>
    <t>IA109T(101-05)-01</t>
  </si>
  <si>
    <t>2049</t>
  </si>
  <si>
    <t>IA108(101-02)-01</t>
  </si>
  <si>
    <t>1384</t>
  </si>
  <si>
    <t>1667</t>
  </si>
  <si>
    <t>IA097(202-00)-01</t>
  </si>
  <si>
    <t>45</t>
  </si>
  <si>
    <t>1664</t>
  </si>
  <si>
    <t>1063</t>
  </si>
  <si>
    <t>1588</t>
  </si>
  <si>
    <t>2536</t>
  </si>
  <si>
    <t>1574</t>
  </si>
  <si>
    <t>IA089T(101-04)-03</t>
  </si>
  <si>
    <t>Pre-launch</t>
  </si>
  <si>
    <t>Prototype</t>
  </si>
  <si>
    <t>Protottype</t>
  </si>
  <si>
    <t>TR-01 Protottype</t>
  </si>
  <si>
    <t>Protottype done (3 SPOOL)</t>
  </si>
  <si>
    <t>60 M. Protottype</t>
  </si>
  <si>
    <t>TR-1</t>
  </si>
  <si>
    <t>IA153</t>
  </si>
  <si>
    <t>TEST153</t>
  </si>
  <si>
    <t>IA156</t>
  </si>
  <si>
    <t>TR-2</t>
  </si>
  <si>
    <t>Pre-Launch</t>
  </si>
  <si>
    <t>WAVE (TEST FROM IA054)</t>
  </si>
  <si>
    <t>IA034 DIE TEST</t>
  </si>
  <si>
    <t>IA014 DIE TEST</t>
  </si>
  <si>
    <t>LOWER WIDTH</t>
  </si>
  <si>
    <t>IA167</t>
  </si>
  <si>
    <t>IA164</t>
  </si>
  <si>
    <t>7250+7316</t>
  </si>
  <si>
    <t>DOUBLE SCREW</t>
  </si>
  <si>
    <t>IA170</t>
  </si>
  <si>
    <t>IA169</t>
  </si>
  <si>
    <t>IA161</t>
  </si>
  <si>
    <t>IA160</t>
  </si>
  <si>
    <t>7316+7316</t>
  </si>
  <si>
    <t>IA111T</t>
  </si>
  <si>
    <t>IA111T-V3</t>
  </si>
  <si>
    <t>1057</t>
  </si>
  <si>
    <t>19-01-22</t>
  </si>
  <si>
    <t>35</t>
  </si>
  <si>
    <t>10.1</t>
  </si>
  <si>
    <t>24-07-21</t>
  </si>
  <si>
    <t>IA075(101-04)-04_1</t>
  </si>
  <si>
    <t>123</t>
  </si>
  <si>
    <t>2485</t>
  </si>
  <si>
    <t>1581</t>
  </si>
  <si>
    <t>15-03-21</t>
  </si>
  <si>
    <t>29-05-20</t>
  </si>
  <si>
    <t>04-01-20</t>
  </si>
  <si>
    <t>IA095(101-04)-02</t>
  </si>
  <si>
    <t>29-06-21</t>
  </si>
  <si>
    <t>26-06-21</t>
  </si>
  <si>
    <t>29-09-21</t>
  </si>
  <si>
    <t>22-11-21</t>
  </si>
  <si>
    <t>IA146T(101-01)-02</t>
  </si>
  <si>
    <t>07-12-21</t>
  </si>
  <si>
    <t>**</t>
  </si>
  <si>
    <t>IA085T(101-04)-01</t>
  </si>
  <si>
    <t>07-02-22</t>
  </si>
  <si>
    <t>IA107T(101-05)-01</t>
  </si>
  <si>
    <t>IA111T(101-02)-01_05</t>
  </si>
  <si>
    <t>IA070T</t>
  </si>
  <si>
    <t>TR-01</t>
  </si>
  <si>
    <t>IA095T</t>
  </si>
  <si>
    <t>7316/7316</t>
  </si>
  <si>
    <t>ia121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</si>
</sst>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mm\-yyyy"/>
    <numFmt numFmtId="165" formatCode="dd/mm/yy"/>
    <numFmt numFmtId="166" formatCode="dd\-mm\-yy"/>
    <numFmt numFmtId="167" formatCode="0.0"/>
    <numFmt numFmtId="168" formatCode="[$-4009]dd\ mmmm\ yyyy"/>
  </numFmts>
  <fonts count="53">
    <font>
      <sz val="10"/>
      <color theme="1"/>
      <name val="Calibri"/>
      <family val="2"/>
    </font>
    <font>
      <b/>
      <sz val="10"/>
      <color theme="0"/>
      <name val="Calibri"/>
      <family val="2"/>
    </font>
    <font>
      <b/>
      <sz val="11"/>
      <color theme="0"/>
      <name val="Calibri"/>
      <family val="2"/>
    </font>
    <font>
      <sz val="11"/>
      <color theme="1"/>
      <name val="Calibri"/>
      <family val="2"/>
      <scheme val="minor"/>
    </font>
    <font>
      <b/>
      <sz val="11"/>
      <color indexed="9"/>
      <name val="Calibri"/>
      <family val="2"/>
      <scheme val="minor"/>
    </font>
    <font>
      <sz val="10"/>
      <color indexed="8"/>
      <name val="Calibri"/>
      <family val="2"/>
      <scheme val="minor"/>
    </font>
    <font>
      <b/>
      <sz val="11"/>
      <color theme="1"/>
      <name val="Calibri"/>
      <family val="2"/>
      <scheme val="minor"/>
    </font>
    <font>
      <b/>
      <sz val="10"/>
      <color theme="1"/>
      <name val="Calibri"/>
      <family val="2"/>
    </font>
    <font>
      <sz val="10"/>
      <color theme="1"/>
      <name val="Calibri"/>
      <family val="2"/>
    </font>
    <font>
      <sz val="12"/>
      <name val="新細明體"/>
      <family val="1"/>
      <charset val="136"/>
    </font>
    <font>
      <b/>
      <sz val="10"/>
      <name val="Calibri"/>
      <family val="2"/>
    </font>
    <font>
      <b/>
      <sz val="18"/>
      <name val="Calibri"/>
      <family val="2"/>
    </font>
    <font>
      <b/>
      <u val="double"/>
      <sz val="18"/>
      <name val="Calibri"/>
      <family val="2"/>
    </font>
    <font>
      <b/>
      <u/>
      <sz val="10"/>
      <name val="Calibri"/>
      <family val="2"/>
    </font>
    <font>
      <b/>
      <sz val="12"/>
      <name val="Calibri"/>
      <family val="2"/>
    </font>
    <font>
      <b/>
      <sz val="9"/>
      <name val="Calibri"/>
      <family val="2"/>
    </font>
    <font>
      <b/>
      <sz val="10"/>
      <name val="細明體"/>
      <family val="3"/>
      <charset val="136"/>
    </font>
    <font>
      <b/>
      <sz val="9"/>
      <name val="細明體"/>
      <family val="3"/>
      <charset val="136"/>
    </font>
    <font>
      <sz val="11"/>
      <color theme="1"/>
      <name val="Calibri"/>
      <family val="2"/>
      <charset val="136"/>
      <scheme val="minor"/>
    </font>
    <font>
      <b/>
      <sz val="18"/>
      <color theme="1"/>
      <name val="Calibri"/>
      <family val="2"/>
      <scheme val="minor"/>
    </font>
    <font>
      <b/>
      <sz val="20"/>
      <color theme="1"/>
      <name val="Calibri"/>
      <family val="1"/>
      <charset val="136"/>
      <scheme val="minor"/>
    </font>
    <font>
      <b/>
      <sz val="9"/>
      <color theme="1"/>
      <name val="Calibri"/>
      <family val="1"/>
      <charset val="136"/>
      <scheme val="minor"/>
    </font>
    <font>
      <b/>
      <sz val="11"/>
      <color theme="1"/>
      <name val="Calibri"/>
      <family val="1"/>
      <charset val="136"/>
      <scheme val="minor"/>
    </font>
    <font>
      <b/>
      <sz val="20"/>
      <name val="Calibri"/>
      <family val="2"/>
    </font>
    <font>
      <b/>
      <sz val="16"/>
      <name val="Calibri"/>
      <family val="2"/>
    </font>
    <font>
      <b/>
      <u/>
      <sz val="20"/>
      <name val="Calibri"/>
      <family val="2"/>
    </font>
    <font>
      <sz val="11"/>
      <name val="Calibri"/>
      <family val="2"/>
      <scheme val="minor"/>
    </font>
    <font>
      <sz val="8"/>
      <name val="Calibri"/>
      <family val="2"/>
      <scheme val="minor"/>
    </font>
    <font>
      <sz val="8"/>
      <name val="Calibri"/>
      <family val="2"/>
    </font>
    <font>
      <sz val="10"/>
      <name val="Calibri"/>
      <family val="2"/>
    </font>
    <font>
      <sz val="7"/>
      <name val="Calibri"/>
      <family val="2"/>
    </font>
    <font>
      <sz val="8"/>
      <name val="新細明體"/>
      <family val="1"/>
      <charset val="136"/>
    </font>
    <font>
      <sz val="9"/>
      <name val="Calibri"/>
      <family val="2"/>
    </font>
    <font>
      <b/>
      <sz val="10"/>
      <color theme="1"/>
      <name val="Calibri"/>
      <family val="1"/>
      <charset val="136"/>
      <scheme val="minor"/>
    </font>
    <font>
      <sz val="12"/>
      <name val="Calibri"/>
      <family val="2"/>
    </font>
    <font>
      <b/>
      <sz val="8"/>
      <name val="Calibri"/>
      <family val="2"/>
    </font>
    <font>
      <b/>
      <sz val="11"/>
      <name val="Calibri"/>
      <family val="2"/>
    </font>
    <font>
      <sz val="9"/>
      <name val="Calibri"/>
      <family val="2"/>
      <scheme val="minor"/>
    </font>
    <font>
      <b/>
      <sz val="9"/>
      <name val="Calibri"/>
      <family val="2"/>
      <scheme val="minor"/>
    </font>
    <font>
      <sz val="5"/>
      <name val="Calibri"/>
      <family val="2"/>
    </font>
    <font>
      <b/>
      <sz val="14"/>
      <name val="Calibri"/>
      <family val="2"/>
    </font>
    <font>
      <sz val="11"/>
      <name val="Calibri"/>
      <family val="2"/>
    </font>
    <font>
      <sz val="7.5"/>
      <name val="Calibri"/>
      <family val="2"/>
    </font>
    <font>
      <b/>
      <sz val="26"/>
      <name val="Arial"/>
      <family val="2"/>
    </font>
    <font>
      <b/>
      <sz val="24"/>
      <name val="Arial"/>
      <family val="2"/>
    </font>
    <font>
      <sz val="14"/>
      <name val="Arial"/>
      <family val="2"/>
    </font>
    <font>
      <sz val="12"/>
      <name val="Arial"/>
      <family val="2"/>
    </font>
    <font>
      <sz val="11"/>
      <name val="新細明體"/>
      <family val="1"/>
      <charset val="136"/>
    </font>
    <font>
      <sz val="10"/>
      <color theme="1"/>
      <name val="Calibri"/>
      <family val="2"/>
    </font>
    <font>
      <sz val="10"/>
      <color theme="1"/>
      <name val="Calibri"/>
      <family val="2"/>
    </font>
    <font>
      <sz val="10"/>
      <color theme="1"/>
      <name val="Calibri"/>
      <family val="2"/>
    </font>
    <font>
      <sz val="10"/>
      <color rgb="FFFF0000"/>
      <name val="Calibri"/>
      <family val="2"/>
    </font>
    <font>
      <sz val="10"/>
      <color theme="1"/>
      <name val="Calibri"/>
      <family val="2"/>
    </font>
  </fonts>
  <fills count="10">
    <fill>
      <patternFill patternType="none"/>
    </fill>
    <fill>
      <patternFill patternType="gray125"/>
    </fill>
    <fill>
      <patternFill patternType="solid">
        <fgColor theme="4" tint="-0.499984740745262"/>
        <bgColor indexed="64"/>
      </patternFill>
    </fill>
    <fill>
      <patternFill patternType="solid">
        <fgColor theme="5" tint="-0.499984740745262"/>
        <bgColor indexed="64"/>
      </patternFill>
    </fill>
    <fill>
      <patternFill patternType="solid">
        <fgColor theme="7"/>
        <bgColor indexed="64"/>
      </patternFill>
    </fill>
    <fill>
      <patternFill patternType="solid">
        <fgColor indexed="30"/>
        <bgColor indexed="64"/>
      </patternFill>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theme="4" tint="0.39997558519241921"/>
      </bottom>
      <diagonal/>
    </border>
    <border>
      <left/>
      <right style="thin">
        <color indexed="64"/>
      </right>
      <top style="medium">
        <color indexed="64"/>
      </top>
      <bottom style="thin">
        <color theme="4" tint="0.39997558519241921"/>
      </bottom>
      <diagonal/>
    </border>
    <border>
      <left style="thin">
        <color indexed="64"/>
      </left>
      <right style="thin">
        <color indexed="64"/>
      </right>
      <top style="medium">
        <color indexed="64"/>
      </top>
      <bottom style="thin">
        <color theme="4" tint="0.39997558519241921"/>
      </bottom>
      <diagonal/>
    </border>
    <border>
      <left style="thin">
        <color indexed="64"/>
      </left>
      <right style="medium">
        <color indexed="64"/>
      </right>
      <top style="medium">
        <color indexed="64"/>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medium">
        <color indexed="64"/>
      </right>
      <top/>
      <bottom style="thin">
        <color indexed="64"/>
      </bottom>
      <diagonal/>
    </border>
    <border>
      <left style="thin">
        <color indexed="64"/>
      </left>
      <right style="thin">
        <color indexed="64"/>
      </right>
      <top style="thin">
        <color indexed="64"/>
      </top>
      <bottom style="hair">
        <color indexed="64"/>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style="thin">
        <color indexed="64"/>
      </top>
      <bottom style="thin">
        <color indexed="64"/>
      </bottom>
      <diagonal style="thin">
        <color auto="1"/>
      </diagonal>
    </border>
    <border>
      <left/>
      <right/>
      <top style="thin">
        <color indexed="64"/>
      </top>
      <bottom style="thin">
        <color indexed="64"/>
      </bottom>
      <diagonal/>
    </border>
    <border>
      <left/>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medium">
        <color indexed="64"/>
      </right>
      <top style="thin">
        <color indexed="64"/>
      </top>
      <bottom style="dotted">
        <color indexed="64"/>
      </bottom>
      <diagonal/>
    </border>
    <border>
      <left style="medium">
        <color indexed="64"/>
      </left>
      <right/>
      <top/>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top/>
      <bottom style="medium">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right style="thin">
        <color indexed="64"/>
      </right>
      <top style="thin">
        <color indexed="64"/>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dotted">
        <color indexed="64"/>
      </top>
      <bottom style="double">
        <color indexed="64"/>
      </bottom>
      <diagonal/>
    </border>
    <border>
      <left style="thin">
        <color indexed="64"/>
      </left>
      <right style="medium">
        <color indexed="64"/>
      </right>
      <top style="dotted">
        <color indexed="64"/>
      </top>
      <bottom style="double">
        <color indexed="64"/>
      </bottom>
      <diagonal/>
    </border>
    <border>
      <left style="medium">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double">
        <color indexed="64"/>
      </bottom>
      <diagonal/>
    </border>
    <border>
      <left/>
      <right style="thin">
        <color indexed="64"/>
      </right>
      <top style="thin">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s>
  <cellStyleXfs count="7">
    <xf numFmtId="0" fontId="0" fillId="0" borderId="0"/>
    <xf numFmtId="0" fontId="3" fillId="0" borderId="0"/>
    <xf numFmtId="0" fontId="9" fillId="0" borderId="0"/>
    <xf numFmtId="0" fontId="18" fillId="0" borderId="0">
      <alignment vertical="center"/>
    </xf>
    <xf numFmtId="0" fontId="9" fillId="0" borderId="0">
      <alignment vertical="center"/>
    </xf>
    <xf numFmtId="0" fontId="9" fillId="0" borderId="0"/>
    <xf numFmtId="0" fontId="9" fillId="0" borderId="0"/>
  </cellStyleXfs>
  <cellXfs count="633">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0" fillId="0" borderId="0" xfId="0" applyAlignment="1">
      <alignment horizontal="center"/>
    </xf>
    <xf numFmtId="0" fontId="3" fillId="0" borderId="0" xfId="1"/>
    <xf numFmtId="0" fontId="3" fillId="0" borderId="0" xfId="1" applyAlignment="1">
      <alignment horizontal="center" vertical="center"/>
    </xf>
    <xf numFmtId="15" fontId="3" fillId="4" borderId="0" xfId="1" applyNumberFormat="1" applyFill="1" applyAlignment="1">
      <alignment horizontal="center"/>
    </xf>
    <xf numFmtId="15" fontId="3" fillId="0" borderId="0" xfId="1" applyNumberFormat="1" applyAlignment="1">
      <alignment horizontal="center"/>
    </xf>
    <xf numFmtId="1" fontId="3" fillId="0" borderId="0" xfId="1" applyNumberFormat="1" applyAlignment="1">
      <alignment horizontal="center" vertical="center"/>
    </xf>
    <xf numFmtId="2" fontId="3" fillId="0" borderId="0" xfId="1" applyNumberFormat="1" applyAlignment="1">
      <alignment horizontal="center" vertical="center"/>
    </xf>
    <xf numFmtId="0" fontId="5" fillId="0" borderId="1" xfId="1" applyFont="1" applyFill="1" applyBorder="1" applyAlignment="1">
      <alignment horizontal="center" vertical="center"/>
    </xf>
    <xf numFmtId="0" fontId="4" fillId="5" borderId="2" xfId="1" applyFont="1" applyFill="1" applyBorder="1" applyAlignment="1">
      <alignment horizontal="center" vertical="center"/>
    </xf>
    <xf numFmtId="0" fontId="4" fillId="5" borderId="3" xfId="1" applyFont="1" applyFill="1" applyBorder="1" applyAlignment="1">
      <alignment horizontal="center" vertical="center"/>
    </xf>
    <xf numFmtId="0" fontId="5" fillId="0" borderId="4" xfId="1" applyFont="1" applyFill="1" applyBorder="1" applyAlignment="1">
      <alignment horizontal="center" vertical="center"/>
    </xf>
    <xf numFmtId="0" fontId="5" fillId="0" borderId="8" xfId="1" applyFont="1" applyFill="1" applyBorder="1" applyAlignment="1">
      <alignment horizontal="center" vertical="center"/>
    </xf>
    <xf numFmtId="0" fontId="5" fillId="0" borderId="10" xfId="1" applyFont="1" applyFill="1" applyBorder="1" applyAlignment="1">
      <alignment horizontal="center" vertical="center"/>
    </xf>
    <xf numFmtId="0" fontId="5" fillId="0" borderId="11" xfId="1" applyFont="1" applyFill="1" applyBorder="1" applyAlignment="1">
      <alignment horizontal="center" vertical="center"/>
    </xf>
    <xf numFmtId="0" fontId="3" fillId="0" borderId="1" xfId="1" applyBorder="1" applyAlignment="1">
      <alignment horizontal="center"/>
    </xf>
    <xf numFmtId="1" fontId="1" fillId="3"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1" fontId="5" fillId="0" borderId="5" xfId="1" applyNumberFormat="1" applyFont="1" applyFill="1" applyBorder="1" applyAlignment="1">
      <alignment horizontal="center" vertical="center"/>
    </xf>
    <xf numFmtId="1" fontId="5" fillId="0" borderId="3" xfId="1" applyNumberFormat="1" applyFont="1" applyFill="1" applyBorder="1" applyAlignment="1">
      <alignment horizontal="center" vertical="center"/>
    </xf>
    <xf numFmtId="164" fontId="1" fillId="3"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164" fontId="0" fillId="0" borderId="0" xfId="0" applyNumberFormat="1" applyAlignment="1">
      <alignment horizontal="center" vertical="center"/>
    </xf>
    <xf numFmtId="164" fontId="3" fillId="0" borderId="0" xfId="1" applyNumberFormat="1" applyAlignment="1">
      <alignment horizontal="center" vertical="center"/>
    </xf>
    <xf numFmtId="0" fontId="3" fillId="0" borderId="1" xfId="1" applyBorder="1"/>
    <xf numFmtId="0" fontId="0" fillId="0" borderId="1" xfId="0" applyBorder="1" applyAlignment="1">
      <alignment horizontal="center"/>
    </xf>
    <xf numFmtId="164" fontId="2" fillId="3" borderId="1" xfId="0" applyNumberFormat="1" applyFont="1" applyFill="1" applyBorder="1" applyAlignment="1">
      <alignment horizontal="center" vertical="center"/>
    </xf>
    <xf numFmtId="164" fontId="0" fillId="0" borderId="1" xfId="0" applyNumberFormat="1" applyBorder="1" applyAlignment="1">
      <alignment horizontal="center"/>
    </xf>
    <xf numFmtId="1" fontId="2" fillId="3" borderId="1" xfId="0" applyNumberFormat="1" applyFont="1" applyFill="1" applyBorder="1" applyAlignment="1">
      <alignment horizontal="center" vertical="center" wrapText="1"/>
    </xf>
    <xf numFmtId="1" fontId="0" fillId="0" borderId="1" xfId="0" applyNumberFormat="1" applyBorder="1" applyAlignment="1">
      <alignment horizontal="center"/>
    </xf>
    <xf numFmtId="1" fontId="2"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49" fontId="0" fillId="0" borderId="1" xfId="0" applyNumberFormat="1" applyBorder="1" applyAlignment="1">
      <alignment horizontal="center"/>
    </xf>
    <xf numFmtId="49" fontId="2" fillId="3" borderId="1" xfId="0" applyNumberFormat="1" applyFont="1" applyFill="1" applyBorder="1" applyAlignment="1">
      <alignment horizontal="center" vertical="center"/>
    </xf>
    <xf numFmtId="1" fontId="5" fillId="0" borderId="9" xfId="1" applyNumberFormat="1" applyFont="1" applyFill="1" applyBorder="1" applyAlignment="1">
      <alignment horizontal="center" vertical="center"/>
    </xf>
    <xf numFmtId="1" fontId="5" fillId="0" borderId="7" xfId="1" applyNumberFormat="1" applyFont="1" applyFill="1" applyBorder="1" applyAlignment="1">
      <alignment horizontal="center" vertical="center"/>
    </xf>
    <xf numFmtId="0" fontId="7" fillId="6" borderId="1" xfId="0" applyFont="1" applyFill="1" applyBorder="1" applyAlignment="1">
      <alignment horizontal="center" vertical="center"/>
    </xf>
    <xf numFmtId="0" fontId="0" fillId="0" borderId="1" xfId="0" quotePrefix="1" applyBorder="1" applyAlignment="1">
      <alignment horizontal="center" vertical="center"/>
    </xf>
    <xf numFmtId="0" fontId="5" fillId="0" borderId="12" xfId="1" applyFont="1" applyFill="1" applyBorder="1" applyAlignment="1">
      <alignment horizontal="center" vertical="center"/>
    </xf>
    <xf numFmtId="0" fontId="7" fillId="0" borderId="0" xfId="0" applyFont="1" applyAlignment="1">
      <alignment horizontal="center" vertical="center"/>
    </xf>
    <xf numFmtId="1" fontId="8" fillId="7" borderId="1" xfId="0" applyNumberFormat="1" applyFont="1" applyFill="1" applyBorder="1" applyAlignment="1">
      <alignment horizontal="center" vertical="center"/>
    </xf>
    <xf numFmtId="0" fontId="0" fillId="0" borderId="0" xfId="0" applyBorder="1" applyAlignment="1">
      <alignment horizontal="center" vertical="center"/>
    </xf>
    <xf numFmtId="1" fontId="0" fillId="0" borderId="0" xfId="0" applyNumberFormat="1" applyBorder="1" applyAlignment="1">
      <alignment horizontal="center" vertical="center"/>
    </xf>
    <xf numFmtId="0" fontId="0" fillId="0" borderId="0" xfId="0" applyFont="1" applyBorder="1" applyAlignment="1">
      <alignment horizontal="center" vertical="center"/>
    </xf>
    <xf numFmtId="165" fontId="0" fillId="0" borderId="0" xfId="0" applyNumberFormat="1" applyBorder="1" applyAlignment="1">
      <alignment horizontal="center" vertical="center"/>
    </xf>
    <xf numFmtId="0" fontId="0" fillId="7" borderId="1" xfId="0" applyFill="1" applyBorder="1" applyAlignment="1">
      <alignment horizontal="center" vertical="center"/>
    </xf>
    <xf numFmtId="49" fontId="0" fillId="7"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7" borderId="1" xfId="0" applyFont="1" applyFill="1" applyBorder="1" applyAlignment="1">
      <alignment horizontal="center" vertical="center"/>
    </xf>
    <xf numFmtId="165" fontId="0" fillId="7" borderId="1" xfId="0" applyNumberFormat="1" applyFill="1" applyBorder="1" applyAlignment="1">
      <alignment horizontal="center" vertical="center"/>
    </xf>
    <xf numFmtId="0" fontId="0" fillId="7" borderId="12" xfId="0" applyFill="1" applyBorder="1" applyAlignment="1">
      <alignment horizontal="center" vertical="center"/>
    </xf>
    <xf numFmtId="49" fontId="0" fillId="7" borderId="12" xfId="0" applyNumberFormat="1" applyFill="1" applyBorder="1" applyAlignment="1">
      <alignment horizontal="center" vertical="center"/>
    </xf>
    <xf numFmtId="165" fontId="0" fillId="7" borderId="12" xfId="0" applyNumberFormat="1" applyFill="1" applyBorder="1" applyAlignment="1">
      <alignment horizontal="center" vertical="center"/>
    </xf>
    <xf numFmtId="0" fontId="0" fillId="7" borderId="13" xfId="0" applyFill="1" applyBorder="1" applyAlignment="1">
      <alignment horizontal="center" vertical="center"/>
    </xf>
    <xf numFmtId="0" fontId="0" fillId="7" borderId="0" xfId="0" applyFill="1" applyBorder="1" applyAlignment="1">
      <alignment horizontal="center" vertical="center"/>
    </xf>
    <xf numFmtId="0" fontId="2" fillId="3" borderId="15" xfId="0" applyNumberFormat="1" applyFont="1" applyFill="1" applyBorder="1" applyAlignment="1">
      <alignment horizontal="center" vertical="center"/>
    </xf>
    <xf numFmtId="0" fontId="2" fillId="3" borderId="16" xfId="0" applyNumberFormat="1" applyFont="1" applyFill="1" applyBorder="1" applyAlignment="1">
      <alignment horizontal="center" vertical="center"/>
    </xf>
    <xf numFmtId="49" fontId="2" fillId="3" borderId="16" xfId="0" applyNumberFormat="1" applyFont="1" applyFill="1" applyBorder="1" applyAlignment="1">
      <alignment horizontal="center" vertical="center"/>
    </xf>
    <xf numFmtId="49" fontId="2" fillId="3" borderId="16" xfId="0" applyNumberFormat="1" applyFont="1" applyFill="1" applyBorder="1" applyAlignment="1">
      <alignment horizontal="center" vertical="center" wrapText="1"/>
    </xf>
    <xf numFmtId="1" fontId="2" fillId="3" borderId="16" xfId="0" applyNumberFormat="1" applyFont="1" applyFill="1" applyBorder="1" applyAlignment="1">
      <alignment horizontal="center" vertical="center" wrapText="1"/>
    </xf>
    <xf numFmtId="1" fontId="2" fillId="3" borderId="16" xfId="0" applyNumberFormat="1" applyFont="1" applyFill="1" applyBorder="1" applyAlignment="1">
      <alignment horizontal="center" vertical="center"/>
    </xf>
    <xf numFmtId="0" fontId="2" fillId="3" borderId="16" xfId="0" applyNumberFormat="1" applyFont="1" applyFill="1" applyBorder="1" applyAlignment="1">
      <alignment horizontal="center" vertical="center" wrapText="1"/>
    </xf>
    <xf numFmtId="165" fontId="2" fillId="3" borderId="16" xfId="0" applyNumberFormat="1" applyFont="1" applyFill="1" applyBorder="1" applyAlignment="1">
      <alignment horizontal="center" vertical="center" wrapText="1"/>
    </xf>
    <xf numFmtId="164" fontId="2" fillId="3" borderId="17" xfId="0" applyNumberFormat="1" applyFont="1" applyFill="1" applyBorder="1" applyAlignment="1">
      <alignment horizontal="center" vertical="center" wrapText="1"/>
    </xf>
    <xf numFmtId="0" fontId="0" fillId="7" borderId="18" xfId="0" applyFill="1" applyBorder="1" applyAlignment="1">
      <alignment horizontal="center" vertical="center"/>
    </xf>
    <xf numFmtId="0" fontId="2" fillId="3" borderId="1" xfId="0" applyNumberFormat="1" applyFont="1" applyFill="1" applyBorder="1" applyAlignment="1">
      <alignment horizontal="center" vertical="center"/>
    </xf>
    <xf numFmtId="166" fontId="0" fillId="0" borderId="1" xfId="0" applyNumberFormat="1" applyBorder="1" applyAlignment="1">
      <alignment horizontal="center" vertical="center"/>
    </xf>
    <xf numFmtId="167" fontId="0" fillId="0" borderId="1" xfId="0" applyNumberFormat="1" applyBorder="1" applyAlignment="1">
      <alignment horizontal="center" vertical="center"/>
    </xf>
    <xf numFmtId="0" fontId="0" fillId="0" borderId="12" xfId="0" applyBorder="1" applyAlignment="1">
      <alignment horizontal="center" vertical="center"/>
    </xf>
    <xf numFmtId="166" fontId="0" fillId="0" borderId="12" xfId="0" applyNumberFormat="1" applyBorder="1" applyAlignment="1">
      <alignment horizontal="center" vertical="center"/>
    </xf>
    <xf numFmtId="167" fontId="0" fillId="0" borderId="12" xfId="0" applyNumberFormat="1" applyBorder="1" applyAlignment="1">
      <alignment horizontal="center" vertical="center"/>
    </xf>
    <xf numFmtId="1" fontId="0" fillId="0" borderId="12" xfId="0" applyNumberFormat="1" applyBorder="1" applyAlignment="1">
      <alignment horizontal="center" vertical="center"/>
    </xf>
    <xf numFmtId="166" fontId="0" fillId="0" borderId="0" xfId="0" applyNumberFormat="1" applyBorder="1" applyAlignment="1">
      <alignment horizontal="center" vertical="center"/>
    </xf>
    <xf numFmtId="167" fontId="0" fillId="0" borderId="0" xfId="0" applyNumberFormat="1" applyBorder="1" applyAlignment="1">
      <alignment horizontal="center" vertical="center"/>
    </xf>
    <xf numFmtId="0" fontId="1" fillId="3" borderId="23" xfId="0" applyFont="1" applyFill="1" applyBorder="1" applyAlignment="1">
      <alignment horizontal="center" vertical="center" wrapText="1"/>
    </xf>
    <xf numFmtId="166" fontId="1" fillId="3" borderId="24" xfId="0" applyNumberFormat="1" applyFont="1" applyFill="1" applyBorder="1" applyAlignment="1">
      <alignment horizontal="center" vertical="center" wrapText="1"/>
    </xf>
    <xf numFmtId="0" fontId="1" fillId="3" borderId="25" xfId="0" applyFont="1" applyFill="1" applyBorder="1" applyAlignment="1">
      <alignment horizontal="center" vertical="center" wrapText="1"/>
    </xf>
    <xf numFmtId="49" fontId="1" fillId="3" borderId="25" xfId="0" applyNumberFormat="1" applyFont="1" applyFill="1" applyBorder="1" applyAlignment="1">
      <alignment horizontal="center" vertical="center" wrapText="1"/>
    </xf>
    <xf numFmtId="167" fontId="1" fillId="3" borderId="25" xfId="0" applyNumberFormat="1" applyFont="1" applyFill="1" applyBorder="1" applyAlignment="1">
      <alignment horizontal="center" vertical="center" wrapText="1"/>
    </xf>
    <xf numFmtId="1" fontId="1" fillId="3" borderId="25" xfId="0" applyNumberFormat="1" applyFont="1" applyFill="1" applyBorder="1" applyAlignment="1">
      <alignment horizontal="center" vertical="center" wrapText="1"/>
    </xf>
    <xf numFmtId="0" fontId="1" fillId="3" borderId="26" xfId="0" applyFont="1" applyFill="1" applyBorder="1" applyAlignment="1">
      <alignment horizontal="center" vertical="center" wrapText="1"/>
    </xf>
    <xf numFmtId="0" fontId="14" fillId="0" borderId="0" xfId="2" applyFont="1" applyAlignment="1">
      <alignment vertical="center"/>
    </xf>
    <xf numFmtId="0" fontId="10" fillId="0" borderId="10" xfId="2" applyFont="1" applyBorder="1" applyAlignment="1">
      <alignment horizontal="center" vertical="center"/>
    </xf>
    <xf numFmtId="0" fontId="10" fillId="0" borderId="0" xfId="2" applyFont="1" applyAlignment="1">
      <alignment vertical="center"/>
    </xf>
    <xf numFmtId="0" fontId="10" fillId="0" borderId="1" xfId="2" applyFont="1" applyBorder="1" applyAlignment="1">
      <alignment horizontal="center" vertical="center"/>
    </xf>
    <xf numFmtId="0" fontId="10" fillId="0" borderId="0" xfId="2" applyFont="1" applyBorder="1" applyAlignment="1">
      <alignment vertical="center"/>
    </xf>
    <xf numFmtId="0" fontId="14" fillId="0" borderId="34" xfId="2" applyFont="1" applyBorder="1" applyAlignment="1">
      <alignment vertical="center"/>
    </xf>
    <xf numFmtId="0" fontId="14" fillId="0" borderId="37" xfId="2" applyFont="1" applyBorder="1" applyAlignment="1">
      <alignment vertical="center"/>
    </xf>
    <xf numFmtId="0" fontId="10" fillId="0" borderId="28" xfId="2" applyFont="1" applyBorder="1" applyAlignment="1">
      <alignment vertical="center"/>
    </xf>
    <xf numFmtId="0" fontId="18" fillId="0" borderId="0" xfId="3">
      <alignment vertical="center"/>
    </xf>
    <xf numFmtId="0" fontId="21" fillId="0" borderId="0" xfId="3" applyFont="1" applyAlignment="1">
      <alignment horizontal="left" vertical="center"/>
    </xf>
    <xf numFmtId="0" fontId="21" fillId="0" borderId="0" xfId="3" applyFont="1">
      <alignment vertical="center"/>
    </xf>
    <xf numFmtId="0" fontId="22" fillId="0" borderId="0" xfId="3" applyFont="1">
      <alignment vertical="center"/>
    </xf>
    <xf numFmtId="0" fontId="22" fillId="0" borderId="43" xfId="3" applyFont="1" applyBorder="1" applyAlignment="1">
      <alignment vertical="center" wrapText="1"/>
    </xf>
    <xf numFmtId="0" fontId="22" fillId="0" borderId="1" xfId="3" applyFont="1" applyBorder="1" applyAlignment="1">
      <alignment horizontal="center" vertical="center" wrapText="1"/>
    </xf>
    <xf numFmtId="0" fontId="22" fillId="0" borderId="1" xfId="3" applyFont="1" applyBorder="1" applyAlignment="1">
      <alignment vertical="center" wrapText="1"/>
    </xf>
    <xf numFmtId="0" fontId="18" fillId="0" borderId="1" xfId="3" applyBorder="1" applyAlignment="1">
      <alignment horizontal="center" vertical="center"/>
    </xf>
    <xf numFmtId="0" fontId="18" fillId="0" borderId="1" xfId="3" applyBorder="1">
      <alignment vertical="center"/>
    </xf>
    <xf numFmtId="0" fontId="10" fillId="0" borderId="0" xfId="2" applyFont="1" applyAlignment="1" applyProtection="1">
      <alignment vertical="center"/>
      <protection hidden="1"/>
    </xf>
    <xf numFmtId="0" fontId="9" fillId="0" borderId="0" xfId="2" applyProtection="1">
      <protection hidden="1"/>
    </xf>
    <xf numFmtId="0" fontId="26" fillId="0" borderId="0" xfId="2" applyFont="1" applyAlignment="1" applyProtection="1">
      <alignment horizontal="center" vertical="center"/>
      <protection hidden="1"/>
    </xf>
    <xf numFmtId="0" fontId="26" fillId="0" borderId="0" xfId="2" applyFont="1" applyAlignment="1" applyProtection="1">
      <alignment horizontal="left" vertical="center"/>
      <protection hidden="1"/>
    </xf>
    <xf numFmtId="0" fontId="27" fillId="0" borderId="0" xfId="2" applyFont="1" applyAlignment="1" applyProtection="1">
      <alignment horizontal="left" vertical="center"/>
      <protection hidden="1"/>
    </xf>
    <xf numFmtId="0" fontId="29" fillId="0" borderId="0" xfId="2" applyFont="1" applyAlignment="1" applyProtection="1">
      <alignment vertical="center"/>
      <protection hidden="1"/>
    </xf>
    <xf numFmtId="0" fontId="9" fillId="0" borderId="0" xfId="2" applyFont="1" applyProtection="1">
      <protection hidden="1"/>
    </xf>
    <xf numFmtId="0" fontId="28" fillId="0" borderId="1" xfId="2" applyFont="1" applyBorder="1" applyAlignment="1" applyProtection="1">
      <alignment horizontal="center" vertical="center" wrapText="1"/>
      <protection hidden="1"/>
    </xf>
    <xf numFmtId="0" fontId="28" fillId="0" borderId="1" xfId="2" applyFont="1" applyBorder="1" applyAlignment="1" applyProtection="1">
      <alignment horizontal="center" vertical="center"/>
      <protection hidden="1"/>
    </xf>
    <xf numFmtId="0" fontId="28" fillId="0" borderId="0" xfId="2" applyFont="1" applyBorder="1" applyAlignment="1" applyProtection="1">
      <alignment vertical="center"/>
      <protection hidden="1"/>
    </xf>
    <xf numFmtId="0" fontId="28" fillId="0" borderId="0" xfId="2" applyFont="1" applyBorder="1" applyAlignment="1" applyProtection="1">
      <alignment horizontal="center" vertical="center" wrapText="1"/>
      <protection hidden="1"/>
    </xf>
    <xf numFmtId="0" fontId="28" fillId="0" borderId="44" xfId="2" applyFont="1" applyBorder="1" applyAlignment="1" applyProtection="1">
      <alignment horizontal="center" vertical="center" wrapText="1"/>
      <protection hidden="1"/>
    </xf>
    <xf numFmtId="0" fontId="28" fillId="0" borderId="0" xfId="2" applyFont="1" applyBorder="1" applyAlignment="1" applyProtection="1">
      <alignment horizontal="left" vertical="center" wrapText="1"/>
      <protection hidden="1"/>
    </xf>
    <xf numFmtId="0" fontId="28" fillId="0" borderId="44" xfId="2" applyFont="1" applyBorder="1" applyAlignment="1" applyProtection="1">
      <alignment horizontal="center" vertical="center"/>
      <protection hidden="1"/>
    </xf>
    <xf numFmtId="0" fontId="29" fillId="0" borderId="0" xfId="2" applyFont="1" applyBorder="1" applyAlignment="1" applyProtection="1">
      <alignment vertical="center"/>
      <protection hidden="1"/>
    </xf>
    <xf numFmtId="0" fontId="9" fillId="0" borderId="0" xfId="2" applyFont="1" applyBorder="1" applyProtection="1">
      <protection hidden="1"/>
    </xf>
    <xf numFmtId="0" fontId="26" fillId="0" borderId="0" xfId="2" applyFont="1" applyBorder="1" applyAlignment="1" applyProtection="1">
      <alignment horizontal="center" vertical="center"/>
      <protection hidden="1"/>
    </xf>
    <xf numFmtId="0" fontId="26" fillId="0" borderId="0" xfId="2" applyFont="1" applyBorder="1" applyAlignment="1" applyProtection="1">
      <alignment horizontal="left" vertical="center"/>
      <protection hidden="1"/>
    </xf>
    <xf numFmtId="0" fontId="27" fillId="0" borderId="0" xfId="2" applyFont="1" applyBorder="1" applyAlignment="1" applyProtection="1">
      <alignment horizontal="left" vertical="center"/>
      <protection hidden="1"/>
    </xf>
    <xf numFmtId="0" fontId="28" fillId="0" borderId="45" xfId="2" applyFont="1" applyBorder="1" applyAlignment="1" applyProtection="1">
      <alignment horizontal="center" vertical="center" wrapText="1"/>
      <protection hidden="1"/>
    </xf>
    <xf numFmtId="0" fontId="28" fillId="0" borderId="45" xfId="2" applyFont="1" applyBorder="1" applyAlignment="1" applyProtection="1">
      <alignment horizontal="left" vertical="center" wrapText="1"/>
      <protection hidden="1"/>
    </xf>
    <xf numFmtId="0" fontId="28" fillId="0" borderId="45" xfId="2" applyFont="1" applyBorder="1" applyAlignment="1" applyProtection="1">
      <alignment vertical="center" wrapText="1"/>
      <protection hidden="1"/>
    </xf>
    <xf numFmtId="0" fontId="28" fillId="0" borderId="45" xfId="2" applyFont="1" applyBorder="1" applyAlignment="1" applyProtection="1">
      <alignment horizontal="center" vertical="center"/>
      <protection hidden="1"/>
    </xf>
    <xf numFmtId="0" fontId="28" fillId="0" borderId="45" xfId="2" applyFont="1" applyBorder="1" applyAlignment="1" applyProtection="1">
      <alignment vertical="center"/>
      <protection hidden="1"/>
    </xf>
    <xf numFmtId="0" fontId="28" fillId="8" borderId="16" xfId="2" applyFont="1" applyFill="1" applyBorder="1" applyAlignment="1" applyProtection="1">
      <alignment horizontal="center" vertical="center"/>
      <protection locked="0"/>
    </xf>
    <xf numFmtId="0" fontId="30" fillId="0" borderId="16" xfId="2" applyFont="1" applyBorder="1" applyAlignment="1" applyProtection="1">
      <alignment horizontal="center" vertical="center" wrapText="1"/>
      <protection hidden="1"/>
    </xf>
    <xf numFmtId="0" fontId="29" fillId="0" borderId="52" xfId="2" applyFont="1" applyBorder="1" applyAlignment="1" applyProtection="1">
      <alignment horizontal="center" vertical="center" wrapText="1"/>
      <protection hidden="1"/>
    </xf>
    <xf numFmtId="0" fontId="29" fillId="0" borderId="53" xfId="2" applyFont="1" applyBorder="1" applyAlignment="1" applyProtection="1">
      <alignment horizontal="center" vertical="center" wrapText="1"/>
      <protection hidden="1"/>
    </xf>
    <xf numFmtId="0" fontId="29" fillId="0" borderId="54" xfId="2" applyFont="1" applyBorder="1" applyAlignment="1" applyProtection="1">
      <alignment horizontal="center" vertical="center" wrapText="1"/>
      <protection hidden="1"/>
    </xf>
    <xf numFmtId="0" fontId="29" fillId="0" borderId="56" xfId="2" applyFont="1" applyBorder="1" applyAlignment="1" applyProtection="1">
      <alignment horizontal="center" vertical="center" wrapText="1"/>
      <protection hidden="1"/>
    </xf>
    <xf numFmtId="0" fontId="29" fillId="0" borderId="57" xfId="2" applyFont="1" applyBorder="1" applyAlignment="1" applyProtection="1">
      <alignment horizontal="center" vertical="center" wrapText="1"/>
      <protection hidden="1"/>
    </xf>
    <xf numFmtId="0" fontId="29" fillId="0" borderId="58" xfId="2" applyFont="1" applyBorder="1" applyAlignment="1" applyProtection="1">
      <alignment horizontal="center" vertical="center" wrapText="1"/>
      <protection hidden="1"/>
    </xf>
    <xf numFmtId="0" fontId="29" fillId="0" borderId="60" xfId="2" applyFont="1" applyBorder="1" applyAlignment="1" applyProtection="1">
      <alignment horizontal="justify" vertical="center" wrapText="1"/>
      <protection hidden="1"/>
    </xf>
    <xf numFmtId="0" fontId="29" fillId="0" borderId="61" xfId="2" applyFont="1" applyBorder="1" applyAlignment="1" applyProtection="1">
      <alignment horizontal="justify" vertical="center" wrapText="1"/>
      <protection hidden="1"/>
    </xf>
    <xf numFmtId="0" fontId="29" fillId="0" borderId="62" xfId="2" applyFont="1" applyBorder="1" applyAlignment="1" applyProtection="1">
      <alignment horizontal="justify" vertical="center" wrapText="1"/>
      <protection hidden="1"/>
    </xf>
    <xf numFmtId="0" fontId="28" fillId="8" borderId="10" xfId="2" applyFont="1" applyFill="1" applyBorder="1" applyAlignment="1" applyProtection="1">
      <alignment horizontal="center" vertical="center"/>
      <protection locked="0"/>
    </xf>
    <xf numFmtId="0" fontId="33" fillId="0" borderId="1" xfId="3" applyFont="1" applyBorder="1" applyAlignment="1">
      <alignment horizontal="center" vertical="center" wrapText="1"/>
    </xf>
    <xf numFmtId="0" fontId="34" fillId="0" borderId="0" xfId="4" applyFont="1" applyAlignment="1">
      <alignment vertical="center"/>
    </xf>
    <xf numFmtId="0" fontId="29" fillId="0" borderId="0" xfId="4" applyFont="1" applyAlignment="1">
      <alignment vertical="center"/>
    </xf>
    <xf numFmtId="0" fontId="10" fillId="0" borderId="73" xfId="4" applyFont="1" applyBorder="1" applyAlignment="1">
      <alignment horizontal="center" vertical="center"/>
    </xf>
    <xf numFmtId="0" fontId="10" fillId="0" borderId="74" xfId="4" applyFont="1" applyBorder="1" applyAlignment="1">
      <alignment horizontal="center" vertical="center"/>
    </xf>
    <xf numFmtId="0" fontId="10" fillId="0" borderId="75" xfId="4" applyFont="1" applyBorder="1" applyAlignment="1">
      <alignment horizontal="center" vertical="center"/>
    </xf>
    <xf numFmtId="0" fontId="29" fillId="0" borderId="76" xfId="4" applyFont="1" applyBorder="1" applyAlignment="1">
      <alignment vertical="center"/>
    </xf>
    <xf numFmtId="0" fontId="10" fillId="0" borderId="81" xfId="4" applyFont="1" applyBorder="1" applyAlignment="1">
      <alignment horizontal="center" vertical="center"/>
    </xf>
    <xf numFmtId="0" fontId="29" fillId="0" borderId="82" xfId="4" applyFont="1" applyBorder="1" applyAlignment="1">
      <alignment vertical="center"/>
    </xf>
    <xf numFmtId="0" fontId="29" fillId="0" borderId="86" xfId="4" applyFont="1" applyBorder="1" applyAlignment="1">
      <alignment horizontal="center" vertical="center"/>
    </xf>
    <xf numFmtId="0" fontId="29" fillId="0" borderId="16" xfId="4" applyFont="1" applyBorder="1" applyAlignment="1">
      <alignment horizontal="center" vertical="center"/>
    </xf>
    <xf numFmtId="0" fontId="29" fillId="0" borderId="63" xfId="4" applyFont="1" applyBorder="1" applyAlignment="1">
      <alignment horizontal="center" vertical="center"/>
    </xf>
    <xf numFmtId="0" fontId="29" fillId="0" borderId="0" xfId="4" applyFont="1" applyAlignment="1">
      <alignment horizontal="center" vertical="center"/>
    </xf>
    <xf numFmtId="0" fontId="28" fillId="0" borderId="1" xfId="4" applyFont="1" applyBorder="1" applyAlignment="1">
      <alignment vertical="center" wrapText="1"/>
    </xf>
    <xf numFmtId="0" fontId="14" fillId="0" borderId="1" xfId="4" applyFont="1" applyBorder="1" applyAlignment="1">
      <alignment vertical="center"/>
    </xf>
    <xf numFmtId="0" fontId="14" fillId="0" borderId="5" xfId="4" applyFont="1" applyBorder="1" applyAlignment="1">
      <alignment vertical="center"/>
    </xf>
    <xf numFmtId="0" fontId="35" fillId="0" borderId="1" xfId="4" applyFont="1" applyBorder="1" applyAlignment="1">
      <alignment vertical="center"/>
    </xf>
    <xf numFmtId="0" fontId="35" fillId="0" borderId="1" xfId="4" applyFont="1" applyBorder="1" applyAlignment="1">
      <alignment horizontal="center" vertical="center"/>
    </xf>
    <xf numFmtId="0" fontId="14" fillId="0" borderId="1" xfId="4" applyFont="1" applyBorder="1" applyAlignment="1">
      <alignment horizontal="center" vertical="center"/>
    </xf>
    <xf numFmtId="0" fontId="14" fillId="0" borderId="5" xfId="4" applyFont="1" applyBorder="1" applyAlignment="1">
      <alignment horizontal="center" vertical="center"/>
    </xf>
    <xf numFmtId="0" fontId="28" fillId="0" borderId="0" xfId="4" applyFont="1" applyBorder="1" applyAlignment="1">
      <alignment vertical="center"/>
    </xf>
    <xf numFmtId="0" fontId="37" fillId="0" borderId="45" xfId="4" applyFont="1" applyBorder="1" applyAlignment="1">
      <alignment vertical="center"/>
    </xf>
    <xf numFmtId="0" fontId="41" fillId="0" borderId="0" xfId="4" applyNumberFormat="1" applyFont="1" applyAlignment="1">
      <alignment vertical="center"/>
    </xf>
    <xf numFmtId="0" fontId="41" fillId="0" borderId="0" xfId="4" quotePrefix="1" applyNumberFormat="1" applyFont="1" applyAlignment="1">
      <alignment horizontal="right" vertical="center"/>
    </xf>
    <xf numFmtId="0" fontId="14" fillId="0" borderId="29" xfId="5" quotePrefix="1" applyFont="1" applyBorder="1" applyAlignment="1">
      <alignment horizontal="center" vertical="center"/>
    </xf>
    <xf numFmtId="0" fontId="10" fillId="0" borderId="4" xfId="4" applyFont="1" applyBorder="1" applyAlignment="1">
      <alignment horizontal="center" vertical="center"/>
    </xf>
    <xf numFmtId="0" fontId="10" fillId="0" borderId="1" xfId="4" applyFont="1" applyBorder="1" applyAlignment="1">
      <alignment horizontal="center" vertical="center"/>
    </xf>
    <xf numFmtId="0" fontId="44" fillId="0" borderId="0" xfId="6" applyFont="1"/>
    <xf numFmtId="0" fontId="45" fillId="0" borderId="0" xfId="6" applyFont="1"/>
    <xf numFmtId="0" fontId="44" fillId="0" borderId="0" xfId="6" applyFont="1" applyAlignment="1">
      <alignment horizontal="center" vertical="center"/>
    </xf>
    <xf numFmtId="0" fontId="46" fillId="0" borderId="1" xfId="6" applyFont="1" applyBorder="1" applyAlignment="1">
      <alignment horizontal="distributed" vertical="center" justifyLastLine="1"/>
    </xf>
    <xf numFmtId="0" fontId="46" fillId="0" borderId="12" xfId="6" applyFont="1" applyBorder="1" applyAlignment="1">
      <alignment horizontal="center" vertical="center" wrapText="1" justifyLastLine="1"/>
    </xf>
    <xf numFmtId="0" fontId="46" fillId="0" borderId="18" xfId="6" applyFont="1" applyBorder="1" applyAlignment="1">
      <alignment horizontal="center" vertical="center" wrapText="1" justifyLastLine="1"/>
    </xf>
    <xf numFmtId="0" fontId="46" fillId="0" borderId="1" xfId="6" applyFont="1" applyBorder="1" applyAlignment="1">
      <alignment horizontal="center" vertical="center" wrapText="1" justifyLastLine="1"/>
    </xf>
    <xf numFmtId="0" fontId="46" fillId="0" borderId="0" xfId="6" applyFont="1" applyAlignment="1">
      <alignment horizontal="center" vertical="center" wrapText="1" justifyLastLine="1"/>
    </xf>
    <xf numFmtId="0" fontId="46" fillId="0" borderId="1" xfId="6" applyFont="1" applyBorder="1" applyAlignment="1">
      <alignment horizontal="center" vertical="center" wrapText="1"/>
    </xf>
    <xf numFmtId="0" fontId="46" fillId="0" borderId="1" xfId="6" applyFont="1" applyBorder="1"/>
    <xf numFmtId="0" fontId="46" fillId="0" borderId="14" xfId="6" applyFont="1" applyBorder="1" applyAlignment="1">
      <alignment horizontal="center"/>
    </xf>
    <xf numFmtId="0" fontId="46" fillId="0" borderId="0" xfId="6" applyFont="1" applyAlignment="1">
      <alignment vertical="center"/>
    </xf>
    <xf numFmtId="0" fontId="46" fillId="0" borderId="0" xfId="6" applyFont="1"/>
    <xf numFmtId="0" fontId="46" fillId="0" borderId="15" xfId="6" applyFont="1" applyBorder="1" applyAlignment="1">
      <alignment horizontal="center" vertical="center" wrapText="1"/>
    </xf>
    <xf numFmtId="0" fontId="46" fillId="0" borderId="12" xfId="6" applyFont="1" applyBorder="1" applyAlignment="1">
      <alignment horizontal="center" vertical="center"/>
    </xf>
    <xf numFmtId="0" fontId="46" fillId="7" borderId="1" xfId="6" applyFont="1" applyFill="1" applyBorder="1" applyAlignment="1">
      <alignment horizontal="center" vertical="center" wrapText="1"/>
    </xf>
    <xf numFmtId="0" fontId="46" fillId="0" borderId="1" xfId="6" applyFont="1" applyBorder="1" applyAlignment="1">
      <alignment vertical="center" wrapText="1"/>
    </xf>
    <xf numFmtId="0" fontId="46" fillId="0" borderId="22" xfId="6" applyFont="1" applyBorder="1" applyAlignment="1">
      <alignment vertical="center" wrapText="1"/>
    </xf>
    <xf numFmtId="0" fontId="46" fillId="0" borderId="12" xfId="6" applyFont="1" applyBorder="1" applyAlignment="1">
      <alignment vertical="center" wrapText="1"/>
    </xf>
    <xf numFmtId="0" fontId="46" fillId="0" borderId="16" xfId="6" applyFont="1" applyBorder="1" applyAlignment="1">
      <alignment vertical="center" wrapText="1"/>
    </xf>
    <xf numFmtId="0" fontId="46" fillId="0" borderId="0" xfId="6" applyFont="1" applyBorder="1"/>
    <xf numFmtId="0" fontId="46" fillId="0" borderId="0" xfId="6" applyFont="1" applyBorder="1" applyAlignment="1">
      <alignment vertical="center"/>
    </xf>
    <xf numFmtId="49" fontId="0" fillId="7" borderId="1" xfId="0" applyNumberFormat="1" applyFont="1" applyFill="1" applyBorder="1" applyAlignment="1">
      <alignment horizontal="center" vertical="center"/>
    </xf>
    <xf numFmtId="0" fontId="0" fillId="7" borderId="14" xfId="0" applyNumberFormat="1" applyFill="1" applyBorder="1" applyAlignment="1">
      <alignment horizontal="center" vertical="center"/>
    </xf>
    <xf numFmtId="49" fontId="8" fillId="7" borderId="1" xfId="0" applyNumberFormat="1" applyFont="1" applyFill="1" applyBorder="1" applyAlignment="1">
      <alignment horizontal="center" vertical="center"/>
    </xf>
    <xf numFmtId="49" fontId="48" fillId="7" borderId="1" xfId="0" applyNumberFormat="1" applyFont="1" applyFill="1" applyBorder="1" applyAlignment="1">
      <alignment horizontal="center" vertical="center"/>
    </xf>
    <xf numFmtId="49" fontId="8" fillId="7" borderId="12" xfId="0" applyNumberFormat="1" applyFont="1" applyFill="1" applyBorder="1" applyAlignment="1">
      <alignment horizontal="center" vertical="center"/>
    </xf>
    <xf numFmtId="49" fontId="0" fillId="7" borderId="12" xfId="0" applyNumberFormat="1" applyFont="1" applyFill="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applyFont="1" applyBorder="1" applyAlignment="1">
      <alignment horizontal="center" vertical="center"/>
    </xf>
    <xf numFmtId="0" fontId="0" fillId="0" borderId="1" xfId="0" applyNumberFormat="1" applyBorder="1" applyAlignment="1">
      <alignment horizontal="center" vertical="center"/>
    </xf>
    <xf numFmtId="168" fontId="0" fillId="0" borderId="1" xfId="0" applyNumberFormat="1" applyBorder="1" applyAlignment="1">
      <alignment horizontal="center" vertical="center"/>
    </xf>
    <xf numFmtId="0" fontId="35" fillId="0" borderId="1" xfId="4" applyFont="1" applyBorder="1" applyAlignment="1">
      <alignment horizontal="center" vertical="center"/>
    </xf>
    <xf numFmtId="49" fontId="49" fillId="7" borderId="1" xfId="0" applyNumberFormat="1" applyFont="1" applyFill="1" applyBorder="1" applyAlignment="1">
      <alignment horizontal="center" vertical="center"/>
    </xf>
    <xf numFmtId="1" fontId="0" fillId="7" borderId="12" xfId="0" applyNumberFormat="1" applyFill="1" applyBorder="1" applyAlignment="1">
      <alignment horizontal="center" vertical="center"/>
    </xf>
    <xf numFmtId="1" fontId="8" fillId="7" borderId="12" xfId="0" applyNumberFormat="1" applyFont="1" applyFill="1" applyBorder="1" applyAlignment="1">
      <alignment horizontal="center" vertical="center"/>
    </xf>
    <xf numFmtId="0" fontId="0" fillId="7" borderId="12" xfId="0" applyFont="1" applyFill="1" applyBorder="1" applyAlignment="1">
      <alignment horizontal="center" vertical="center"/>
    </xf>
    <xf numFmtId="49" fontId="48" fillId="7" borderId="12" xfId="0" applyNumberFormat="1" applyFont="1" applyFill="1" applyBorder="1" applyAlignment="1">
      <alignment horizontal="center" vertical="center"/>
    </xf>
    <xf numFmtId="1" fontId="3" fillId="0" borderId="0" xfId="1" applyNumberFormat="1"/>
    <xf numFmtId="49" fontId="50" fillId="7" borderId="1" xfId="0" applyNumberFormat="1" applyFont="1" applyFill="1" applyBorder="1" applyAlignment="1">
      <alignment horizontal="center" vertical="center"/>
    </xf>
    <xf numFmtId="165" fontId="0" fillId="0" borderId="1" xfId="0" applyNumberFormat="1" applyBorder="1" applyAlignment="1">
      <alignment horizontal="center" vertical="center"/>
    </xf>
    <xf numFmtId="49" fontId="50" fillId="7" borderId="12" xfId="0" applyNumberFormat="1" applyFont="1" applyFill="1" applyBorder="1" applyAlignment="1">
      <alignment horizontal="center" vertical="center"/>
    </xf>
    <xf numFmtId="0" fontId="0" fillId="7" borderId="0" xfId="0" applyFill="1"/>
    <xf numFmtId="0" fontId="51" fillId="7" borderId="12" xfId="0" applyFont="1" applyFill="1" applyBorder="1" applyAlignment="1">
      <alignment horizontal="center" vertical="center"/>
    </xf>
    <xf numFmtId="49" fontId="51" fillId="7" borderId="12" xfId="0" applyNumberFormat="1" applyFont="1" applyFill="1" applyBorder="1" applyAlignment="1">
      <alignment horizontal="center" vertical="center"/>
    </xf>
    <xf numFmtId="165" fontId="51" fillId="7" borderId="12" xfId="0" applyNumberFormat="1" applyFont="1" applyFill="1" applyBorder="1" applyAlignment="1">
      <alignment horizontal="center" vertical="center"/>
    </xf>
    <xf numFmtId="0" fontId="51" fillId="7" borderId="18" xfId="0" applyFont="1" applyFill="1" applyBorder="1" applyAlignment="1">
      <alignment horizontal="center" vertical="center"/>
    </xf>
    <xf numFmtId="0" fontId="51" fillId="7" borderId="0" xfId="0" applyFont="1" applyFill="1"/>
    <xf numFmtId="0" fontId="51" fillId="7" borderId="0" xfId="0" applyFont="1" applyFill="1" applyBorder="1" applyAlignment="1">
      <alignment horizontal="center" vertical="center"/>
    </xf>
    <xf numFmtId="0" fontId="51" fillId="7" borderId="1" xfId="0" applyFont="1" applyFill="1" applyBorder="1" applyAlignment="1">
      <alignment horizontal="center" vertical="center"/>
    </xf>
    <xf numFmtId="49" fontId="51" fillId="7" borderId="1" xfId="0" applyNumberFormat="1" applyFont="1" applyFill="1" applyBorder="1" applyAlignment="1">
      <alignment horizontal="center" vertical="center"/>
    </xf>
    <xf numFmtId="1" fontId="51" fillId="7" borderId="1" xfId="0" applyNumberFormat="1" applyFont="1" applyFill="1" applyBorder="1" applyAlignment="1">
      <alignment horizontal="center" vertical="center"/>
    </xf>
    <xf numFmtId="165" fontId="51" fillId="7" borderId="1" xfId="0" applyNumberFormat="1" applyFont="1" applyFill="1" applyBorder="1" applyAlignment="1">
      <alignment horizontal="center" vertical="center"/>
    </xf>
    <xf numFmtId="49" fontId="52" fillId="7" borderId="1" xfId="0" applyNumberFormat="1" applyFont="1" applyFill="1" applyBorder="1" applyAlignment="1">
      <alignment horizontal="center" vertical="center"/>
    </xf>
    <xf numFmtId="0" fontId="0" fillId="6" borderId="14" xfId="0" applyNumberFormat="1" applyFill="1" applyBorder="1" applyAlignment="1">
      <alignment horizontal="center" vertical="center"/>
    </xf>
    <xf numFmtId="0" fontId="0" fillId="6" borderId="1" xfId="0" applyFill="1" applyBorder="1" applyAlignment="1">
      <alignment horizontal="center" vertical="center"/>
    </xf>
    <xf numFmtId="49" fontId="0" fillId="6" borderId="1" xfId="0" applyNumberFormat="1" applyFill="1" applyBorder="1" applyAlignment="1">
      <alignment horizontal="center" vertical="center"/>
    </xf>
    <xf numFmtId="49" fontId="8" fillId="6" borderId="1" xfId="0" applyNumberFormat="1" applyFont="1" applyFill="1" applyBorder="1" applyAlignment="1">
      <alignment horizontal="center" vertical="center"/>
    </xf>
    <xf numFmtId="49" fontId="0" fillId="6" borderId="1" xfId="0" applyNumberFormat="1" applyFont="1" applyFill="1" applyBorder="1" applyAlignment="1">
      <alignment horizontal="center" vertical="center"/>
    </xf>
    <xf numFmtId="165" fontId="0" fillId="6" borderId="1" xfId="0" applyNumberFormat="1" applyFill="1" applyBorder="1" applyAlignment="1">
      <alignment horizontal="center" vertical="center"/>
    </xf>
    <xf numFmtId="0" fontId="0" fillId="6" borderId="13" xfId="0" applyFill="1" applyBorder="1" applyAlignment="1">
      <alignment horizontal="center" vertical="center"/>
    </xf>
    <xf numFmtId="0" fontId="0" fillId="6" borderId="0" xfId="0" applyFill="1" applyBorder="1" applyAlignment="1">
      <alignment horizontal="center" vertical="center"/>
    </xf>
    <xf numFmtId="0" fontId="0" fillId="0" borderId="14" xfId="0" applyNumberFormat="1" applyFill="1" applyBorder="1" applyAlignment="1">
      <alignment horizontal="center" vertical="center"/>
    </xf>
    <xf numFmtId="0" fontId="0" fillId="0" borderId="1" xfId="0" applyFill="1" applyBorder="1" applyAlignment="1">
      <alignment horizontal="center" vertical="center"/>
    </xf>
    <xf numFmtId="49" fontId="0" fillId="0" borderId="1" xfId="0" applyNumberFormat="1" applyFill="1" applyBorder="1" applyAlignment="1">
      <alignment horizontal="center" vertical="center"/>
    </xf>
    <xf numFmtId="49" fontId="8" fillId="0" borderId="1" xfId="0" applyNumberFormat="1" applyFont="1" applyFill="1" applyBorder="1" applyAlignment="1">
      <alignment horizontal="center" vertical="center"/>
    </xf>
    <xf numFmtId="49" fontId="0" fillId="0" borderId="1" xfId="0" applyNumberFormat="1" applyFont="1" applyFill="1" applyBorder="1" applyAlignment="1">
      <alignment horizontal="center" vertical="center"/>
    </xf>
    <xf numFmtId="165" fontId="0" fillId="0" borderId="1" xfId="0" applyNumberFormat="1" applyFill="1" applyBorder="1" applyAlignment="1">
      <alignment horizontal="center" vertical="center"/>
    </xf>
    <xf numFmtId="0" fontId="0" fillId="0" borderId="13" xfId="0" applyFill="1" applyBorder="1" applyAlignment="1">
      <alignment horizontal="center" vertical="center"/>
    </xf>
    <xf numFmtId="0" fontId="0" fillId="0" borderId="0" xfId="0" applyFill="1" applyBorder="1" applyAlignment="1">
      <alignment horizontal="center" vertical="center"/>
    </xf>
    <xf numFmtId="49" fontId="52" fillId="7" borderId="12" xfId="0" applyNumberFormat="1" applyFont="1" applyFill="1" applyBorder="1" applyAlignment="1">
      <alignment horizontal="center" vertical="center"/>
    </xf>
    <xf numFmtId="165" fontId="0" fillId="7" borderId="1" xfId="0" applyNumberFormat="1" applyFont="1" applyFill="1" applyBorder="1" applyAlignment="1">
      <alignment horizontal="center" vertical="center"/>
    </xf>
    <xf numFmtId="1" fontId="0" fillId="7" borderId="1" xfId="0" applyNumberFormat="1" applyFont="1" applyFill="1" applyBorder="1" applyAlignment="1">
      <alignment horizontal="center" vertical="center"/>
    </xf>
    <xf numFmtId="0" fontId="0" fillId="7" borderId="14" xfId="0" applyNumberFormat="1" applyFont="1" applyFill="1" applyBorder="1" applyAlignment="1">
      <alignment horizontal="center" vertical="center"/>
    </xf>
    <xf numFmtId="0" fontId="0" fillId="7" borderId="18" xfId="0" applyFont="1" applyFill="1" applyBorder="1" applyAlignment="1">
      <alignment horizontal="center" vertical="center"/>
    </xf>
    <xf numFmtId="0" fontId="0" fillId="7" borderId="0" xfId="0" applyFont="1" applyFill="1"/>
    <xf numFmtId="0" fontId="0" fillId="7" borderId="0" xfId="0" applyFont="1" applyFill="1" applyBorder="1" applyAlignment="1">
      <alignment horizontal="center" vertical="center"/>
    </xf>
    <xf numFmtId="0" fontId="51" fillId="7" borderId="14" xfId="0" applyNumberFormat="1" applyFont="1" applyFill="1" applyBorder="1" applyAlignment="1">
      <alignment horizontal="center" vertical="center"/>
    </xf>
    <xf numFmtId="1" fontId="51" fillId="7" borderId="12" xfId="0" applyNumberFormat="1" applyFont="1" applyFill="1" applyBorder="1" applyAlignment="1">
      <alignment horizontal="center" vertical="center"/>
    </xf>
    <xf numFmtId="0" fontId="51" fillId="7" borderId="13" xfId="0" applyFont="1" applyFill="1" applyBorder="1" applyAlignment="1">
      <alignment horizontal="center" vertical="center"/>
    </xf>
    <xf numFmtId="0" fontId="0" fillId="9" borderId="14" xfId="0" applyNumberFormat="1" applyFill="1" applyBorder="1" applyAlignment="1">
      <alignment horizontal="center" vertical="center"/>
    </xf>
    <xf numFmtId="0" fontId="0" fillId="9" borderId="1" xfId="0" applyFill="1" applyBorder="1" applyAlignment="1">
      <alignment horizontal="center" vertical="center"/>
    </xf>
    <xf numFmtId="49" fontId="0" fillId="9" borderId="1" xfId="0" applyNumberFormat="1" applyFill="1" applyBorder="1" applyAlignment="1">
      <alignment horizontal="center" vertical="center"/>
    </xf>
    <xf numFmtId="49" fontId="8" fillId="9" borderId="1" xfId="0" applyNumberFormat="1" applyFont="1" applyFill="1" applyBorder="1" applyAlignment="1">
      <alignment horizontal="center" vertical="center"/>
    </xf>
    <xf numFmtId="49" fontId="0" fillId="9" borderId="1" xfId="0" applyNumberFormat="1" applyFont="1" applyFill="1" applyBorder="1" applyAlignment="1">
      <alignment horizontal="center" vertical="center"/>
    </xf>
    <xf numFmtId="165" fontId="0" fillId="9" borderId="1" xfId="0" applyNumberFormat="1" applyFill="1" applyBorder="1" applyAlignment="1">
      <alignment horizontal="center" vertical="center"/>
    </xf>
    <xf numFmtId="0" fontId="0" fillId="9" borderId="13" xfId="0" applyFill="1" applyBorder="1" applyAlignment="1">
      <alignment horizontal="center" vertical="center"/>
    </xf>
    <xf numFmtId="0" fontId="0" fillId="9" borderId="0" xfId="0" applyFill="1" applyBorder="1" applyAlignment="1">
      <alignment horizontal="center" vertical="center"/>
    </xf>
    <xf numFmtId="0" fontId="1" fillId="3" borderId="1" xfId="0" applyFont="1" applyFill="1" applyBorder="1" applyAlignment="1">
      <alignment horizontal="center" vertical="center" wrapText="1"/>
    </xf>
    <xf numFmtId="166" fontId="1" fillId="3" borderId="1" xfId="0" applyNumberFormat="1"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167" fontId="1" fillId="3" borderId="1" xfId="0" applyNumberFormat="1" applyFont="1" applyFill="1" applyBorder="1" applyAlignment="1">
      <alignment horizontal="center" vertical="center" wrapText="1"/>
    </xf>
    <xf numFmtId="1" fontId="1" fillId="3" borderId="1" xfId="0" applyNumberFormat="1" applyFont="1" applyFill="1" applyBorder="1" applyAlignment="1">
      <alignment horizontal="center" vertical="center" wrapText="1"/>
    </xf>
    <xf numFmtId="168" fontId="0" fillId="0" borderId="12" xfId="0" applyNumberFormat="1" applyBorder="1" applyAlignment="1">
      <alignment horizontal="center" vertical="center"/>
    </xf>
    <xf numFmtId="49" fontId="0" fillId="7" borderId="1" xfId="0" applyNumberFormat="1" applyFill="1" applyBorder="1" applyAlignment="1" applyProtection="1">
      <alignment horizontal="center" vertical="center"/>
      <protection locked="0"/>
    </xf>
    <xf numFmtId="0" fontId="0" fillId="0" borderId="12" xfId="0" applyNumberFormat="1" applyBorder="1" applyAlignment="1">
      <alignment horizontal="center" vertical="center"/>
    </xf>
    <xf numFmtId="0" fontId="0" fillId="7" borderId="13" xfId="0" applyFont="1" applyFill="1" applyBorder="1" applyAlignment="1">
      <alignment horizontal="center" vertical="center"/>
    </xf>
    <xf numFmtId="0" fontId="6" fillId="0" borderId="2" xfId="1" applyFont="1" applyBorder="1" applyAlignment="1">
      <alignment horizontal="center" vertical="center" textRotation="90"/>
    </xf>
    <xf numFmtId="0" fontId="6" fillId="0" borderId="4" xfId="1" applyFont="1" applyBorder="1" applyAlignment="1">
      <alignment horizontal="center" vertical="center" textRotation="90"/>
    </xf>
    <xf numFmtId="0" fontId="6" fillId="0" borderId="8" xfId="1" applyFont="1" applyBorder="1" applyAlignment="1">
      <alignment horizontal="center" vertical="center" textRotation="90"/>
    </xf>
    <xf numFmtId="0" fontId="6" fillId="0" borderId="6" xfId="1" applyFont="1" applyBorder="1" applyAlignment="1">
      <alignment horizontal="center" vertical="center" textRotation="90"/>
    </xf>
    <xf numFmtId="0" fontId="10" fillId="0" borderId="27" xfId="2" applyFont="1" applyBorder="1" applyAlignment="1">
      <alignment horizontal="left" vertical="center" wrapText="1" indent="1"/>
    </xf>
    <xf numFmtId="0" fontId="10" fillId="0" borderId="28" xfId="2" applyFont="1" applyBorder="1" applyAlignment="1">
      <alignment horizontal="left" vertical="center" wrapText="1" indent="1"/>
    </xf>
    <xf numFmtId="0" fontId="11" fillId="0" borderId="28" xfId="2" applyFont="1" applyBorder="1" applyAlignment="1">
      <alignment horizontal="center" vertical="center"/>
    </xf>
    <xf numFmtId="0" fontId="12" fillId="0" borderId="28" xfId="2" applyFont="1" applyBorder="1" applyAlignment="1">
      <alignment horizontal="center" vertical="center"/>
    </xf>
    <xf numFmtId="0" fontId="13" fillId="0" borderId="29" xfId="2" applyFont="1" applyBorder="1" applyAlignment="1">
      <alignment horizontal="left" vertical="center"/>
    </xf>
    <xf numFmtId="0" fontId="13" fillId="0" borderId="30" xfId="2" applyFont="1" applyBorder="1" applyAlignment="1">
      <alignment horizontal="left" vertical="center"/>
    </xf>
    <xf numFmtId="0" fontId="10" fillId="0" borderId="2" xfId="2" applyFont="1" applyBorder="1" applyAlignment="1">
      <alignment horizontal="center" vertical="center"/>
    </xf>
    <xf numFmtId="0" fontId="10" fillId="0" borderId="4" xfId="2" applyFont="1" applyBorder="1" applyAlignment="1">
      <alignment horizontal="center" vertical="center"/>
    </xf>
    <xf numFmtId="0" fontId="15" fillId="0" borderId="31" xfId="2" applyFont="1" applyBorder="1" applyAlignment="1">
      <alignment horizontal="center" vertical="center" wrapText="1" justifyLastLine="1"/>
    </xf>
    <xf numFmtId="0" fontId="15" fillId="0" borderId="14" xfId="2" applyFont="1" applyBorder="1" applyAlignment="1">
      <alignment horizontal="center" vertical="center" justifyLastLine="1"/>
    </xf>
    <xf numFmtId="0" fontId="15" fillId="0" borderId="10" xfId="2" applyFont="1" applyBorder="1" applyAlignment="1">
      <alignment horizontal="center" vertical="center" wrapText="1" justifyLastLine="1"/>
    </xf>
    <xf numFmtId="0" fontId="15" fillId="0" borderId="1" xfId="2" applyFont="1" applyBorder="1" applyAlignment="1">
      <alignment horizontal="center" vertical="center" justifyLastLine="1"/>
    </xf>
    <xf numFmtId="0" fontId="15" fillId="0" borderId="32" xfId="2" applyFont="1" applyBorder="1" applyAlignment="1">
      <alignment horizontal="center" vertical="center" wrapText="1" justifyLastLine="1"/>
    </xf>
    <xf numFmtId="0" fontId="15" fillId="0" borderId="30" xfId="2" applyFont="1" applyBorder="1" applyAlignment="1">
      <alignment horizontal="center" vertical="center" wrapText="1" justifyLastLine="1"/>
    </xf>
    <xf numFmtId="0" fontId="15" fillId="0" borderId="17" xfId="2" applyFont="1" applyBorder="1" applyAlignment="1">
      <alignment horizontal="center" vertical="center" wrapText="1" justifyLastLine="1"/>
    </xf>
    <xf numFmtId="0" fontId="15" fillId="0" borderId="33" xfId="2" applyFont="1" applyBorder="1" applyAlignment="1">
      <alignment horizontal="center" vertical="center" wrapText="1" justifyLastLine="1"/>
    </xf>
    <xf numFmtId="0" fontId="14" fillId="0" borderId="8" xfId="2" applyFont="1" applyBorder="1" applyAlignment="1">
      <alignment horizontal="center" vertical="center"/>
    </xf>
    <xf numFmtId="0" fontId="14" fillId="0" borderId="36" xfId="2" applyFont="1" applyBorder="1" applyAlignment="1">
      <alignment horizontal="center" vertical="center"/>
    </xf>
    <xf numFmtId="0" fontId="14" fillId="0" borderId="12" xfId="2" applyFont="1" applyBorder="1" applyAlignment="1">
      <alignment horizontal="center" vertical="center"/>
    </xf>
    <xf numFmtId="0" fontId="14" fillId="0" borderId="16" xfId="2" applyFont="1" applyBorder="1" applyAlignment="1">
      <alignment horizontal="center" vertical="center"/>
    </xf>
    <xf numFmtId="0" fontId="14" fillId="0" borderId="18" xfId="2" applyFont="1" applyBorder="1" applyAlignment="1">
      <alignment horizontal="center" vertical="center"/>
    </xf>
    <xf numFmtId="0" fontId="14" fillId="0" borderId="35" xfId="2" applyFont="1" applyBorder="1" applyAlignment="1">
      <alignment horizontal="center" vertical="center"/>
    </xf>
    <xf numFmtId="0" fontId="14" fillId="0" borderId="19" xfId="2" applyFont="1" applyBorder="1" applyAlignment="1">
      <alignment horizontal="center" vertical="center"/>
    </xf>
    <xf numFmtId="0" fontId="14" fillId="0" borderId="38" xfId="2" applyFont="1" applyBorder="1" applyAlignment="1">
      <alignment horizontal="center" vertical="center"/>
    </xf>
    <xf numFmtId="0" fontId="14" fillId="0" borderId="12" xfId="2" applyFont="1" applyBorder="1" applyAlignment="1">
      <alignment horizontal="left" vertical="center"/>
    </xf>
    <xf numFmtId="0" fontId="14" fillId="0" borderId="16" xfId="2" applyFont="1" applyBorder="1" applyAlignment="1">
      <alignment horizontal="left" vertical="center"/>
    </xf>
    <xf numFmtId="0" fontId="10" fillId="0" borderId="27" xfId="2" applyFont="1" applyBorder="1" applyAlignment="1">
      <alignment horizontal="left" vertical="center" wrapText="1"/>
    </xf>
    <xf numFmtId="0" fontId="10" fillId="0" borderId="28" xfId="2" applyFont="1" applyBorder="1" applyAlignment="1">
      <alignment horizontal="left" vertical="center"/>
    </xf>
    <xf numFmtId="0" fontId="10" fillId="0" borderId="41" xfId="2" applyFont="1" applyBorder="1" applyAlignment="1">
      <alignment horizontal="left" vertical="center"/>
    </xf>
    <xf numFmtId="0" fontId="10" fillId="0" borderId="28" xfId="2" applyFont="1" applyBorder="1" applyAlignment="1">
      <alignment horizontal="left" vertical="center" wrapText="1"/>
    </xf>
    <xf numFmtId="0" fontId="10" fillId="0" borderId="42" xfId="2" applyFont="1" applyBorder="1" applyAlignment="1">
      <alignment horizontal="left" vertical="center" wrapText="1"/>
    </xf>
    <xf numFmtId="0" fontId="14" fillId="0" borderId="39" xfId="2" applyFont="1" applyBorder="1" applyAlignment="1">
      <alignment horizontal="center" vertical="center"/>
    </xf>
    <xf numFmtId="0" fontId="14" fillId="0" borderId="40" xfId="2" applyFont="1" applyBorder="1" applyAlignment="1">
      <alignment horizontal="center" vertical="center"/>
    </xf>
    <xf numFmtId="0" fontId="19" fillId="0" borderId="0" xfId="3" applyFont="1" applyAlignment="1">
      <alignment horizontal="center" vertical="center" wrapText="1"/>
    </xf>
    <xf numFmtId="0" fontId="20" fillId="0" borderId="0" xfId="3" applyFont="1" applyAlignment="1">
      <alignment horizontal="center" vertical="center" wrapText="1"/>
    </xf>
    <xf numFmtId="0" fontId="21" fillId="0" borderId="0" xfId="3" applyFont="1" applyAlignment="1">
      <alignment horizontal="left" vertical="center" wrapText="1"/>
    </xf>
    <xf numFmtId="0" fontId="28" fillId="0" borderId="0" xfId="2" applyFont="1" applyBorder="1" applyAlignment="1" applyProtection="1">
      <alignment horizontal="center" vertical="center" wrapText="1"/>
      <protection hidden="1"/>
    </xf>
    <xf numFmtId="0" fontId="28" fillId="0" borderId="19" xfId="2" applyFont="1" applyBorder="1" applyAlignment="1" applyProtection="1">
      <alignment horizontal="left" vertical="center" wrapText="1"/>
      <protection hidden="1"/>
    </xf>
    <xf numFmtId="0" fontId="28" fillId="0" borderId="0" xfId="2" applyFont="1" applyBorder="1" applyAlignment="1" applyProtection="1">
      <alignment horizontal="left" vertical="center" wrapText="1"/>
      <protection hidden="1"/>
    </xf>
    <xf numFmtId="0" fontId="28" fillId="0" borderId="20" xfId="2" applyFont="1" applyBorder="1" applyAlignment="1" applyProtection="1">
      <alignment horizontal="left" vertical="center" wrapText="1"/>
      <protection hidden="1"/>
    </xf>
    <xf numFmtId="0" fontId="28" fillId="0" borderId="19" xfId="2" applyFont="1" applyBorder="1" applyAlignment="1" applyProtection="1">
      <alignment horizontal="center" vertical="center"/>
      <protection hidden="1"/>
    </xf>
    <xf numFmtId="0" fontId="28" fillId="0" borderId="0" xfId="2" applyFont="1" applyBorder="1" applyAlignment="1" applyProtection="1">
      <alignment horizontal="center" vertical="center"/>
      <protection hidden="1"/>
    </xf>
    <xf numFmtId="0" fontId="23" fillId="0" borderId="0" xfId="2" applyFont="1" applyAlignment="1" applyProtection="1">
      <alignment horizontal="center" vertical="center" wrapText="1"/>
      <protection hidden="1"/>
    </xf>
    <xf numFmtId="0" fontId="25" fillId="0" borderId="0" xfId="2" applyFont="1" applyAlignment="1" applyProtection="1">
      <alignment horizontal="center" vertical="center"/>
      <protection hidden="1"/>
    </xf>
    <xf numFmtId="0" fontId="28" fillId="0" borderId="0" xfId="2" applyFont="1" applyAlignment="1" applyProtection="1">
      <alignment horizontal="left" vertical="center" wrapText="1"/>
      <protection hidden="1"/>
    </xf>
    <xf numFmtId="0" fontId="28" fillId="0" borderId="0" xfId="2" applyFont="1" applyAlignment="1" applyProtection="1">
      <alignment horizontal="left" vertical="center"/>
      <protection hidden="1"/>
    </xf>
    <xf numFmtId="0" fontId="28" fillId="0" borderId="0" xfId="2" applyFont="1" applyAlignment="1" applyProtection="1">
      <alignment horizontal="center" vertical="center"/>
      <protection hidden="1"/>
    </xf>
    <xf numFmtId="0" fontId="28" fillId="0" borderId="0" xfId="2" applyFont="1" applyBorder="1" applyAlignment="1" applyProtection="1">
      <alignment vertical="center" wrapText="1"/>
      <protection hidden="1"/>
    </xf>
    <xf numFmtId="0" fontId="28" fillId="0" borderId="20" xfId="2" applyFont="1" applyBorder="1" applyAlignment="1" applyProtection="1">
      <alignment vertical="center" wrapText="1"/>
      <protection hidden="1"/>
    </xf>
    <xf numFmtId="0" fontId="28" fillId="0" borderId="19" xfId="2" applyFont="1" applyBorder="1" applyAlignment="1" applyProtection="1">
      <alignment horizontal="center" vertical="center" wrapText="1"/>
      <protection hidden="1"/>
    </xf>
    <xf numFmtId="0" fontId="28" fillId="0" borderId="20" xfId="2" applyFont="1" applyBorder="1" applyAlignment="1" applyProtection="1">
      <alignment horizontal="center" vertical="center" wrapText="1"/>
      <protection hidden="1"/>
    </xf>
    <xf numFmtId="0" fontId="28" fillId="0" borderId="36" xfId="2" applyFont="1" applyBorder="1" applyAlignment="1" applyProtection="1">
      <alignment horizontal="center" vertical="center" wrapText="1"/>
      <protection hidden="1"/>
    </xf>
    <xf numFmtId="0" fontId="28" fillId="0" borderId="16" xfId="2" applyFont="1" applyBorder="1" applyAlignment="1" applyProtection="1">
      <alignment horizontal="center" vertical="center" wrapText="1"/>
      <protection hidden="1"/>
    </xf>
    <xf numFmtId="0" fontId="28" fillId="0" borderId="17" xfId="2" applyFont="1" applyBorder="1" applyAlignment="1" applyProtection="1">
      <alignment horizontal="center" vertical="center" wrapText="1"/>
      <protection hidden="1"/>
    </xf>
    <xf numFmtId="0" fontId="28" fillId="0" borderId="15" xfId="2" applyFont="1" applyBorder="1" applyAlignment="1" applyProtection="1">
      <alignment horizontal="center" vertical="center" wrapText="1"/>
      <protection hidden="1"/>
    </xf>
    <xf numFmtId="0" fontId="28" fillId="0" borderId="46" xfId="2" applyFont="1" applyBorder="1" applyAlignment="1" applyProtection="1">
      <alignment horizontal="center" vertical="center" wrapText="1"/>
      <protection hidden="1"/>
    </xf>
    <xf numFmtId="0" fontId="28" fillId="0" borderId="47" xfId="2" applyFont="1" applyBorder="1" applyAlignment="1" applyProtection="1">
      <alignment horizontal="center" vertical="center" wrapText="1"/>
      <protection hidden="1"/>
    </xf>
    <xf numFmtId="0" fontId="28" fillId="0" borderId="31" xfId="2" applyFont="1" applyBorder="1" applyAlignment="1" applyProtection="1">
      <alignment horizontal="center" vertical="center" wrapText="1"/>
      <protection hidden="1"/>
    </xf>
    <xf numFmtId="0" fontId="29" fillId="0" borderId="46" xfId="2" applyFont="1" applyBorder="1" applyAlignment="1" applyProtection="1">
      <alignment horizontal="center" vertical="center"/>
      <protection hidden="1"/>
    </xf>
    <xf numFmtId="0" fontId="29" fillId="0" borderId="48" xfId="2" applyFont="1" applyBorder="1" applyAlignment="1" applyProtection="1">
      <alignment horizontal="center" vertical="center"/>
      <protection hidden="1"/>
    </xf>
    <xf numFmtId="0" fontId="29" fillId="0" borderId="49" xfId="2" applyFont="1" applyBorder="1" applyAlignment="1" applyProtection="1">
      <alignment horizontal="center" vertical="center" wrapText="1" justifyLastLine="1"/>
      <protection hidden="1"/>
    </xf>
    <xf numFmtId="0" fontId="29" fillId="0" borderId="33" xfId="2" applyFont="1" applyBorder="1" applyAlignment="1" applyProtection="1">
      <alignment horizontal="center" vertical="center" wrapText="1" justifyLastLine="1"/>
      <protection hidden="1"/>
    </xf>
    <xf numFmtId="0" fontId="29" fillId="0" borderId="47" xfId="2" applyFont="1" applyBorder="1" applyAlignment="1" applyProtection="1">
      <alignment horizontal="center" vertical="center" wrapText="1" justifyLastLine="1"/>
      <protection hidden="1"/>
    </xf>
    <xf numFmtId="0" fontId="29" fillId="0" borderId="48" xfId="2" applyFont="1" applyBorder="1" applyAlignment="1" applyProtection="1">
      <alignment horizontal="center" vertical="center" wrapText="1" justifyLastLine="1"/>
      <protection hidden="1"/>
    </xf>
    <xf numFmtId="0" fontId="28" fillId="0" borderId="50" xfId="2" applyFont="1" applyBorder="1" applyAlignment="1" applyProtection="1">
      <alignment horizontal="left" vertical="top" wrapText="1"/>
      <protection hidden="1"/>
    </xf>
    <xf numFmtId="0" fontId="28" fillId="0" borderId="51" xfId="2" applyFont="1" applyBorder="1" applyAlignment="1" applyProtection="1">
      <alignment horizontal="left" vertical="top" wrapText="1"/>
      <protection hidden="1"/>
    </xf>
    <xf numFmtId="0" fontId="28" fillId="0" borderId="35" xfId="2" applyFont="1" applyBorder="1" applyAlignment="1" applyProtection="1">
      <alignment horizontal="left" vertical="top" wrapText="1"/>
      <protection hidden="1"/>
    </xf>
    <xf numFmtId="0" fontId="28" fillId="0" borderId="55" xfId="2" applyFont="1" applyBorder="1" applyAlignment="1" applyProtection="1">
      <alignment horizontal="left" vertical="top" wrapText="1"/>
      <protection hidden="1"/>
    </xf>
    <xf numFmtId="0" fontId="28" fillId="0" borderId="0" xfId="2" applyFont="1" applyBorder="1" applyAlignment="1" applyProtection="1">
      <alignment horizontal="left" vertical="top" wrapText="1"/>
      <protection hidden="1"/>
    </xf>
    <xf numFmtId="0" fontId="28" fillId="0" borderId="38" xfId="2" applyFont="1" applyBorder="1" applyAlignment="1" applyProtection="1">
      <alignment horizontal="left" vertical="top" wrapText="1"/>
      <protection hidden="1"/>
    </xf>
    <xf numFmtId="0" fontId="28" fillId="0" borderId="59" xfId="2" applyFont="1" applyBorder="1" applyAlignment="1" applyProtection="1">
      <alignment horizontal="left" vertical="top" wrapText="1"/>
      <protection hidden="1"/>
    </xf>
    <xf numFmtId="0" fontId="28" fillId="0" borderId="45" xfId="2" applyFont="1" applyBorder="1" applyAlignment="1" applyProtection="1">
      <alignment horizontal="left" vertical="top" wrapText="1"/>
      <protection hidden="1"/>
    </xf>
    <xf numFmtId="0" fontId="28" fillId="0" borderId="40" xfId="2" applyFont="1" applyBorder="1" applyAlignment="1" applyProtection="1">
      <alignment horizontal="left" vertical="top" wrapText="1"/>
      <protection hidden="1"/>
    </xf>
    <xf numFmtId="0" fontId="28" fillId="0" borderId="2" xfId="2" applyFont="1" applyBorder="1" applyAlignment="1" applyProtection="1">
      <alignment horizontal="center" vertical="center" wrapText="1"/>
      <protection hidden="1"/>
    </xf>
    <xf numFmtId="0" fontId="28" fillId="0" borderId="10" xfId="2" applyFont="1" applyBorder="1" applyAlignment="1" applyProtection="1">
      <alignment horizontal="center" vertical="center" wrapText="1"/>
      <protection hidden="1"/>
    </xf>
    <xf numFmtId="0" fontId="29" fillId="0" borderId="67" xfId="2" applyFont="1" applyBorder="1" applyAlignment="1" applyProtection="1">
      <alignment horizontal="distributed" vertical="center" justifyLastLine="1"/>
      <protection hidden="1"/>
    </xf>
    <xf numFmtId="0" fontId="29" fillId="0" borderId="68" xfId="2" applyFont="1" applyBorder="1" applyAlignment="1" applyProtection="1">
      <alignment horizontal="distributed" vertical="center" justifyLastLine="1"/>
      <protection hidden="1"/>
    </xf>
    <xf numFmtId="0" fontId="29" fillId="0" borderId="69" xfId="2" applyFont="1" applyBorder="1" applyAlignment="1" applyProtection="1">
      <alignment horizontal="distributed" vertical="center" justifyLastLine="1"/>
      <protection hidden="1"/>
    </xf>
    <xf numFmtId="0" fontId="28" fillId="0" borderId="20" xfId="2" applyFont="1" applyBorder="1" applyAlignment="1" applyProtection="1">
      <alignment horizontal="left" vertical="top" wrapText="1"/>
      <protection hidden="1"/>
    </xf>
    <xf numFmtId="0" fontId="28" fillId="0" borderId="65" xfId="2" applyFont="1" applyBorder="1" applyAlignment="1" applyProtection="1">
      <alignment horizontal="left" vertical="top" wrapText="1"/>
      <protection hidden="1"/>
    </xf>
    <xf numFmtId="0" fontId="32" fillId="0" borderId="17" xfId="2" applyFont="1" applyBorder="1" applyAlignment="1" applyProtection="1">
      <alignment horizontal="center" vertical="center" wrapText="1"/>
      <protection hidden="1"/>
    </xf>
    <xf numFmtId="0" fontId="32" fillId="0" borderId="15" xfId="2" applyFont="1" applyBorder="1" applyAlignment="1" applyProtection="1">
      <alignment horizontal="center" vertical="center" wrapText="1"/>
      <protection hidden="1"/>
    </xf>
    <xf numFmtId="0" fontId="32" fillId="0" borderId="16" xfId="2" applyFont="1" applyBorder="1" applyAlignment="1" applyProtection="1">
      <alignment horizontal="center" vertical="center" wrapText="1"/>
      <protection hidden="1"/>
    </xf>
    <xf numFmtId="0" fontId="32" fillId="0" borderId="63" xfId="2" applyFont="1" applyBorder="1" applyAlignment="1" applyProtection="1">
      <alignment horizontal="center" vertical="center" wrapText="1"/>
      <protection hidden="1"/>
    </xf>
    <xf numFmtId="0" fontId="29" fillId="0" borderId="12" xfId="2" applyFont="1" applyBorder="1" applyAlignment="1" applyProtection="1">
      <alignment horizontal="center" vertical="center" textRotation="180" justifyLastLine="1"/>
      <protection hidden="1"/>
    </xf>
    <xf numFmtId="0" fontId="29" fillId="0" borderId="66" xfId="2" applyFont="1" applyBorder="1" applyAlignment="1" applyProtection="1">
      <alignment horizontal="center" vertical="center" textRotation="180" justifyLastLine="1"/>
      <protection hidden="1"/>
    </xf>
    <xf numFmtId="0" fontId="30" fillId="0" borderId="13" xfId="2" applyFont="1" applyBorder="1" applyAlignment="1" applyProtection="1">
      <alignment horizontal="center" vertical="center" wrapText="1" justifyLastLine="1"/>
      <protection hidden="1"/>
    </xf>
    <xf numFmtId="0" fontId="30" fillId="0" borderId="44" xfId="2" applyFont="1" applyBorder="1" applyAlignment="1" applyProtection="1">
      <alignment horizontal="center" vertical="center" justifyLastLine="1"/>
      <protection hidden="1"/>
    </xf>
    <xf numFmtId="0" fontId="30" fillId="0" borderId="14" xfId="2" applyFont="1" applyBorder="1" applyAlignment="1" applyProtection="1">
      <alignment horizontal="center" vertical="center" justifyLastLine="1"/>
      <protection hidden="1"/>
    </xf>
    <xf numFmtId="0" fontId="30" fillId="0" borderId="64" xfId="2" applyFont="1" applyBorder="1" applyAlignment="1" applyProtection="1">
      <alignment horizontal="center" vertical="center" justifyLastLine="1"/>
      <protection hidden="1"/>
    </xf>
    <xf numFmtId="0" fontId="29" fillId="0" borderId="11" xfId="2" applyFont="1" applyBorder="1" applyAlignment="1" applyProtection="1">
      <alignment horizontal="distributed" vertical="center" justifyLastLine="1"/>
      <protection hidden="1"/>
    </xf>
    <xf numFmtId="0" fontId="28" fillId="0" borderId="59" xfId="4" applyFont="1" applyBorder="1" applyAlignment="1">
      <alignment horizontal="right" vertical="center" wrapText="1"/>
    </xf>
    <xf numFmtId="0" fontId="28" fillId="0" borderId="45" xfId="4" applyFont="1" applyBorder="1" applyAlignment="1">
      <alignment horizontal="right" vertical="center" wrapText="1"/>
    </xf>
    <xf numFmtId="0" fontId="37" fillId="0" borderId="45" xfId="4" applyFont="1" applyBorder="1" applyAlignment="1">
      <alignment horizontal="center" vertical="center"/>
    </xf>
    <xf numFmtId="0" fontId="37" fillId="0" borderId="40" xfId="4" applyFont="1" applyBorder="1" applyAlignment="1">
      <alignment horizontal="center" vertical="center"/>
    </xf>
    <xf numFmtId="0" fontId="28" fillId="0" borderId="55" xfId="4" applyFont="1" applyBorder="1" applyAlignment="1">
      <alignment horizontal="right" vertical="center" wrapText="1"/>
    </xf>
    <xf numFmtId="0" fontId="28" fillId="0" borderId="0" xfId="4" applyFont="1" applyBorder="1" applyAlignment="1">
      <alignment horizontal="right" vertical="center" wrapText="1"/>
    </xf>
    <xf numFmtId="0" fontId="32" fillId="0" borderId="0" xfId="4" applyFont="1" applyBorder="1" applyAlignment="1">
      <alignment horizontal="left" vertical="center"/>
    </xf>
    <xf numFmtId="0" fontId="32" fillId="0" borderId="38" xfId="4" applyFont="1" applyBorder="1" applyAlignment="1">
      <alignment horizontal="left" vertical="center"/>
    </xf>
    <xf numFmtId="0" fontId="28" fillId="0" borderId="0" xfId="4" applyFont="1" applyBorder="1" applyAlignment="1">
      <alignment horizontal="center" vertical="center"/>
    </xf>
    <xf numFmtId="0" fontId="28" fillId="0" borderId="38" xfId="4" applyFont="1" applyBorder="1" applyAlignment="1">
      <alignment horizontal="center" vertical="center"/>
    </xf>
    <xf numFmtId="0" fontId="28" fillId="7" borderId="83" xfId="4" applyNumberFormat="1" applyFont="1" applyFill="1" applyBorder="1" applyAlignment="1">
      <alignment horizontal="center" vertical="center"/>
    </xf>
    <xf numFmtId="0" fontId="28" fillId="7" borderId="84" xfId="4" applyNumberFormat="1" applyFont="1" applyFill="1" applyBorder="1" applyAlignment="1">
      <alignment horizontal="center" vertical="center"/>
    </xf>
    <xf numFmtId="0" fontId="28" fillId="7" borderId="85" xfId="4" applyNumberFormat="1" applyFont="1" applyFill="1" applyBorder="1" applyAlignment="1">
      <alignment horizontal="center" vertical="center"/>
    </xf>
    <xf numFmtId="0" fontId="10" fillId="0" borderId="4" xfId="4" applyFont="1" applyBorder="1" applyAlignment="1">
      <alignment horizontal="center" vertical="center" wrapText="1"/>
    </xf>
    <xf numFmtId="0" fontId="10" fillId="0" borderId="1" xfId="4" applyFont="1" applyBorder="1" applyAlignment="1">
      <alignment horizontal="center" vertical="center" wrapText="1"/>
    </xf>
    <xf numFmtId="0" fontId="10" fillId="0" borderId="1" xfId="4" applyFont="1" applyBorder="1" applyAlignment="1">
      <alignment horizontal="center" vertical="center"/>
    </xf>
    <xf numFmtId="0" fontId="28" fillId="0" borderId="50" xfId="4" applyFont="1" applyBorder="1" applyAlignment="1">
      <alignment horizontal="right" vertical="center" wrapText="1"/>
    </xf>
    <xf numFmtId="0" fontId="28" fillId="0" borderId="51" xfId="4" applyFont="1" applyBorder="1" applyAlignment="1">
      <alignment horizontal="right" vertical="center" wrapText="1"/>
    </xf>
    <xf numFmtId="0" fontId="28" fillId="0" borderId="51" xfId="4" applyFont="1" applyBorder="1" applyAlignment="1">
      <alignment horizontal="left" vertical="center"/>
    </xf>
    <xf numFmtId="0" fontId="28" fillId="0" borderId="35" xfId="4" applyFont="1" applyBorder="1" applyAlignment="1">
      <alignment horizontal="left" vertical="center"/>
    </xf>
    <xf numFmtId="0" fontId="28" fillId="7" borderId="8" xfId="4" applyNumberFormat="1" applyFont="1" applyFill="1" applyBorder="1" applyAlignment="1">
      <alignment horizontal="center" vertical="center"/>
    </xf>
    <xf numFmtId="0" fontId="28" fillId="7" borderId="36" xfId="4" applyNumberFormat="1" applyFont="1" applyFill="1" applyBorder="1" applyAlignment="1">
      <alignment horizontal="center" vertical="center"/>
    </xf>
    <xf numFmtId="49" fontId="28" fillId="7" borderId="18" xfId="4" applyNumberFormat="1" applyFont="1" applyFill="1" applyBorder="1" applyAlignment="1">
      <alignment horizontal="center" wrapText="1"/>
    </xf>
    <xf numFmtId="49" fontId="28" fillId="7" borderId="51" xfId="4" applyNumberFormat="1" applyFont="1" applyFill="1" applyBorder="1" applyAlignment="1">
      <alignment horizontal="center" wrapText="1"/>
    </xf>
    <xf numFmtId="49" fontId="28" fillId="7" borderId="77" xfId="4" applyNumberFormat="1" applyFont="1" applyFill="1" applyBorder="1" applyAlignment="1">
      <alignment horizontal="center" wrapText="1"/>
    </xf>
    <xf numFmtId="49" fontId="28" fillId="7" borderId="18" xfId="4" applyNumberFormat="1" applyFont="1" applyFill="1" applyBorder="1" applyAlignment="1">
      <alignment horizontal="center" vertical="center" wrapText="1"/>
    </xf>
    <xf numFmtId="49" fontId="28" fillId="7" borderId="51" xfId="4" applyNumberFormat="1" applyFont="1" applyFill="1" applyBorder="1" applyAlignment="1">
      <alignment horizontal="center" vertical="center" wrapText="1"/>
    </xf>
    <xf numFmtId="49" fontId="28" fillId="7" borderId="77" xfId="4" applyNumberFormat="1" applyFont="1" applyFill="1" applyBorder="1" applyAlignment="1">
      <alignment horizontal="center" vertical="center" wrapText="1"/>
    </xf>
    <xf numFmtId="49" fontId="28" fillId="7" borderId="17" xfId="4" applyNumberFormat="1" applyFont="1" applyFill="1" applyBorder="1" applyAlignment="1">
      <alignment horizontal="center" vertical="top"/>
    </xf>
    <xf numFmtId="49" fontId="28" fillId="7" borderId="49" xfId="4" applyNumberFormat="1" applyFont="1" applyFill="1" applyBorder="1" applyAlignment="1">
      <alignment horizontal="center" vertical="top"/>
    </xf>
    <xf numFmtId="49" fontId="28" fillId="7" borderId="15" xfId="4" applyNumberFormat="1" applyFont="1" applyFill="1" applyBorder="1" applyAlignment="1">
      <alignment horizontal="center" vertical="top"/>
    </xf>
    <xf numFmtId="49" fontId="28" fillId="7" borderId="17" xfId="4" applyNumberFormat="1" applyFont="1" applyFill="1" applyBorder="1" applyAlignment="1">
      <alignment horizontal="center" vertical="center"/>
    </xf>
    <xf numFmtId="49" fontId="28" fillId="7" borderId="49" xfId="4" applyNumberFormat="1" applyFont="1" applyFill="1" applyBorder="1" applyAlignment="1">
      <alignment horizontal="center" vertical="center"/>
    </xf>
    <xf numFmtId="49" fontId="28" fillId="7" borderId="15" xfId="4" applyNumberFormat="1" applyFont="1" applyFill="1" applyBorder="1" applyAlignment="1">
      <alignment horizontal="center" vertical="center"/>
    </xf>
    <xf numFmtId="49" fontId="28" fillId="7" borderId="78" xfId="4" applyNumberFormat="1" applyFont="1" applyFill="1" applyBorder="1" applyAlignment="1">
      <alignment horizontal="center" vertical="top" wrapText="1"/>
    </xf>
    <xf numFmtId="49" fontId="28" fillId="7" borderId="79" xfId="4" applyNumberFormat="1" applyFont="1" applyFill="1" applyBorder="1" applyAlignment="1">
      <alignment horizontal="center" vertical="top" wrapText="1"/>
    </xf>
    <xf numFmtId="49" fontId="28" fillId="7" borderId="80" xfId="4" applyNumberFormat="1" applyFont="1" applyFill="1" applyBorder="1" applyAlignment="1">
      <alignment horizontal="center" vertical="top" wrapText="1"/>
    </xf>
    <xf numFmtId="49" fontId="28" fillId="7" borderId="17" xfId="4" applyNumberFormat="1" applyFont="1" applyFill="1" applyBorder="1" applyAlignment="1">
      <alignment horizontal="center" vertical="top" wrapText="1"/>
    </xf>
    <xf numFmtId="49" fontId="28" fillId="7" borderId="49" xfId="4" applyNumberFormat="1" applyFont="1" applyFill="1" applyBorder="1" applyAlignment="1">
      <alignment horizontal="center" vertical="top" wrapText="1"/>
    </xf>
    <xf numFmtId="49" fontId="28" fillId="7" borderId="15" xfId="4" applyNumberFormat="1" applyFont="1" applyFill="1" applyBorder="1" applyAlignment="1">
      <alignment horizontal="center" vertical="top" wrapText="1"/>
    </xf>
    <xf numFmtId="49" fontId="28" fillId="7" borderId="18" xfId="4" applyNumberFormat="1" applyFont="1" applyFill="1" applyBorder="1" applyAlignment="1">
      <alignment horizontal="center"/>
    </xf>
    <xf numFmtId="49" fontId="28" fillId="7" borderId="51" xfId="4" applyNumberFormat="1" applyFont="1" applyFill="1" applyBorder="1" applyAlignment="1">
      <alignment horizontal="center"/>
    </xf>
    <xf numFmtId="49" fontId="28" fillId="7" borderId="77" xfId="4" applyNumberFormat="1" applyFont="1" applyFill="1" applyBorder="1" applyAlignment="1">
      <alignment horizontal="center"/>
    </xf>
    <xf numFmtId="49" fontId="28" fillId="7" borderId="19" xfId="4" applyNumberFormat="1" applyFont="1" applyFill="1" applyBorder="1" applyAlignment="1">
      <alignment horizontal="center" vertical="top"/>
    </xf>
    <xf numFmtId="49" fontId="28" fillId="7" borderId="0" xfId="4" applyNumberFormat="1" applyFont="1" applyFill="1" applyBorder="1" applyAlignment="1">
      <alignment horizontal="center" vertical="top"/>
    </xf>
    <xf numFmtId="49" fontId="28" fillId="7" borderId="20" xfId="4" applyNumberFormat="1" applyFont="1" applyFill="1" applyBorder="1" applyAlignment="1">
      <alignment horizontal="center" vertical="top"/>
    </xf>
    <xf numFmtId="0" fontId="28" fillId="7" borderId="4" xfId="4" applyNumberFormat="1" applyFont="1" applyFill="1" applyBorder="1" applyAlignment="1">
      <alignment horizontal="center" vertical="center"/>
    </xf>
    <xf numFmtId="49" fontId="30" fillId="7" borderId="18" xfId="4" applyNumberFormat="1" applyFont="1" applyFill="1" applyBorder="1" applyAlignment="1">
      <alignment horizontal="center"/>
    </xf>
    <xf numFmtId="49" fontId="30" fillId="7" borderId="51" xfId="4" applyNumberFormat="1" applyFont="1" applyFill="1" applyBorder="1" applyAlignment="1">
      <alignment horizontal="center"/>
    </xf>
    <xf numFmtId="49" fontId="30" fillId="7" borderId="77" xfId="4" applyNumberFormat="1" applyFont="1" applyFill="1" applyBorder="1" applyAlignment="1">
      <alignment horizontal="center"/>
    </xf>
    <xf numFmtId="0" fontId="28" fillId="7" borderId="21" xfId="4" applyNumberFormat="1" applyFont="1" applyFill="1" applyBorder="1" applyAlignment="1">
      <alignment horizontal="center" vertical="center"/>
    </xf>
    <xf numFmtId="49" fontId="28" fillId="7" borderId="19" xfId="4" applyNumberFormat="1" applyFont="1" applyFill="1" applyBorder="1" applyAlignment="1">
      <alignment horizontal="center"/>
    </xf>
    <xf numFmtId="49" fontId="28" fillId="7" borderId="0" xfId="4" applyNumberFormat="1" applyFont="1" applyFill="1" applyBorder="1" applyAlignment="1">
      <alignment horizontal="center"/>
    </xf>
    <xf numFmtId="49" fontId="28" fillId="7" borderId="20" xfId="4" applyNumberFormat="1" applyFont="1" applyFill="1" applyBorder="1" applyAlignment="1">
      <alignment horizontal="center"/>
    </xf>
    <xf numFmtId="0" fontId="10" fillId="0" borderId="1" xfId="5" applyFont="1" applyBorder="1" applyAlignment="1">
      <alignment horizontal="center" vertical="center"/>
    </xf>
    <xf numFmtId="0" fontId="10" fillId="0" borderId="5" xfId="5" applyFont="1" applyBorder="1" applyAlignment="1">
      <alignment horizontal="center" vertical="center"/>
    </xf>
    <xf numFmtId="0" fontId="35" fillId="0" borderId="1" xfId="5" applyFont="1" applyBorder="1" applyAlignment="1">
      <alignment horizontal="center" vertical="center" wrapText="1"/>
    </xf>
    <xf numFmtId="0" fontId="35" fillId="0" borderId="1" xfId="5" applyFont="1" applyBorder="1" applyAlignment="1">
      <alignment horizontal="center" vertical="center"/>
    </xf>
    <xf numFmtId="0" fontId="10" fillId="0" borderId="4" xfId="4" applyFont="1" applyBorder="1" applyAlignment="1">
      <alignment horizontal="center" vertical="center"/>
    </xf>
    <xf numFmtId="0" fontId="35" fillId="0" borderId="1" xfId="4" applyFont="1" applyBorder="1" applyAlignment="1">
      <alignment horizontal="center" vertical="center" wrapText="1"/>
    </xf>
    <xf numFmtId="0" fontId="35" fillId="0" borderId="1" xfId="4" applyFont="1" applyBorder="1" applyAlignment="1">
      <alignment horizontal="center" vertical="center"/>
    </xf>
    <xf numFmtId="0" fontId="11" fillId="0" borderId="45" xfId="4" applyFont="1" applyBorder="1" applyAlignment="1">
      <alignment horizontal="center" vertical="center"/>
    </xf>
    <xf numFmtId="0" fontId="35" fillId="0" borderId="70" xfId="5" applyFont="1" applyBorder="1" applyAlignment="1">
      <alignment horizontal="center" vertical="center" wrapText="1"/>
    </xf>
    <xf numFmtId="0" fontId="35" fillId="0" borderId="29" xfId="5" applyFont="1" applyBorder="1" applyAlignment="1">
      <alignment horizontal="center" vertical="center" wrapText="1"/>
    </xf>
    <xf numFmtId="0" fontId="35" fillId="0" borderId="71" xfId="5" applyFont="1" applyBorder="1" applyAlignment="1">
      <alignment horizontal="center" vertical="center" wrapText="1"/>
    </xf>
    <xf numFmtId="0" fontId="35" fillId="0" borderId="72" xfId="5" applyFont="1" applyBorder="1" applyAlignment="1">
      <alignment horizontal="center" vertical="center" wrapText="1"/>
    </xf>
    <xf numFmtId="0" fontId="35" fillId="0" borderId="49" xfId="5" applyFont="1" applyBorder="1" applyAlignment="1">
      <alignment horizontal="center" vertical="center" wrapText="1"/>
    </xf>
    <xf numFmtId="0" fontId="35" fillId="0" borderId="15" xfId="5" applyFont="1" applyBorder="1" applyAlignment="1">
      <alignment horizontal="center" vertical="center" wrapText="1"/>
    </xf>
    <xf numFmtId="0" fontId="35" fillId="0" borderId="32" xfId="5" applyFont="1" applyBorder="1" applyAlignment="1">
      <alignment horizontal="center" vertical="center" wrapText="1"/>
    </xf>
    <xf numFmtId="0" fontId="35" fillId="0" borderId="17" xfId="5" applyFont="1" applyBorder="1" applyAlignment="1">
      <alignment horizontal="center" vertical="center" wrapText="1"/>
    </xf>
    <xf numFmtId="0" fontId="35" fillId="0" borderId="32" xfId="5" applyFont="1" applyBorder="1" applyAlignment="1">
      <alignment horizontal="center" vertical="center"/>
    </xf>
    <xf numFmtId="0" fontId="35" fillId="0" borderId="29" xfId="5" applyFont="1" applyBorder="1" applyAlignment="1">
      <alignment horizontal="center" vertical="center"/>
    </xf>
    <xf numFmtId="0" fontId="35" fillId="0" borderId="71" xfId="5" applyFont="1" applyBorder="1" applyAlignment="1">
      <alignment horizontal="center" vertical="center"/>
    </xf>
    <xf numFmtId="0" fontId="35" fillId="0" borderId="17" xfId="5" applyFont="1" applyBorder="1" applyAlignment="1">
      <alignment horizontal="center" vertical="center"/>
    </xf>
    <xf numFmtId="0" fontId="35" fillId="0" borderId="49" xfId="5" applyFont="1" applyBorder="1" applyAlignment="1">
      <alignment horizontal="center" vertical="center"/>
    </xf>
    <xf numFmtId="0" fontId="35" fillId="0" borderId="15" xfId="5" applyFont="1" applyBorder="1" applyAlignment="1">
      <alignment horizontal="center" vertical="center"/>
    </xf>
    <xf numFmtId="0" fontId="35" fillId="0" borderId="10" xfId="4" applyFont="1" applyBorder="1" applyAlignment="1">
      <alignment horizontal="center" vertical="center" wrapText="1"/>
    </xf>
    <xf numFmtId="0" fontId="35" fillId="0" borderId="10" xfId="4" applyFont="1" applyBorder="1" applyAlignment="1">
      <alignment horizontal="center" vertical="center"/>
    </xf>
    <xf numFmtId="0" fontId="35" fillId="0" borderId="16" xfId="4" applyFont="1" applyBorder="1" applyAlignment="1">
      <alignment horizontal="center" vertical="center" wrapText="1"/>
    </xf>
    <xf numFmtId="0" fontId="35" fillId="0" borderId="16" xfId="4" applyFont="1" applyBorder="1" applyAlignment="1">
      <alignment horizontal="center" vertical="center"/>
    </xf>
    <xf numFmtId="0" fontId="35" fillId="0" borderId="19" xfId="5" applyFont="1" applyBorder="1" applyAlignment="1">
      <alignment horizontal="center" vertical="center"/>
    </xf>
    <xf numFmtId="0" fontId="35" fillId="0" borderId="0" xfId="5" applyFont="1" applyBorder="1" applyAlignment="1">
      <alignment horizontal="center" vertical="center"/>
    </xf>
    <xf numFmtId="0" fontId="35" fillId="0" borderId="20" xfId="5" applyFont="1" applyBorder="1" applyAlignment="1">
      <alignment horizontal="center" vertical="center"/>
    </xf>
    <xf numFmtId="0" fontId="35" fillId="0" borderId="32" xfId="4" applyFont="1" applyBorder="1" applyAlignment="1">
      <alignment horizontal="center" vertical="center" wrapText="1"/>
    </xf>
    <xf numFmtId="0" fontId="35" fillId="0" borderId="29" xfId="4" applyFont="1" applyBorder="1" applyAlignment="1">
      <alignment horizontal="center" vertical="center" wrapText="1"/>
    </xf>
    <xf numFmtId="0" fontId="35" fillId="0" borderId="71" xfId="4" applyFont="1" applyBorder="1" applyAlignment="1">
      <alignment horizontal="center" vertical="center" wrapText="1"/>
    </xf>
    <xf numFmtId="0" fontId="35" fillId="0" borderId="19" xfId="4" applyFont="1" applyBorder="1" applyAlignment="1">
      <alignment horizontal="center" vertical="center" wrapText="1"/>
    </xf>
    <xf numFmtId="0" fontId="35" fillId="0" borderId="0" xfId="4" applyFont="1" applyBorder="1" applyAlignment="1">
      <alignment horizontal="center" vertical="center" wrapText="1"/>
    </xf>
    <xf numFmtId="0" fontId="35" fillId="0" borderId="20" xfId="4" applyFont="1" applyBorder="1" applyAlignment="1">
      <alignment horizontal="center" vertical="center" wrapText="1"/>
    </xf>
    <xf numFmtId="0" fontId="35" fillId="0" borderId="17" xfId="4" applyFont="1" applyBorder="1" applyAlignment="1">
      <alignment horizontal="center" vertical="center" wrapText="1"/>
    </xf>
    <xf numFmtId="0" fontId="35" fillId="0" borderId="49" xfId="4" applyFont="1" applyBorder="1" applyAlignment="1">
      <alignment horizontal="center" vertical="center" wrapText="1"/>
    </xf>
    <xf numFmtId="0" fontId="35" fillId="0" borderId="15" xfId="4" applyFont="1" applyBorder="1" applyAlignment="1">
      <alignment horizontal="center" vertical="center" wrapText="1"/>
    </xf>
    <xf numFmtId="0" fontId="35" fillId="0" borderId="30" xfId="4" applyFont="1" applyBorder="1" applyAlignment="1">
      <alignment horizontal="center" vertical="center" wrapText="1"/>
    </xf>
    <xf numFmtId="0" fontId="35" fillId="0" borderId="38" xfId="4" applyFont="1" applyBorder="1" applyAlignment="1">
      <alignment horizontal="center" vertical="center" wrapText="1"/>
    </xf>
    <xf numFmtId="0" fontId="35" fillId="0" borderId="33" xfId="4" applyFont="1" applyBorder="1" applyAlignment="1">
      <alignment horizontal="center" vertical="center" wrapText="1"/>
    </xf>
    <xf numFmtId="0" fontId="35" fillId="0" borderId="4" xfId="5" applyFont="1" applyBorder="1" applyAlignment="1">
      <alignment horizontal="center" vertical="center" wrapText="1"/>
    </xf>
    <xf numFmtId="0" fontId="28" fillId="7" borderId="87" xfId="4" applyNumberFormat="1" applyFont="1" applyFill="1" applyBorder="1" applyAlignment="1">
      <alignment horizontal="center" vertical="center"/>
    </xf>
    <xf numFmtId="49" fontId="39" fillId="7" borderId="18" xfId="4" applyNumberFormat="1" applyFont="1" applyFill="1" applyBorder="1" applyAlignment="1">
      <alignment horizontal="center"/>
    </xf>
    <xf numFmtId="49" fontId="39" fillId="7" borderId="51" xfId="4" applyNumberFormat="1" applyFont="1" applyFill="1" applyBorder="1" applyAlignment="1">
      <alignment horizontal="center"/>
    </xf>
    <xf numFmtId="49" fontId="39" fillId="7" borderId="77" xfId="4" applyNumberFormat="1" applyFont="1" applyFill="1" applyBorder="1" applyAlignment="1">
      <alignment horizontal="center"/>
    </xf>
    <xf numFmtId="49" fontId="30" fillId="7" borderId="17" xfId="4" applyNumberFormat="1" applyFont="1" applyFill="1" applyBorder="1" applyAlignment="1">
      <alignment horizontal="center" vertical="top"/>
    </xf>
    <xf numFmtId="49" fontId="30" fillId="7" borderId="49" xfId="4" applyNumberFormat="1" applyFont="1" applyFill="1" applyBorder="1" applyAlignment="1">
      <alignment horizontal="center" vertical="top"/>
    </xf>
    <xf numFmtId="49" fontId="30" fillId="7" borderId="15" xfId="4" applyNumberFormat="1" applyFont="1" applyFill="1" applyBorder="1" applyAlignment="1">
      <alignment horizontal="center" vertical="top"/>
    </xf>
    <xf numFmtId="0" fontId="10" fillId="0" borderId="2" xfId="4" applyFont="1" applyBorder="1" applyAlignment="1">
      <alignment horizontal="center" vertical="center"/>
    </xf>
    <xf numFmtId="0" fontId="10" fillId="0" borderId="10" xfId="4" applyFont="1" applyBorder="1" applyAlignment="1">
      <alignment horizontal="center" vertical="center" wrapText="1"/>
    </xf>
    <xf numFmtId="0" fontId="10" fillId="0" borderId="10" xfId="4" applyFont="1" applyBorder="1" applyAlignment="1">
      <alignment horizontal="center" vertical="center"/>
    </xf>
    <xf numFmtId="0" fontId="10" fillId="0" borderId="10" xfId="5" applyFont="1" applyBorder="1" applyAlignment="1">
      <alignment horizontal="center" vertical="center"/>
    </xf>
    <xf numFmtId="0" fontId="10" fillId="0" borderId="3" xfId="5" applyFont="1" applyBorder="1" applyAlignment="1">
      <alignment horizontal="center" vertical="center"/>
    </xf>
    <xf numFmtId="0" fontId="28" fillId="7" borderId="12" xfId="4" applyNumberFormat="1" applyFont="1" applyFill="1" applyBorder="1" applyAlignment="1">
      <alignment horizontal="center" vertical="center"/>
    </xf>
    <xf numFmtId="0" fontId="28" fillId="7" borderId="89" xfId="4" applyNumberFormat="1" applyFont="1" applyFill="1" applyBorder="1" applyAlignment="1">
      <alignment horizontal="center" vertical="center"/>
    </xf>
    <xf numFmtId="0" fontId="34" fillId="7" borderId="12" xfId="4" applyNumberFormat="1" applyFont="1" applyFill="1" applyBorder="1" applyAlignment="1">
      <alignment horizontal="center" vertical="center"/>
    </xf>
    <xf numFmtId="0" fontId="34" fillId="7" borderId="89" xfId="4" applyNumberFormat="1" applyFont="1" applyFill="1" applyBorder="1" applyAlignment="1">
      <alignment horizontal="center" vertical="center"/>
    </xf>
    <xf numFmtId="49" fontId="29" fillId="7" borderId="19" xfId="4" applyNumberFormat="1" applyFont="1" applyFill="1" applyBorder="1" applyAlignment="1">
      <alignment horizontal="center" vertical="top" wrapText="1"/>
    </xf>
    <xf numFmtId="49" fontId="29" fillId="7" borderId="0" xfId="4" applyNumberFormat="1" applyFont="1" applyFill="1" applyBorder="1" applyAlignment="1">
      <alignment horizontal="center" vertical="top" wrapText="1"/>
    </xf>
    <xf numFmtId="49" fontId="29" fillId="7" borderId="20" xfId="4" applyNumberFormat="1" applyFont="1" applyFill="1" applyBorder="1" applyAlignment="1">
      <alignment horizontal="center" vertical="top" wrapText="1"/>
    </xf>
    <xf numFmtId="49" fontId="29" fillId="7" borderId="78" xfId="4" applyNumberFormat="1" applyFont="1" applyFill="1" applyBorder="1" applyAlignment="1">
      <alignment horizontal="center" vertical="top" wrapText="1"/>
    </xf>
    <xf numFmtId="49" fontId="29" fillId="7" borderId="79" xfId="4" applyNumberFormat="1" applyFont="1" applyFill="1" applyBorder="1" applyAlignment="1">
      <alignment horizontal="center" vertical="top" wrapText="1"/>
    </xf>
    <xf numFmtId="49" fontId="29" fillId="7" borderId="80" xfId="4" applyNumberFormat="1" applyFont="1" applyFill="1" applyBorder="1" applyAlignment="1">
      <alignment horizontal="center" vertical="top" wrapText="1"/>
    </xf>
    <xf numFmtId="0" fontId="28" fillId="0" borderId="50" xfId="6" applyFont="1" applyBorder="1" applyAlignment="1">
      <alignment horizontal="left" vertical="center" wrapText="1"/>
    </xf>
    <xf numFmtId="0" fontId="28" fillId="0" borderId="51" xfId="6" applyFont="1" applyBorder="1" applyAlignment="1">
      <alignment horizontal="left" vertical="center"/>
    </xf>
    <xf numFmtId="0" fontId="28" fillId="0" borderId="35" xfId="6" applyFont="1" applyBorder="1" applyAlignment="1">
      <alignment horizontal="left" vertical="center"/>
    </xf>
    <xf numFmtId="0" fontId="28" fillId="0" borderId="59" xfId="6" applyFont="1" applyBorder="1" applyAlignment="1">
      <alignment horizontal="left" vertical="center"/>
    </xf>
    <xf numFmtId="0" fontId="28" fillId="0" borderId="45" xfId="6" applyFont="1" applyBorder="1" applyAlignment="1">
      <alignment horizontal="left" vertical="center"/>
    </xf>
    <xf numFmtId="0" fontId="28" fillId="0" borderId="40" xfId="6" applyFont="1" applyBorder="1" applyAlignment="1">
      <alignment horizontal="left" vertical="center"/>
    </xf>
    <xf numFmtId="49" fontId="32" fillId="7" borderId="18" xfId="4" applyNumberFormat="1" applyFont="1" applyFill="1" applyBorder="1" applyAlignment="1">
      <alignment horizontal="left" vertical="center" wrapText="1"/>
    </xf>
    <xf numFmtId="49" fontId="32" fillId="7" borderId="51" xfId="4" applyNumberFormat="1" applyFont="1" applyFill="1" applyBorder="1" applyAlignment="1">
      <alignment horizontal="left" vertical="center" wrapText="1"/>
    </xf>
    <xf numFmtId="49" fontId="32" fillId="7" borderId="77" xfId="4" applyNumberFormat="1" applyFont="1" applyFill="1" applyBorder="1" applyAlignment="1">
      <alignment horizontal="left" vertical="center" wrapText="1"/>
    </xf>
    <xf numFmtId="49" fontId="28" fillId="7" borderId="18" xfId="4" applyNumberFormat="1" applyFont="1" applyFill="1" applyBorder="1" applyAlignment="1">
      <alignment horizontal="left" vertical="center" wrapText="1"/>
    </xf>
    <xf numFmtId="49" fontId="28" fillId="7" borderId="51" xfId="4" applyNumberFormat="1" applyFont="1" applyFill="1" applyBorder="1" applyAlignment="1">
      <alignment horizontal="left" vertical="center" wrapText="1"/>
    </xf>
    <xf numFmtId="49" fontId="28" fillId="7" borderId="77" xfId="4" applyNumberFormat="1" applyFont="1" applyFill="1" applyBorder="1" applyAlignment="1">
      <alignment horizontal="left" vertical="center" wrapText="1"/>
    </xf>
    <xf numFmtId="49" fontId="28" fillId="7" borderId="78" xfId="4" applyNumberFormat="1" applyFont="1" applyFill="1" applyBorder="1" applyAlignment="1">
      <alignment horizontal="left" vertical="center" wrapText="1"/>
    </xf>
    <xf numFmtId="49" fontId="28" fillId="7" borderId="79" xfId="4" applyNumberFormat="1" applyFont="1" applyFill="1" applyBorder="1" applyAlignment="1">
      <alignment horizontal="left" vertical="center" wrapText="1"/>
    </xf>
    <xf numFmtId="49" fontId="28" fillId="7" borderId="80" xfId="4" applyNumberFormat="1" applyFont="1" applyFill="1" applyBorder="1" applyAlignment="1">
      <alignment horizontal="left" vertical="center" wrapText="1"/>
    </xf>
    <xf numFmtId="49" fontId="32" fillId="7" borderId="78" xfId="4" applyNumberFormat="1" applyFont="1" applyFill="1" applyBorder="1" applyAlignment="1">
      <alignment horizontal="left" vertical="center" wrapText="1"/>
    </xf>
    <xf numFmtId="49" fontId="32" fillId="7" borderId="79" xfId="4" applyNumberFormat="1" applyFont="1" applyFill="1" applyBorder="1" applyAlignment="1">
      <alignment horizontal="left" vertical="center" wrapText="1"/>
    </xf>
    <xf numFmtId="49" fontId="32" fillId="7" borderId="80" xfId="4" applyNumberFormat="1" applyFont="1" applyFill="1" applyBorder="1" applyAlignment="1">
      <alignment horizontal="left" vertical="center" wrapText="1"/>
    </xf>
    <xf numFmtId="0" fontId="28" fillId="7" borderId="72" xfId="4" applyNumberFormat="1" applyFont="1" applyFill="1" applyBorder="1" applyAlignment="1">
      <alignment horizontal="center" vertical="center"/>
    </xf>
    <xf numFmtId="0" fontId="28" fillId="7" borderId="49" xfId="4" applyNumberFormat="1" applyFont="1" applyFill="1" applyBorder="1" applyAlignment="1">
      <alignment horizontal="center" vertical="center"/>
    </xf>
    <xf numFmtId="0" fontId="28" fillId="7" borderId="15" xfId="4" applyNumberFormat="1" applyFont="1" applyFill="1" applyBorder="1" applyAlignment="1">
      <alignment horizontal="center" vertical="center"/>
    </xf>
    <xf numFmtId="0" fontId="35" fillId="0" borderId="4" xfId="4" applyFont="1" applyBorder="1" applyAlignment="1">
      <alignment horizontal="center" vertical="center" wrapText="1"/>
    </xf>
    <xf numFmtId="0" fontId="28" fillId="7" borderId="16" xfId="4" applyNumberFormat="1" applyFont="1" applyFill="1" applyBorder="1" applyAlignment="1">
      <alignment horizontal="center" vertical="center"/>
    </xf>
    <xf numFmtId="0" fontId="34" fillId="7" borderId="16" xfId="4" applyNumberFormat="1" applyFont="1" applyFill="1" applyBorder="1" applyAlignment="1">
      <alignment horizontal="center" vertical="center"/>
    </xf>
    <xf numFmtId="49" fontId="29" fillId="7" borderId="18" xfId="4" applyNumberFormat="1" applyFont="1" applyFill="1" applyBorder="1" applyAlignment="1">
      <alignment horizontal="center" wrapText="1"/>
    </xf>
    <xf numFmtId="49" fontId="29" fillId="7" borderId="51" xfId="4" applyNumberFormat="1" applyFont="1" applyFill="1" applyBorder="1" applyAlignment="1">
      <alignment horizontal="center" wrapText="1"/>
    </xf>
    <xf numFmtId="49" fontId="29" fillId="7" borderId="77" xfId="4" applyNumberFormat="1" applyFont="1" applyFill="1" applyBorder="1" applyAlignment="1">
      <alignment horizontal="center" wrapText="1"/>
    </xf>
    <xf numFmtId="49" fontId="29" fillId="7" borderId="19" xfId="4" applyNumberFormat="1" applyFont="1" applyFill="1" applyBorder="1" applyAlignment="1">
      <alignment horizontal="center" wrapText="1"/>
    </xf>
    <xf numFmtId="49" fontId="29" fillId="7" borderId="0" xfId="4" applyNumberFormat="1" applyFont="1" applyFill="1" applyBorder="1" applyAlignment="1">
      <alignment horizontal="center" wrapText="1"/>
    </xf>
    <xf numFmtId="49" fontId="29" fillId="7" borderId="20" xfId="4" applyNumberFormat="1" applyFont="1" applyFill="1" applyBorder="1" applyAlignment="1">
      <alignment horizontal="center" wrapText="1"/>
    </xf>
    <xf numFmtId="49" fontId="28" fillId="7" borderId="19" xfId="4" applyNumberFormat="1" applyFont="1" applyFill="1" applyBorder="1" applyAlignment="1">
      <alignment horizontal="left" vertical="center" wrapText="1"/>
    </xf>
    <xf numFmtId="49" fontId="28" fillId="7" borderId="0" xfId="4" applyNumberFormat="1" applyFont="1" applyFill="1" applyBorder="1" applyAlignment="1">
      <alignment horizontal="left" vertical="center" wrapText="1"/>
    </xf>
    <xf numFmtId="49" fontId="28" fillId="7" borderId="20" xfId="4" applyNumberFormat="1" applyFont="1" applyFill="1" applyBorder="1" applyAlignment="1">
      <alignment horizontal="left" vertical="center" wrapText="1"/>
    </xf>
    <xf numFmtId="49" fontId="28" fillId="7" borderId="17" xfId="4" applyNumberFormat="1" applyFont="1" applyFill="1" applyBorder="1" applyAlignment="1">
      <alignment horizontal="left" vertical="center" wrapText="1"/>
    </xf>
    <xf numFmtId="49" fontId="28" fillId="7" borderId="49" xfId="4" applyNumberFormat="1" applyFont="1" applyFill="1" applyBorder="1" applyAlignment="1">
      <alignment horizontal="left" vertical="center" wrapText="1"/>
    </xf>
    <xf numFmtId="49" fontId="28" fillId="7" borderId="15" xfId="4" applyNumberFormat="1" applyFont="1" applyFill="1" applyBorder="1" applyAlignment="1">
      <alignment horizontal="left" vertical="center" wrapText="1"/>
    </xf>
    <xf numFmtId="49" fontId="32" fillId="7" borderId="19" xfId="4" applyNumberFormat="1" applyFont="1" applyFill="1" applyBorder="1" applyAlignment="1">
      <alignment horizontal="center" vertical="top" wrapText="1"/>
    </xf>
    <xf numFmtId="49" fontId="32" fillId="7" borderId="0" xfId="4" applyNumberFormat="1" applyFont="1" applyFill="1" applyBorder="1" applyAlignment="1">
      <alignment horizontal="center" vertical="top" wrapText="1"/>
    </xf>
    <xf numFmtId="49" fontId="32" fillId="7" borderId="20" xfId="4" applyNumberFormat="1" applyFont="1" applyFill="1" applyBorder="1" applyAlignment="1">
      <alignment horizontal="center" vertical="top" wrapText="1"/>
    </xf>
    <xf numFmtId="49" fontId="32" fillId="7" borderId="17" xfId="4" applyNumberFormat="1" applyFont="1" applyFill="1" applyBorder="1" applyAlignment="1">
      <alignment horizontal="center" vertical="top" wrapText="1"/>
    </xf>
    <xf numFmtId="49" fontId="32" fillId="7" borderId="49" xfId="4" applyNumberFormat="1" applyFont="1" applyFill="1" applyBorder="1" applyAlignment="1">
      <alignment horizontal="center" vertical="top" wrapText="1"/>
    </xf>
    <xf numFmtId="49" fontId="32" fillId="7" borderId="15" xfId="4" applyNumberFormat="1" applyFont="1" applyFill="1" applyBorder="1" applyAlignment="1">
      <alignment horizontal="center" vertical="top" wrapText="1"/>
    </xf>
    <xf numFmtId="49" fontId="30" fillId="7" borderId="19" xfId="4" applyNumberFormat="1" applyFont="1" applyFill="1" applyBorder="1" applyAlignment="1">
      <alignment horizontal="left" vertical="center" wrapText="1"/>
    </xf>
    <xf numFmtId="49" fontId="30" fillId="7" borderId="0" xfId="4" applyNumberFormat="1" applyFont="1" applyFill="1" applyBorder="1" applyAlignment="1">
      <alignment horizontal="left" vertical="center" wrapText="1"/>
    </xf>
    <xf numFmtId="49" fontId="30" fillId="7" borderId="20" xfId="4" applyNumberFormat="1" applyFont="1" applyFill="1" applyBorder="1" applyAlignment="1">
      <alignment horizontal="left" vertical="center" wrapText="1"/>
    </xf>
    <xf numFmtId="49" fontId="32" fillId="7" borderId="19" xfId="4" applyNumberFormat="1" applyFont="1" applyFill="1" applyBorder="1" applyAlignment="1">
      <alignment horizontal="center" vertical="center" wrapText="1"/>
    </xf>
    <xf numFmtId="49" fontId="32" fillId="7" borderId="0" xfId="4" applyNumberFormat="1" applyFont="1" applyFill="1" applyBorder="1" applyAlignment="1">
      <alignment horizontal="center" vertical="center" wrapText="1"/>
    </xf>
    <xf numFmtId="49" fontId="32" fillId="7" borderId="20" xfId="4" applyNumberFormat="1" applyFont="1" applyFill="1" applyBorder="1" applyAlignment="1">
      <alignment horizontal="center" vertical="center" wrapText="1"/>
    </xf>
    <xf numFmtId="49" fontId="32" fillId="7" borderId="17" xfId="4" applyNumberFormat="1" applyFont="1" applyFill="1" applyBorder="1" applyAlignment="1">
      <alignment horizontal="center" vertical="center" wrapText="1"/>
    </xf>
    <xf numFmtId="49" fontId="32" fillId="7" borderId="49" xfId="4" applyNumberFormat="1" applyFont="1" applyFill="1" applyBorder="1" applyAlignment="1">
      <alignment horizontal="center" vertical="center" wrapText="1"/>
    </xf>
    <xf numFmtId="49" fontId="32" fillId="7" borderId="15" xfId="4" applyNumberFormat="1" applyFont="1" applyFill="1" applyBorder="1" applyAlignment="1">
      <alignment horizontal="center" vertical="center" wrapText="1"/>
    </xf>
    <xf numFmtId="49" fontId="32" fillId="7" borderId="18" xfId="4" applyNumberFormat="1" applyFont="1" applyFill="1" applyBorder="1" applyAlignment="1">
      <alignment horizontal="center" vertical="center" wrapText="1"/>
    </xf>
    <xf numFmtId="49" fontId="32" fillId="7" borderId="51" xfId="4" applyNumberFormat="1" applyFont="1" applyFill="1" applyBorder="1" applyAlignment="1">
      <alignment horizontal="center" vertical="center" wrapText="1"/>
    </xf>
    <xf numFmtId="49" fontId="32" fillId="7" borderId="77" xfId="4" applyNumberFormat="1" applyFont="1" applyFill="1" applyBorder="1" applyAlignment="1">
      <alignment horizontal="center" vertical="center" wrapText="1"/>
    </xf>
    <xf numFmtId="49" fontId="42" fillId="7" borderId="18" xfId="4" applyNumberFormat="1" applyFont="1" applyFill="1" applyBorder="1" applyAlignment="1">
      <alignment horizontal="left" vertical="center" wrapText="1"/>
    </xf>
    <xf numFmtId="49" fontId="42" fillId="7" borderId="51" xfId="4" applyNumberFormat="1" applyFont="1" applyFill="1" applyBorder="1" applyAlignment="1">
      <alignment horizontal="left" vertical="center" wrapText="1"/>
    </xf>
    <xf numFmtId="49" fontId="42" fillId="7" borderId="77" xfId="4" applyNumberFormat="1" applyFont="1" applyFill="1" applyBorder="1" applyAlignment="1">
      <alignment horizontal="left" vertical="center" wrapText="1"/>
    </xf>
    <xf numFmtId="49" fontId="30" fillId="7" borderId="17" xfId="4" applyNumberFormat="1" applyFont="1" applyFill="1" applyBorder="1" applyAlignment="1">
      <alignment horizontal="left" vertical="top" wrapText="1"/>
    </xf>
    <xf numFmtId="49" fontId="30" fillId="7" borderId="49" xfId="4" applyNumberFormat="1" applyFont="1" applyFill="1" applyBorder="1" applyAlignment="1">
      <alignment horizontal="left" vertical="top" wrapText="1"/>
    </xf>
    <xf numFmtId="49" fontId="30" fillId="7" borderId="15" xfId="4" applyNumberFormat="1" applyFont="1" applyFill="1" applyBorder="1" applyAlignment="1">
      <alignment horizontal="left" vertical="top" wrapText="1"/>
    </xf>
    <xf numFmtId="0" fontId="34" fillId="7" borderId="4" xfId="4" applyNumberFormat="1" applyFont="1" applyFill="1" applyBorder="1" applyAlignment="1">
      <alignment horizontal="center" vertical="center"/>
    </xf>
    <xf numFmtId="0" fontId="10" fillId="0" borderId="70" xfId="4" applyFont="1" applyBorder="1" applyAlignment="1">
      <alignment horizontal="center" vertical="center" wrapText="1"/>
    </xf>
    <xf numFmtId="0" fontId="10" fillId="0" borderId="29" xfId="4" applyFont="1" applyBorder="1" applyAlignment="1">
      <alignment horizontal="center" vertical="center"/>
    </xf>
    <xf numFmtId="0" fontId="10" fillId="0" borderId="71" xfId="4" applyFont="1" applyBorder="1" applyAlignment="1">
      <alignment horizontal="center" vertical="center"/>
    </xf>
    <xf numFmtId="0" fontId="10" fillId="0" borderId="72" xfId="4" applyFont="1" applyBorder="1" applyAlignment="1">
      <alignment horizontal="center" vertical="center"/>
    </xf>
    <xf numFmtId="0" fontId="10" fillId="0" borderId="49" xfId="4" applyFont="1" applyBorder="1" applyAlignment="1">
      <alignment horizontal="center" vertical="center"/>
    </xf>
    <xf numFmtId="0" fontId="10" fillId="0" borderId="15" xfId="4" applyFont="1" applyBorder="1" applyAlignment="1">
      <alignment horizontal="center" vertical="center"/>
    </xf>
    <xf numFmtId="0" fontId="10" fillId="0" borderId="32" xfId="4" applyFont="1" applyBorder="1" applyAlignment="1">
      <alignment horizontal="center" vertical="center" wrapText="1"/>
    </xf>
    <xf numFmtId="0" fontId="10" fillId="0" borderId="19" xfId="4" applyFont="1" applyBorder="1" applyAlignment="1">
      <alignment horizontal="center" vertical="center"/>
    </xf>
    <xf numFmtId="0" fontId="10" fillId="0" borderId="0" xfId="4" applyFont="1" applyBorder="1" applyAlignment="1">
      <alignment horizontal="center" vertical="center"/>
    </xf>
    <xf numFmtId="0" fontId="10" fillId="0" borderId="20" xfId="4" applyFont="1" applyBorder="1" applyAlignment="1">
      <alignment horizontal="center" vertical="center"/>
    </xf>
    <xf numFmtId="0" fontId="10" fillId="0" borderId="17" xfId="4" applyFont="1" applyBorder="1" applyAlignment="1">
      <alignment horizontal="center" vertical="center"/>
    </xf>
    <xf numFmtId="0" fontId="11" fillId="0" borderId="0" xfId="4" applyFont="1" applyAlignment="1">
      <alignment horizontal="center" vertical="center"/>
    </xf>
    <xf numFmtId="0" fontId="10" fillId="0" borderId="2" xfId="5" applyFont="1" applyBorder="1" applyAlignment="1">
      <alignment horizontal="center" vertical="center" wrapText="1"/>
    </xf>
    <xf numFmtId="0" fontId="10" fillId="0" borderId="10" xfId="5" applyFont="1" applyBorder="1" applyAlignment="1">
      <alignment horizontal="center" vertical="center" wrapText="1"/>
    </xf>
    <xf numFmtId="0" fontId="10" fillId="0" borderId="46" xfId="5" applyFont="1" applyBorder="1" applyAlignment="1">
      <alignment horizontal="left" vertical="center" wrapText="1"/>
    </xf>
    <xf numFmtId="0" fontId="10" fillId="0" borderId="47" xfId="5" applyFont="1" applyBorder="1" applyAlignment="1">
      <alignment horizontal="left" vertical="center" wrapText="1"/>
    </xf>
    <xf numFmtId="0" fontId="10" fillId="0" borderId="31" xfId="5" applyFont="1" applyBorder="1" applyAlignment="1">
      <alignment horizontal="left" vertical="center" wrapText="1"/>
    </xf>
    <xf numFmtId="0" fontId="10" fillId="0" borderId="46" xfId="5" applyFont="1" applyBorder="1" applyAlignment="1">
      <alignment horizontal="center" vertical="center" wrapText="1"/>
    </xf>
    <xf numFmtId="0" fontId="10" fillId="0" borderId="47" xfId="5" applyFont="1" applyBorder="1" applyAlignment="1">
      <alignment horizontal="center" vertical="center" wrapText="1"/>
    </xf>
    <xf numFmtId="0" fontId="10" fillId="0" borderId="31" xfId="5" applyFont="1" applyBorder="1" applyAlignment="1">
      <alignment horizontal="center" vertical="center" wrapText="1"/>
    </xf>
    <xf numFmtId="0" fontId="14" fillId="0" borderId="29" xfId="5" applyFont="1" applyBorder="1" applyAlignment="1">
      <alignment horizontal="right" vertical="center"/>
    </xf>
    <xf numFmtId="0" fontId="14" fillId="0" borderId="29" xfId="5" applyFont="1" applyBorder="1" applyAlignment="1">
      <alignment horizontal="left" vertical="center"/>
    </xf>
    <xf numFmtId="0" fontId="14" fillId="0" borderId="71" xfId="5" applyFont="1" applyBorder="1" applyAlignment="1">
      <alignment horizontal="left" vertical="center"/>
    </xf>
    <xf numFmtId="0" fontId="10" fillId="0" borderId="29" xfId="5" applyFont="1" applyBorder="1" applyAlignment="1">
      <alignment horizontal="center" vertical="center" wrapText="1"/>
    </xf>
    <xf numFmtId="0" fontId="10" fillId="0" borderId="29" xfId="5" applyFont="1" applyBorder="1" applyAlignment="1">
      <alignment horizontal="center" vertical="center"/>
    </xf>
    <xf numFmtId="0" fontId="10" fillId="0" borderId="71" xfId="5" applyFont="1" applyBorder="1" applyAlignment="1">
      <alignment horizontal="center" vertical="center"/>
    </xf>
    <xf numFmtId="0" fontId="10" fillId="0" borderId="45" xfId="5" applyFont="1" applyBorder="1" applyAlignment="1">
      <alignment horizontal="center" vertical="center"/>
    </xf>
    <xf numFmtId="0" fontId="10" fillId="0" borderId="65" xfId="5" applyFont="1" applyBorder="1" applyAlignment="1">
      <alignment horizontal="center" vertical="center"/>
    </xf>
    <xf numFmtId="0" fontId="10" fillId="0" borderId="11" xfId="4" applyFont="1" applyBorder="1" applyAlignment="1">
      <alignment horizontal="center" vertical="center" wrapText="1"/>
    </xf>
    <xf numFmtId="0" fontId="29" fillId="0" borderId="10" xfId="4" applyFont="1" applyBorder="1" applyAlignment="1">
      <alignment horizontal="center" vertical="center"/>
    </xf>
    <xf numFmtId="0" fontId="29" fillId="0" borderId="11" xfId="4" applyFont="1" applyBorder="1" applyAlignment="1">
      <alignment horizontal="center" vertical="center"/>
    </xf>
    <xf numFmtId="0" fontId="35" fillId="0" borderId="11" xfId="4" applyFont="1" applyBorder="1" applyAlignment="1">
      <alignment horizontal="center" vertical="center" wrapText="1"/>
    </xf>
    <xf numFmtId="0" fontId="35" fillId="0" borderId="3" xfId="4" applyFont="1" applyBorder="1" applyAlignment="1">
      <alignment horizontal="center" vertical="center"/>
    </xf>
    <xf numFmtId="0" fontId="35" fillId="0" borderId="11" xfId="4" applyFont="1" applyBorder="1" applyAlignment="1">
      <alignment horizontal="center" vertical="center"/>
    </xf>
    <xf numFmtId="0" fontId="35" fillId="0" borderId="7" xfId="4" applyFont="1" applyBorder="1" applyAlignment="1">
      <alignment horizontal="center" vertical="center"/>
    </xf>
    <xf numFmtId="0" fontId="10" fillId="0" borderId="6" xfId="5" applyFont="1" applyBorder="1" applyAlignment="1">
      <alignment horizontal="center" vertical="center" wrapText="1"/>
    </xf>
    <xf numFmtId="0" fontId="10" fillId="0" borderId="11" xfId="5" applyFont="1" applyBorder="1" applyAlignment="1">
      <alignment horizontal="center" vertical="center" wrapText="1"/>
    </xf>
    <xf numFmtId="0" fontId="40" fillId="0" borderId="67" xfId="5" applyFont="1" applyBorder="1" applyAlignment="1">
      <alignment horizontal="center" vertical="center" wrapText="1"/>
    </xf>
    <xf numFmtId="0" fontId="40" fillId="0" borderId="68" xfId="5" applyFont="1" applyBorder="1" applyAlignment="1">
      <alignment horizontal="center" vertical="center" wrapText="1"/>
    </xf>
    <xf numFmtId="0" fontId="40" fillId="0" borderId="88" xfId="5" applyFont="1" applyBorder="1" applyAlignment="1">
      <alignment horizontal="center" vertical="center" wrapText="1"/>
    </xf>
    <xf numFmtId="0" fontId="10" fillId="0" borderId="67" xfId="5" applyFont="1" applyBorder="1" applyAlignment="1">
      <alignment horizontal="center" vertical="center" wrapText="1"/>
    </xf>
    <xf numFmtId="0" fontId="10" fillId="0" borderId="68" xfId="5" applyFont="1" applyBorder="1" applyAlignment="1">
      <alignment horizontal="center" vertical="center" wrapText="1"/>
    </xf>
    <xf numFmtId="0" fontId="10" fillId="0" borderId="88" xfId="5" applyFont="1" applyBorder="1" applyAlignment="1">
      <alignment horizontal="center" vertical="center" wrapText="1"/>
    </xf>
    <xf numFmtId="0" fontId="14" fillId="0" borderId="11" xfId="5" applyFont="1" applyBorder="1" applyAlignment="1">
      <alignment horizontal="center" vertical="center" wrapText="1"/>
    </xf>
    <xf numFmtId="0" fontId="28" fillId="0" borderId="51" xfId="6" applyFont="1" applyBorder="1" applyAlignment="1">
      <alignment horizontal="left" vertical="center" wrapText="1"/>
    </xf>
    <xf numFmtId="0" fontId="28" fillId="0" borderId="35" xfId="6" applyFont="1" applyBorder="1" applyAlignment="1">
      <alignment horizontal="left" vertical="center" wrapText="1"/>
    </xf>
    <xf numFmtId="0" fontId="28" fillId="0" borderId="59" xfId="6" applyFont="1" applyBorder="1" applyAlignment="1">
      <alignment horizontal="left" vertical="center" wrapText="1"/>
    </xf>
    <xf numFmtId="0" fontId="28" fillId="0" borderId="45" xfId="6" applyFont="1" applyBorder="1" applyAlignment="1">
      <alignment horizontal="left" vertical="center" wrapText="1"/>
    </xf>
    <xf numFmtId="0" fontId="28" fillId="0" borderId="40" xfId="6" applyFont="1" applyBorder="1" applyAlignment="1">
      <alignment horizontal="left" vertical="center" wrapText="1"/>
    </xf>
    <xf numFmtId="49" fontId="28" fillId="7" borderId="1" xfId="4" applyNumberFormat="1" applyFont="1" applyFill="1" applyBorder="1" applyAlignment="1">
      <alignment horizontal="left" vertical="center" wrapText="1"/>
    </xf>
    <xf numFmtId="49" fontId="28" fillId="7" borderId="91" xfId="4" applyNumberFormat="1" applyFont="1" applyFill="1" applyBorder="1" applyAlignment="1">
      <alignment horizontal="left" vertical="center" wrapText="1"/>
    </xf>
    <xf numFmtId="0" fontId="28" fillId="7" borderId="90" xfId="4" applyNumberFormat="1" applyFont="1" applyFill="1" applyBorder="1" applyAlignment="1">
      <alignment horizontal="center" vertical="center"/>
    </xf>
    <xf numFmtId="0" fontId="28" fillId="7" borderId="1" xfId="4" applyNumberFormat="1" applyFont="1" applyFill="1" applyBorder="1" applyAlignment="1">
      <alignment horizontal="center" vertical="center"/>
    </xf>
    <xf numFmtId="0" fontId="28" fillId="7" borderId="91" xfId="4" applyNumberFormat="1" applyFont="1" applyFill="1" applyBorder="1" applyAlignment="1">
      <alignment horizontal="center" vertical="center"/>
    </xf>
    <xf numFmtId="49" fontId="28" fillId="7" borderId="18" xfId="4" applyNumberFormat="1" applyFont="1" applyFill="1" applyBorder="1" applyAlignment="1">
      <alignment horizontal="center" vertical="center"/>
    </xf>
    <xf numFmtId="49" fontId="28" fillId="7" borderId="51" xfId="4" applyNumberFormat="1" applyFont="1" applyFill="1" applyBorder="1" applyAlignment="1">
      <alignment horizontal="center" vertical="center"/>
    </xf>
    <xf numFmtId="49" fontId="28" fillId="7" borderId="77" xfId="4" applyNumberFormat="1" applyFont="1" applyFill="1" applyBorder="1" applyAlignment="1">
      <alignment horizontal="center" vertical="center"/>
    </xf>
    <xf numFmtId="49" fontId="28" fillId="7" borderId="78" xfId="4" applyNumberFormat="1" applyFont="1" applyFill="1" applyBorder="1" applyAlignment="1">
      <alignment horizontal="center" vertical="center"/>
    </xf>
    <xf numFmtId="49" fontId="28" fillId="7" borderId="79" xfId="4" applyNumberFormat="1" applyFont="1" applyFill="1" applyBorder="1" applyAlignment="1">
      <alignment horizontal="center" vertical="center"/>
    </xf>
    <xf numFmtId="49" fontId="28" fillId="7" borderId="80" xfId="4" applyNumberFormat="1" applyFont="1" applyFill="1" applyBorder="1" applyAlignment="1">
      <alignment horizontal="center" vertical="center"/>
    </xf>
    <xf numFmtId="49" fontId="28" fillId="7" borderId="1" xfId="4" applyNumberFormat="1" applyFont="1" applyFill="1" applyBorder="1" applyAlignment="1">
      <alignment horizontal="center" vertical="center" wrapText="1"/>
    </xf>
    <xf numFmtId="49" fontId="30" fillId="7" borderId="1" xfId="4" applyNumberFormat="1" applyFont="1" applyFill="1" applyBorder="1" applyAlignment="1">
      <alignment horizontal="left" vertical="center" wrapText="1"/>
    </xf>
    <xf numFmtId="49" fontId="28" fillId="7" borderId="17" xfId="4" applyNumberFormat="1" applyFont="1" applyFill="1" applyBorder="1" applyAlignment="1">
      <alignment horizontal="center" vertical="center" wrapText="1"/>
    </xf>
    <xf numFmtId="49" fontId="28" fillId="7" borderId="49" xfId="4" applyNumberFormat="1" applyFont="1" applyFill="1" applyBorder="1" applyAlignment="1">
      <alignment horizontal="center" vertical="center" wrapText="1"/>
    </xf>
    <xf numFmtId="49" fontId="28" fillId="7" borderId="15" xfId="4" applyNumberFormat="1" applyFont="1" applyFill="1" applyBorder="1" applyAlignment="1">
      <alignment horizontal="center" vertical="center" wrapText="1"/>
    </xf>
    <xf numFmtId="49" fontId="28" fillId="7" borderId="18" xfId="4" applyNumberFormat="1" applyFont="1" applyFill="1" applyBorder="1" applyAlignment="1">
      <alignment horizontal="left" wrapText="1"/>
    </xf>
    <xf numFmtId="49" fontId="28" fillId="7" borderId="51" xfId="4" applyNumberFormat="1" applyFont="1" applyFill="1" applyBorder="1" applyAlignment="1">
      <alignment horizontal="left" wrapText="1"/>
    </xf>
    <xf numFmtId="49" fontId="28" fillId="7" borderId="77" xfId="4" applyNumberFormat="1" applyFont="1" applyFill="1" applyBorder="1" applyAlignment="1">
      <alignment horizontal="left" wrapText="1"/>
    </xf>
    <xf numFmtId="49" fontId="28" fillId="7" borderId="17" xfId="4" applyNumberFormat="1" applyFont="1" applyFill="1" applyBorder="1" applyAlignment="1">
      <alignment horizontal="left" wrapText="1"/>
    </xf>
    <xf numFmtId="49" fontId="28" fillId="7" borderId="49" xfId="4" applyNumberFormat="1" applyFont="1" applyFill="1" applyBorder="1" applyAlignment="1">
      <alignment horizontal="left" wrapText="1"/>
    </xf>
    <xf numFmtId="49" fontId="28" fillId="7" borderId="15" xfId="4" applyNumberFormat="1" applyFont="1" applyFill="1" applyBorder="1" applyAlignment="1">
      <alignment horizontal="left" wrapText="1"/>
    </xf>
    <xf numFmtId="49" fontId="28" fillId="7" borderId="19" xfId="4" applyNumberFormat="1" applyFont="1" applyFill="1" applyBorder="1" applyAlignment="1">
      <alignment horizontal="center" vertical="center" wrapText="1"/>
    </xf>
    <xf numFmtId="49" fontId="28" fillId="7" borderId="0" xfId="4" applyNumberFormat="1" applyFont="1" applyFill="1" applyBorder="1" applyAlignment="1">
      <alignment horizontal="center" vertical="center" wrapText="1"/>
    </xf>
    <xf numFmtId="49" fontId="28" fillId="7" borderId="20" xfId="4" applyNumberFormat="1" applyFont="1" applyFill="1" applyBorder="1" applyAlignment="1">
      <alignment horizontal="center" vertical="center" wrapText="1"/>
    </xf>
    <xf numFmtId="49" fontId="29" fillId="7" borderId="17" xfId="4" applyNumberFormat="1" applyFont="1" applyFill="1" applyBorder="1" applyAlignment="1">
      <alignment horizontal="center" vertical="top" wrapText="1"/>
    </xf>
    <xf numFmtId="49" fontId="29" fillId="7" borderId="49" xfId="4" applyNumberFormat="1" applyFont="1" applyFill="1" applyBorder="1" applyAlignment="1">
      <alignment horizontal="center" vertical="top" wrapText="1"/>
    </xf>
    <xf numFmtId="49" fontId="29" fillId="7" borderId="15" xfId="4" applyNumberFormat="1" applyFont="1" applyFill="1" applyBorder="1" applyAlignment="1">
      <alignment horizontal="center" vertical="top" wrapText="1"/>
    </xf>
    <xf numFmtId="49" fontId="30" fillId="7" borderId="17" xfId="4" applyNumberFormat="1" applyFont="1" applyFill="1" applyBorder="1" applyAlignment="1">
      <alignment horizontal="left" vertical="center" wrapText="1"/>
    </xf>
    <xf numFmtId="49" fontId="30" fillId="7" borderId="49" xfId="4" applyNumberFormat="1" applyFont="1" applyFill="1" applyBorder="1" applyAlignment="1">
      <alignment horizontal="left" vertical="center" wrapText="1"/>
    </xf>
    <xf numFmtId="49" fontId="30" fillId="7" borderId="15" xfId="4" applyNumberFormat="1" applyFont="1" applyFill="1" applyBorder="1" applyAlignment="1">
      <alignment horizontal="left" vertical="center" wrapText="1"/>
    </xf>
    <xf numFmtId="0" fontId="46" fillId="7" borderId="12" xfId="6" applyFont="1" applyFill="1" applyBorder="1" applyAlignment="1">
      <alignment horizontal="center" vertical="center" wrapText="1"/>
    </xf>
    <xf numFmtId="0" fontId="46" fillId="7" borderId="22" xfId="6" applyFont="1" applyFill="1" applyBorder="1" applyAlignment="1">
      <alignment horizontal="center" vertical="center" wrapText="1"/>
    </xf>
    <xf numFmtId="0" fontId="46" fillId="7" borderId="16" xfId="6" applyFont="1" applyFill="1" applyBorder="1" applyAlignment="1">
      <alignment horizontal="center" vertical="center" wrapText="1"/>
    </xf>
    <xf numFmtId="0" fontId="46" fillId="0" borderId="12" xfId="6" applyFont="1" applyBorder="1" applyAlignment="1">
      <alignment horizontal="center" vertical="center" wrapText="1"/>
    </xf>
    <xf numFmtId="0" fontId="46" fillId="0" borderId="16" xfId="6" applyFont="1" applyBorder="1" applyAlignment="1">
      <alignment horizontal="center" vertical="center" wrapText="1"/>
    </xf>
    <xf numFmtId="0" fontId="46" fillId="0" borderId="18" xfId="6" applyFont="1" applyBorder="1" applyAlignment="1">
      <alignment horizontal="left" vertical="center" wrapText="1"/>
    </xf>
    <xf numFmtId="0" fontId="46" fillId="0" borderId="51" xfId="6" applyFont="1" applyBorder="1" applyAlignment="1">
      <alignment horizontal="left" vertical="center" wrapText="1"/>
    </xf>
    <xf numFmtId="0" fontId="46" fillId="0" borderId="77" xfId="6" applyFont="1" applyBorder="1" applyAlignment="1">
      <alignment horizontal="left" vertical="center" wrapText="1"/>
    </xf>
    <xf numFmtId="0" fontId="46" fillId="0" borderId="17" xfId="6" applyFont="1" applyBorder="1" applyAlignment="1">
      <alignment horizontal="left" vertical="top" wrapText="1"/>
    </xf>
    <xf numFmtId="0" fontId="46" fillId="0" borderId="49" xfId="6" applyFont="1" applyBorder="1" applyAlignment="1">
      <alignment horizontal="left" vertical="top" wrapText="1"/>
    </xf>
    <xf numFmtId="0" fontId="46" fillId="0" borderId="15" xfId="6" applyFont="1" applyBorder="1" applyAlignment="1">
      <alignment horizontal="left" vertical="top" wrapText="1"/>
    </xf>
    <xf numFmtId="0" fontId="46" fillId="0" borderId="22" xfId="6" applyFont="1" applyBorder="1" applyAlignment="1">
      <alignment horizontal="center" vertical="center" wrapText="1"/>
    </xf>
    <xf numFmtId="0" fontId="46" fillId="0" borderId="19" xfId="6" applyFont="1" applyBorder="1" applyAlignment="1">
      <alignment horizontal="left" vertical="center" textRotation="180" wrapText="1"/>
    </xf>
    <xf numFmtId="0" fontId="43" fillId="0" borderId="0" xfId="6" applyFont="1" applyAlignment="1">
      <alignment horizontal="center" vertical="center"/>
    </xf>
    <xf numFmtId="0" fontId="45" fillId="0" borderId="0" xfId="6" applyFont="1" applyAlignment="1">
      <alignment horizontal="left"/>
    </xf>
    <xf numFmtId="0" fontId="44" fillId="0" borderId="1" xfId="6" applyFont="1" applyBorder="1" applyAlignment="1">
      <alignment horizontal="center" vertical="center"/>
    </xf>
  </cellXfs>
  <cellStyles count="7">
    <cellStyle name="Normal" xfId="0" builtinId="0"/>
    <cellStyle name="Normal 2" xfId="1" xr:uid="{00000000-0005-0000-0000-000001000000}"/>
    <cellStyle name="Normal 2 2" xfId="6" xr:uid="{00000000-0005-0000-0000-000002000000}"/>
    <cellStyle name="Normal 3" xfId="2" xr:uid="{00000000-0005-0000-0000-000003000000}"/>
    <cellStyle name="Normal 4" xfId="3" xr:uid="{00000000-0005-0000-0000-000004000000}"/>
    <cellStyle name="Normal 5" xfId="4" xr:uid="{00000000-0005-0000-0000-000005000000}"/>
    <cellStyle name="一般_機械設備一級(每日)保養檢查表 5015" xfId="5" xr:uid="{00000000-0005-0000-0000-000006000000}"/>
  </cellStyles>
  <dxfs count="8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numFmt numFmtId="168" formatCode="[$-4009]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dd\-mm\-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indexed="64"/>
        </right>
        <top style="medium">
          <color indexed="64"/>
        </top>
      </border>
    </dxf>
    <dxf>
      <border>
        <bottom style="thin">
          <color indexed="64"/>
        </bottom>
      </border>
    </dxf>
    <dxf>
      <font>
        <b/>
        <i val="0"/>
        <strike val="0"/>
        <condense val="0"/>
        <extend val="0"/>
        <outline val="0"/>
        <shadow val="0"/>
        <u val="none"/>
        <vertAlign val="baseline"/>
        <sz val="10"/>
        <color theme="0"/>
        <name val="Calibri"/>
        <scheme val="none"/>
      </font>
      <fill>
        <patternFill patternType="solid">
          <fgColor indexed="64"/>
          <bgColor theme="5" tint="-0.499984740745262"/>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rgb="FFFFFF00"/>
        </patternFill>
      </fill>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none"/>
      </font>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none"/>
      </font>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none"/>
      </font>
      <numFmt numFmtId="165" formatCode="dd/mm/yy"/>
      <fill>
        <patternFill patternType="solid">
          <fgColor indexed="64"/>
          <bgColor theme="5"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dd/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numFmt numFmtId="1" formatCode="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none"/>
      </font>
      <numFmt numFmtId="165" formatCode="dd/mm/yy"/>
      <fill>
        <patternFill patternType="solid">
          <fgColor indexed="64"/>
          <bgColor theme="5"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0</xdr:colOff>
      <xdr:row>52</xdr:row>
      <xdr:rowOff>69850</xdr:rowOff>
    </xdr:from>
    <xdr:to>
      <xdr:col>1</xdr:col>
      <xdr:colOff>0</xdr:colOff>
      <xdr:row>55</xdr:row>
      <xdr:rowOff>196850</xdr:rowOff>
    </xdr:to>
    <xdr:sp macro="" textlink="">
      <xdr:nvSpPr>
        <xdr:cNvPr id="2" name="AutoShape 5">
          <a:extLst>
            <a:ext uri="{FF2B5EF4-FFF2-40B4-BE49-F238E27FC236}">
              <a16:creationId xmlns:a16="http://schemas.microsoft.com/office/drawing/2014/main" id="{00000000-0008-0000-0900-000002000000}"/>
            </a:ext>
          </a:extLst>
        </xdr:cNvPr>
        <xdr:cNvSpPr>
          <a:spLocks noChangeArrowheads="1"/>
        </xdr:cNvSpPr>
      </xdr:nvSpPr>
      <xdr:spPr bwMode="auto">
        <a:xfrm>
          <a:off x="381000" y="9061450"/>
          <a:ext cx="0" cy="727075"/>
        </a:xfrm>
        <a:prstGeom prst="flowChartAlternateProcess">
          <a:avLst/>
        </a:prstGeom>
        <a:solidFill>
          <a:srgbClr val="FFFFFF"/>
        </a:solidFill>
        <a:ln w="9525">
          <a:solidFill>
            <a:srgbClr val="000000"/>
          </a:solidFill>
          <a:miter lim="800000"/>
          <a:headEnd/>
          <a:tailEnd/>
        </a:ln>
      </xdr:spPr>
      <xdr:txBody>
        <a:bodyPr vertOverflow="clip" wrap="square" lIns="36576" tIns="41148" rIns="36576" bIns="41148" anchor="ctr" upright="1"/>
        <a:lstStyle/>
        <a:p>
          <a:pPr algn="dist" rtl="0">
            <a:defRPr sz="1000"/>
          </a:pPr>
          <a:r>
            <a:rPr lang="zh-TW" altLang="en-US" sz="1200" b="1" i="0" strike="noStrike">
              <a:solidFill>
                <a:srgbClr val="000000"/>
              </a:solidFill>
              <a:latin typeface="新細明體"/>
              <a:ea typeface="新細明體"/>
            </a:rPr>
            <a:t>作業開始：　　　　　米</a:t>
          </a:r>
        </a:p>
        <a:p>
          <a:pPr algn="dist" rtl="0">
            <a:defRPr sz="1000"/>
          </a:pPr>
          <a:r>
            <a:rPr lang="zh-TW" altLang="en-US" sz="1200" b="1" i="0" strike="noStrike">
              <a:solidFill>
                <a:srgbClr val="000000"/>
              </a:solidFill>
              <a:latin typeface="新細明體"/>
              <a:ea typeface="新細明體"/>
            </a:rPr>
            <a:t>作業結束：　　　　　米</a:t>
          </a:r>
        </a:p>
        <a:p>
          <a:pPr algn="dist" rtl="0">
            <a:defRPr sz="1000"/>
          </a:pPr>
          <a:r>
            <a:rPr lang="zh-TW" altLang="en-US" sz="1200" b="1" i="0" strike="noStrike">
              <a:solidFill>
                <a:srgbClr val="000000"/>
              </a:solidFill>
              <a:latin typeface="新細明體"/>
              <a:ea typeface="新細明體"/>
            </a:rPr>
            <a:t>實際運行：　　　　　米</a:t>
          </a:r>
          <a:r>
            <a:rPr lang="zh-TW" altLang="en-US" sz="1200" b="1" i="0" strike="noStrike">
              <a:solidFill>
                <a:srgbClr val="000000"/>
              </a:solidFill>
              <a:latin typeface="Times New Roman"/>
              <a:cs typeface="Times New Roman"/>
            </a:rPr>
            <a:t> </a:t>
          </a:r>
        </a:p>
      </xdr:txBody>
    </xdr:sp>
    <xdr:clientData/>
  </xdr:twoCellAnchor>
  <xdr:twoCellAnchor editAs="oneCell">
    <xdr:from>
      <xdr:col>2</xdr:col>
      <xdr:colOff>82827</xdr:colOff>
      <xdr:row>39</xdr:row>
      <xdr:rowOff>40444</xdr:rowOff>
    </xdr:from>
    <xdr:to>
      <xdr:col>2</xdr:col>
      <xdr:colOff>240196</xdr:colOff>
      <xdr:row>39</xdr:row>
      <xdr:rowOff>160681</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027" y="6250744"/>
          <a:ext cx="157369" cy="1202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11</xdr:row>
      <xdr:rowOff>0</xdr:rowOff>
    </xdr:from>
    <xdr:to>
      <xdr:col>0</xdr:col>
      <xdr:colOff>0</xdr:colOff>
      <xdr:row>11</xdr:row>
      <xdr:rowOff>0</xdr:rowOff>
    </xdr:to>
    <xdr:sp macro="" textlink="">
      <xdr:nvSpPr>
        <xdr:cNvPr id="2" name="Text Box 18">
          <a:extLst>
            <a:ext uri="{FF2B5EF4-FFF2-40B4-BE49-F238E27FC236}">
              <a16:creationId xmlns:a16="http://schemas.microsoft.com/office/drawing/2014/main" id="{00000000-0008-0000-0B00-000002000000}"/>
            </a:ext>
          </a:extLst>
        </xdr:cNvPr>
        <xdr:cNvSpPr txBox="1">
          <a:spLocks noChangeArrowheads="1"/>
        </xdr:cNvSpPr>
      </xdr:nvSpPr>
      <xdr:spPr bwMode="auto">
        <a:xfrm>
          <a:off x="0" y="2771775"/>
          <a:ext cx="0" cy="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TW" altLang="en-US" sz="800" b="0" i="0" strike="noStrike">
              <a:solidFill>
                <a:srgbClr val="000000"/>
              </a:solidFill>
              <a:latin typeface="Times New Roman"/>
              <a:cs typeface="Times New Roman"/>
            </a:rPr>
            <a:t> </a:t>
          </a:r>
          <a:endParaRPr lang="zh-TW" altLang="en-US" sz="1200" b="0" i="0" strike="noStrike">
            <a:solidFill>
              <a:srgbClr val="000000"/>
            </a:solidFill>
            <a:latin typeface="Times New Roman"/>
            <a:cs typeface="Times New Roman"/>
          </a:endParaRPr>
        </a:p>
        <a:p>
          <a:pPr algn="l" rtl="0">
            <a:defRPr sz="1000"/>
          </a:pPr>
          <a:r>
            <a:rPr lang="zh-TW" altLang="en-US" sz="800" b="0" i="0" strike="noStrike">
              <a:solidFill>
                <a:srgbClr val="000000"/>
              </a:solidFill>
              <a:latin typeface="Times New Roman"/>
              <a:cs typeface="Times New Roman"/>
            </a:rPr>
            <a:t> </a:t>
          </a:r>
        </a:p>
      </xdr:txBody>
    </xdr:sp>
    <xdr:clientData/>
  </xdr:twoCellAnchor>
  <xdr:twoCellAnchor>
    <xdr:from>
      <xdr:col>0</xdr:col>
      <xdr:colOff>0</xdr:colOff>
      <xdr:row>11</xdr:row>
      <xdr:rowOff>0</xdr:rowOff>
    </xdr:from>
    <xdr:to>
      <xdr:col>0</xdr:col>
      <xdr:colOff>0</xdr:colOff>
      <xdr:row>11</xdr:row>
      <xdr:rowOff>0</xdr:rowOff>
    </xdr:to>
    <xdr:sp macro="" textlink="">
      <xdr:nvSpPr>
        <xdr:cNvPr id="3" name="Text Box 17">
          <a:extLst>
            <a:ext uri="{FF2B5EF4-FFF2-40B4-BE49-F238E27FC236}">
              <a16:creationId xmlns:a16="http://schemas.microsoft.com/office/drawing/2014/main" id="{00000000-0008-0000-0B00-000003000000}"/>
            </a:ext>
          </a:extLst>
        </xdr:cNvPr>
        <xdr:cNvSpPr txBox="1">
          <a:spLocks noChangeArrowheads="1"/>
        </xdr:cNvSpPr>
      </xdr:nvSpPr>
      <xdr:spPr bwMode="auto">
        <a:xfrm>
          <a:off x="0" y="2771775"/>
          <a:ext cx="0" cy="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TW" altLang="en-US" sz="1000" b="0" i="0" strike="noStrike">
              <a:solidFill>
                <a:srgbClr val="000000"/>
              </a:solidFill>
              <a:latin typeface="新細明體"/>
              <a:ea typeface="新細明體"/>
            </a:rPr>
            <a:t>備</a:t>
          </a:r>
          <a:endParaRPr lang="zh-TW" altLang="en-US" sz="1200" b="0" i="0" strike="noStrike">
            <a:solidFill>
              <a:srgbClr val="000000"/>
            </a:solidFill>
            <a:latin typeface="Times New Roman"/>
            <a:cs typeface="Times New Roman"/>
          </a:endParaRPr>
        </a:p>
        <a:p>
          <a:pPr algn="l" rtl="0">
            <a:defRPr sz="1000"/>
          </a:pPr>
          <a:r>
            <a:rPr lang="zh-TW" altLang="en-US" sz="1000" b="0" i="0" strike="noStrike">
              <a:solidFill>
                <a:srgbClr val="000000"/>
              </a:solidFill>
              <a:latin typeface="Times New Roman"/>
              <a:cs typeface="Times New Roman"/>
            </a:rPr>
            <a:t> </a:t>
          </a:r>
          <a:endParaRPr lang="zh-TW" altLang="en-US" sz="1200" b="0" i="0" strike="noStrike">
            <a:solidFill>
              <a:srgbClr val="000000"/>
            </a:solidFill>
            <a:latin typeface="Times New Roman"/>
            <a:cs typeface="Times New Roman"/>
          </a:endParaRPr>
        </a:p>
        <a:p>
          <a:pPr algn="l" rtl="0">
            <a:defRPr sz="1000"/>
          </a:pPr>
          <a:r>
            <a:rPr lang="zh-TW" altLang="en-US" sz="1000" b="0" i="0" strike="noStrike">
              <a:solidFill>
                <a:srgbClr val="000000"/>
              </a:solidFill>
              <a:latin typeface="新細明體"/>
              <a:ea typeface="新細明體"/>
            </a:rPr>
            <a:t>註</a:t>
          </a:r>
        </a:p>
      </xdr:txBody>
    </xdr:sp>
    <xdr:clientData/>
  </xdr:twoCellAnchor>
  <xdr:twoCellAnchor>
    <xdr:from>
      <xdr:col>0</xdr:col>
      <xdr:colOff>0</xdr:colOff>
      <xdr:row>11</xdr:row>
      <xdr:rowOff>0</xdr:rowOff>
    </xdr:from>
    <xdr:to>
      <xdr:col>0</xdr:col>
      <xdr:colOff>0</xdr:colOff>
      <xdr:row>11</xdr:row>
      <xdr:rowOff>0</xdr:rowOff>
    </xdr:to>
    <xdr:sp macro="" textlink="">
      <xdr:nvSpPr>
        <xdr:cNvPr id="4" name="Text Box 16">
          <a:extLst>
            <a:ext uri="{FF2B5EF4-FFF2-40B4-BE49-F238E27FC236}">
              <a16:creationId xmlns:a16="http://schemas.microsoft.com/office/drawing/2014/main" id="{00000000-0008-0000-0B00-000004000000}"/>
            </a:ext>
          </a:extLst>
        </xdr:cNvPr>
        <xdr:cNvSpPr txBox="1">
          <a:spLocks noChangeArrowheads="1"/>
        </xdr:cNvSpPr>
      </xdr:nvSpPr>
      <xdr:spPr bwMode="auto">
        <a:xfrm>
          <a:off x="0" y="2771775"/>
          <a:ext cx="0" cy="0"/>
        </a:xfrm>
        <a:prstGeom prst="rect">
          <a:avLst/>
        </a:prstGeom>
        <a:solidFill>
          <a:srgbClr val="FFFFFF"/>
        </a:solidFill>
        <a:ln w="9525">
          <a:solidFill>
            <a:srgbClr val="000000"/>
          </a:solidFill>
          <a:miter lim="800000"/>
          <a:headEnd/>
          <a:tailEnd/>
        </a:ln>
      </xdr:spPr>
      <xdr:txBody>
        <a:bodyPr vertOverflow="clip" vert="wordArtVertRtl" wrap="square" lIns="91440" tIns="45720" rIns="91440" bIns="45720" anchor="b" upright="1"/>
        <a:lstStyle/>
        <a:p>
          <a:pPr algn="l" rtl="0">
            <a:defRPr sz="1000"/>
          </a:pPr>
          <a:r>
            <a:rPr lang="zh-TW" altLang="en-US" sz="1000" b="0" i="0" strike="noStrike">
              <a:solidFill>
                <a:srgbClr val="000000"/>
              </a:solidFill>
              <a:latin typeface="Times New Roman"/>
              <a:cs typeface="Times New Roman"/>
            </a:rPr>
            <a:t> </a:t>
          </a:r>
        </a:p>
      </xdr:txBody>
    </xdr:sp>
    <xdr:clientData/>
  </xdr:twoCellAnchor>
  <xdr:twoCellAnchor>
    <xdr:from>
      <xdr:col>0</xdr:col>
      <xdr:colOff>0</xdr:colOff>
      <xdr:row>31</xdr:row>
      <xdr:rowOff>165100</xdr:rowOff>
    </xdr:from>
    <xdr:to>
      <xdr:col>0</xdr:col>
      <xdr:colOff>0</xdr:colOff>
      <xdr:row>36</xdr:row>
      <xdr:rowOff>57150</xdr:rowOff>
    </xdr:to>
    <xdr:sp macro="" textlink="">
      <xdr:nvSpPr>
        <xdr:cNvPr id="5" name="Text Box 13">
          <a:extLst>
            <a:ext uri="{FF2B5EF4-FFF2-40B4-BE49-F238E27FC236}">
              <a16:creationId xmlns:a16="http://schemas.microsoft.com/office/drawing/2014/main" id="{00000000-0008-0000-0B00-000005000000}"/>
            </a:ext>
          </a:extLst>
        </xdr:cNvPr>
        <xdr:cNvSpPr txBox="1">
          <a:spLocks noChangeArrowheads="1"/>
        </xdr:cNvSpPr>
      </xdr:nvSpPr>
      <xdr:spPr bwMode="auto">
        <a:xfrm>
          <a:off x="0" y="8804275"/>
          <a:ext cx="0" cy="194945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TW" altLang="en-US" sz="1200" b="0" i="0" strike="noStrike">
              <a:solidFill>
                <a:srgbClr val="000000"/>
              </a:solidFill>
              <a:latin typeface="Times New Roman"/>
              <a:cs typeface="Times New Roman"/>
            </a:rPr>
            <a:t> </a:t>
          </a:r>
        </a:p>
      </xdr:txBody>
    </xdr:sp>
    <xdr:clientData/>
  </xdr:twoCellAnchor>
  <xdr:twoCellAnchor>
    <xdr:from>
      <xdr:col>0</xdr:col>
      <xdr:colOff>0</xdr:colOff>
      <xdr:row>11</xdr:row>
      <xdr:rowOff>0</xdr:rowOff>
    </xdr:from>
    <xdr:to>
      <xdr:col>0</xdr:col>
      <xdr:colOff>0</xdr:colOff>
      <xdr:row>11</xdr:row>
      <xdr:rowOff>0</xdr:rowOff>
    </xdr:to>
    <xdr:sp macro="" textlink="">
      <xdr:nvSpPr>
        <xdr:cNvPr id="6" name="Rectangle 14">
          <a:extLst>
            <a:ext uri="{FF2B5EF4-FFF2-40B4-BE49-F238E27FC236}">
              <a16:creationId xmlns:a16="http://schemas.microsoft.com/office/drawing/2014/main" id="{00000000-0008-0000-0B00-000006000000}"/>
            </a:ext>
          </a:extLst>
        </xdr:cNvPr>
        <xdr:cNvSpPr>
          <a:spLocks noChangeArrowheads="1"/>
        </xdr:cNvSpPr>
      </xdr:nvSpPr>
      <xdr:spPr bwMode="auto">
        <a:xfrm>
          <a:off x="0" y="2771775"/>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11</xdr:row>
      <xdr:rowOff>0</xdr:rowOff>
    </xdr:from>
    <xdr:to>
      <xdr:col>0</xdr:col>
      <xdr:colOff>0</xdr:colOff>
      <xdr:row>11</xdr:row>
      <xdr:rowOff>0</xdr:rowOff>
    </xdr:to>
    <xdr:sp macro="" textlink="">
      <xdr:nvSpPr>
        <xdr:cNvPr id="7" name="Text Box 15">
          <a:extLst>
            <a:ext uri="{FF2B5EF4-FFF2-40B4-BE49-F238E27FC236}">
              <a16:creationId xmlns:a16="http://schemas.microsoft.com/office/drawing/2014/main" id="{00000000-0008-0000-0B00-000007000000}"/>
            </a:ext>
          </a:extLst>
        </xdr:cNvPr>
        <xdr:cNvSpPr txBox="1">
          <a:spLocks noChangeArrowheads="1"/>
        </xdr:cNvSpPr>
      </xdr:nvSpPr>
      <xdr:spPr bwMode="auto">
        <a:xfrm>
          <a:off x="0" y="2771775"/>
          <a:ext cx="0" cy="0"/>
        </a:xfrm>
        <a:prstGeom prst="rect">
          <a:avLst/>
        </a:prstGeom>
        <a:solidFill>
          <a:srgbClr val="FFFFFF"/>
        </a:solidFill>
        <a:ln w="9525">
          <a:solidFill>
            <a:srgbClr val="000000"/>
          </a:solidFill>
          <a:miter lim="800000"/>
          <a:headEnd/>
          <a:tailEnd/>
        </a:ln>
      </xdr:spPr>
      <xdr:txBody>
        <a:bodyPr vertOverflow="clip" vert="wordArtVertRtl" wrap="square" lIns="91440" tIns="45720" rIns="91440" bIns="45720" anchor="b" upright="1"/>
        <a:lstStyle/>
        <a:p>
          <a:pPr algn="l" rtl="0">
            <a:defRPr sz="1000"/>
          </a:pPr>
          <a:r>
            <a:rPr lang="zh-TW" altLang="en-US" sz="1000" b="0" i="0" strike="noStrike">
              <a:solidFill>
                <a:srgbClr val="000000"/>
              </a:solidFill>
              <a:latin typeface="新細明體"/>
              <a:ea typeface="新細明體"/>
            </a:rPr>
            <a:t>查核簽章</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AA1:AV177" totalsRowShown="0" headerRowDxfId="79" dataDxfId="77" headerRowBorderDxfId="78" tableBorderDxfId="76" totalsRowBorderDxfId="75">
  <tableColumns count="22">
    <tableColumn id="1" xr3:uid="{00000000-0010-0000-0000-000001000000}" name="Sr.No" dataDxfId="74"/>
    <tableColumn id="2" xr3:uid="{00000000-0010-0000-0000-000002000000}" name="Die Number" dataDxfId="73"/>
    <tableColumn id="3" xr3:uid="{00000000-0010-0000-0000-000003000000}" name="Compound" dataDxfId="72"/>
    <tableColumn id="4" xr3:uid="{00000000-0010-0000-0000-000004000000}" name="Total Width" dataDxfId="71"/>
    <tableColumn id="5" xr3:uid="{00000000-0010-0000-0000-000005000000}" name="Top Width" dataDxfId="70"/>
    <tableColumn id="6" xr3:uid="{00000000-0010-0000-0000-000006000000}" name="Length" dataDxfId="69"/>
    <tableColumn id="7" xr3:uid="{00000000-0010-0000-0000-000007000000}" name="Weight" dataDxfId="68"/>
    <tableColumn id="8" xr3:uid="{00000000-0010-0000-0000-000008000000}" name="1 m Weight" dataDxfId="67"/>
    <tableColumn id="9" xr3:uid="{00000000-0010-0000-0000-000009000000}" name="Spec No." dataDxfId="66"/>
    <tableColumn id="10" xr3:uid="{00000000-0010-0000-0000-00000A000000}" name="Edition" dataDxfId="65"/>
    <tableColumn id="11" xr3:uid="{00000000-0010-0000-0000-00000B000000}" name="Tread Size" dataDxfId="64"/>
    <tableColumn id="12" xr3:uid="{00000000-0010-0000-0000-00000C000000}" name="Mold Pattern" dataDxfId="63"/>
    <tableColumn id="13" xr3:uid="{00000000-0010-0000-0000-00000D000000}" name="TT/TL" dataDxfId="62"/>
    <tableColumn id="14" xr3:uid="{00000000-0010-0000-0000-00000E000000}" name="Stage" dataDxfId="61"/>
    <tableColumn id="15" xr3:uid="{00000000-0010-0000-0000-00000F000000}" name="OEM" dataDxfId="60"/>
    <tableColumn id="16" xr3:uid="{00000000-0010-0000-0000-000010000000}" name="Spec. Issue Date" dataDxfId="59"/>
    <tableColumn id="17" xr3:uid="{00000000-0010-0000-0000-000011000000}" name="Die Machining Date" dataDxfId="58"/>
    <tableColumn id="18" xr3:uid="{00000000-0010-0000-0000-000012000000}" name="Prototype Completion Date" dataDxfId="57"/>
    <tableColumn id="19" xr3:uid="{00000000-0010-0000-0000-000013000000}" name="Pre-launch Completion Date" dataDxfId="56"/>
    <tableColumn id="20" xr3:uid="{00000000-0010-0000-0000-000014000000}" name="Production Date" dataDxfId="55"/>
    <tableColumn id="21" xr3:uid="{00000000-0010-0000-0000-000015000000}" name="Spec. Revoke Date" dataDxfId="54"/>
    <tableColumn id="22" xr3:uid="{00000000-0010-0000-0000-000016000000}" name="Remark"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V246" totalsRowShown="0" headerRowDxfId="52" dataDxfId="50" headerRowBorderDxfId="51" tableBorderDxfId="49" totalsRowBorderDxfId="48">
  <tableColumns count="22">
    <tableColumn id="1" xr3:uid="{00000000-0010-0000-0100-000001000000}" name="Sr.No" dataDxfId="47"/>
    <tableColumn id="2" xr3:uid="{00000000-0010-0000-0100-000002000000}" name="Die Number" dataDxfId="46"/>
    <tableColumn id="3" xr3:uid="{00000000-0010-0000-0100-000003000000}" name="Compound" dataDxfId="45"/>
    <tableColumn id="4" xr3:uid="{00000000-0010-0000-0100-000004000000}" name="Total Width" dataDxfId="44"/>
    <tableColumn id="5" xr3:uid="{00000000-0010-0000-0100-000005000000}" name="Top Width" dataDxfId="43"/>
    <tableColumn id="6" xr3:uid="{00000000-0010-0000-0100-000006000000}" name="Length" dataDxfId="42"/>
    <tableColumn id="7" xr3:uid="{00000000-0010-0000-0100-000007000000}" name="Weight" dataDxfId="41"/>
    <tableColumn id="8" xr3:uid="{00000000-0010-0000-0100-000008000000}" name="1 m Weight" dataDxfId="40"/>
    <tableColumn id="9" xr3:uid="{00000000-0010-0000-0100-000009000000}" name="Spec No." dataDxfId="39"/>
    <tableColumn id="10" xr3:uid="{00000000-0010-0000-0100-00000A000000}" name="Edition" dataDxfId="38"/>
    <tableColumn id="11" xr3:uid="{00000000-0010-0000-0100-00000B000000}" name="Tread Size" dataDxfId="37"/>
    <tableColumn id="12" xr3:uid="{00000000-0010-0000-0100-00000C000000}" name="Mold Pattern" dataDxfId="36"/>
    <tableColumn id="13" xr3:uid="{00000000-0010-0000-0100-00000D000000}" name="TT/TL" dataDxfId="35"/>
    <tableColumn id="14" xr3:uid="{00000000-0010-0000-0100-00000E000000}" name="Stage" dataDxfId="34"/>
    <tableColumn id="15" xr3:uid="{00000000-0010-0000-0100-00000F000000}" name="OEM" dataDxfId="33"/>
    <tableColumn id="16" xr3:uid="{00000000-0010-0000-0100-000010000000}" name="Spec. Issue Date" dataDxfId="32"/>
    <tableColumn id="17" xr3:uid="{00000000-0010-0000-0100-000011000000}" name="Die Machining Date" dataDxfId="31"/>
    <tableColumn id="18" xr3:uid="{00000000-0010-0000-0100-000012000000}" name="Prototype Completion Date" dataDxfId="30"/>
    <tableColumn id="19" xr3:uid="{00000000-0010-0000-0100-000013000000}" name="Pre-launch Completion Date" dataDxfId="29"/>
    <tableColumn id="20" xr3:uid="{00000000-0010-0000-0100-000014000000}" name="Production Date" dataDxfId="28"/>
    <tableColumn id="21" xr3:uid="{00000000-0010-0000-0100-000015000000}" name="Spec. Revoke Date" dataDxfId="27"/>
    <tableColumn id="22" xr3:uid="{00000000-0010-0000-0100-000016000000}" name="Remark"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A1:Q1068" totalsRowShown="0" headerRowDxfId="24" headerRowBorderDxfId="23" tableBorderDxfId="22">
  <sortState xmlns:xlrd2="http://schemas.microsoft.com/office/spreadsheetml/2017/richdata2" ref="A2:Q1068">
    <sortCondition descending="1" ref="B1"/>
  </sortState>
  <tableColumns count="17">
    <tableColumn id="1" xr3:uid="{00000000-0010-0000-0200-000001000000}" name="Sr.No" dataDxfId="21"/>
    <tableColumn id="2" xr3:uid="{00000000-0010-0000-0200-000002000000}" name="Date" dataDxfId="20"/>
    <tableColumn id="3" xr3:uid="{00000000-0010-0000-0200-000003000000}" name="Shift " dataDxfId="19"/>
    <tableColumn id="4" xr3:uid="{00000000-0010-0000-0200-000004000000}" name="Die No" dataDxfId="18"/>
    <tableColumn id="5" xr3:uid="{00000000-0010-0000-0200-000005000000}" name="Child No." dataDxfId="17"/>
    <tableColumn id="6" xr3:uid="{00000000-0010-0000-0200-000006000000}" name="Compound" dataDxfId="16"/>
    <tableColumn id="7" xr3:uid="{00000000-0010-0000-0200-000007000000}" name="Upper Extruder" dataDxfId="15"/>
    <tableColumn id="8" xr3:uid="{00000000-0010-0000-0200-000008000000}" name="Middle Extruder" dataDxfId="14"/>
    <tableColumn id="9" xr3:uid="{00000000-0010-0000-0200-000009000000}" name="Lower Extruder" dataDxfId="13"/>
    <tableColumn id="10" xr3:uid="{00000000-0010-0000-0200-00000A000000}" name="Line Speed" dataDxfId="12"/>
    <tableColumn id="11" xr3:uid="{00000000-0010-0000-0200-00000B000000}" name="Pre Width " dataDxfId="11"/>
    <tableColumn id="12" xr3:uid="{00000000-0010-0000-0200-00000C000000}" name="Pre Weight " dataDxfId="10"/>
    <tableColumn id="13" xr3:uid="{00000000-0010-0000-0200-00000D000000}" name="Post Width " dataDxfId="9"/>
    <tableColumn id="14" xr3:uid="{00000000-0010-0000-0200-00000E000000}" name="Post Weight " dataDxfId="8"/>
    <tableColumn id="15" xr3:uid="{00000000-0010-0000-0200-00000F000000}" name="Machine" dataDxfId="7"/>
    <tableColumn id="16" xr3:uid="{00000000-0010-0000-0200-000010000000}" name="Test Type" dataDxfId="6"/>
    <tableColumn id="17" xr3:uid="{00000000-0010-0000-0200-000011000000}" name="Die Test Result &amp; Remark"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1"/>
  <dimension ref="A1:AV246"/>
  <sheetViews>
    <sheetView showGridLines="0" zoomScale="85" zoomScaleNormal="85" workbookViewId="0">
      <pane xSplit="2" ySplit="1" topLeftCell="C2" activePane="bottomRight" state="frozen"/>
      <selection pane="topRight" activeCell="C1" sqref="C1"/>
      <selection pane="bottomLeft" activeCell="A2" sqref="A2"/>
      <selection pane="bottomRight" activeCell="B1" sqref="B1:V1048576"/>
    </sheetView>
  </sheetViews>
  <sheetFormatPr defaultColWidth="9.109375" defaultRowHeight="20.100000000000001" customHeight="1"/>
  <cols>
    <col min="1" max="1" width="5.88671875" style="46" bestFit="1" customWidth="1"/>
    <col min="2" max="2" width="18.6640625" style="46" customWidth="1"/>
    <col min="3" max="3" width="11.5546875" style="194" customWidth="1"/>
    <col min="4" max="8" width="8.6640625" style="194" customWidth="1"/>
    <col min="9" max="9" width="10.6640625" style="194" customWidth="1"/>
    <col min="10" max="10" width="7.6640625" style="194" customWidth="1"/>
    <col min="11" max="11" width="12.6640625" style="195" customWidth="1"/>
    <col min="12" max="12" width="8.6640625" style="194" customWidth="1"/>
    <col min="13" max="14" width="6.6640625" style="194" customWidth="1"/>
    <col min="15" max="15" width="14.33203125" style="194" customWidth="1"/>
    <col min="16" max="21" width="10.6640625" style="49" customWidth="1"/>
    <col min="22" max="22" width="44.6640625" style="46" bestFit="1" customWidth="1"/>
    <col min="23" max="23" width="8.88671875"/>
    <col min="24" max="24" width="17.5546875" style="46" hidden="1" customWidth="1"/>
    <col min="25" max="25" width="6.109375" style="46" hidden="1" customWidth="1"/>
    <col min="26" max="26" width="9.109375" style="46" hidden="1" customWidth="1"/>
    <col min="27" max="27" width="5.88671875" style="46" hidden="1" customWidth="1"/>
    <col min="28" max="28" width="18.6640625" style="46" hidden="1" customWidth="1"/>
    <col min="29" max="29" width="11.5546875" style="47" hidden="1" customWidth="1"/>
    <col min="30" max="34" width="8.6640625" style="47" hidden="1" customWidth="1"/>
    <col min="35" max="35" width="10.6640625" style="46" hidden="1" customWidth="1"/>
    <col min="36" max="36" width="7.6640625" style="47" hidden="1" customWidth="1"/>
    <col min="37" max="37" width="12.6640625" style="48" hidden="1" customWidth="1"/>
    <col min="38" max="38" width="8.6640625" style="46" hidden="1" customWidth="1"/>
    <col min="39" max="40" width="6.6640625" style="46" hidden="1" customWidth="1"/>
    <col min="41" max="41" width="14.33203125" style="46" hidden="1" customWidth="1"/>
    <col min="42" max="47" width="10.6640625" style="49" hidden="1" customWidth="1"/>
    <col min="48" max="48" width="29.109375" style="46" hidden="1" customWidth="1"/>
    <col min="49" max="16384" width="9.109375" style="46"/>
  </cols>
  <sheetData>
    <row r="1" spans="1:48" ht="59.25" customHeight="1">
      <c r="A1" s="60" t="s">
        <v>2</v>
      </c>
      <c r="B1" s="61" t="s">
        <v>11</v>
      </c>
      <c r="C1" s="62" t="s">
        <v>12</v>
      </c>
      <c r="D1" s="63" t="s">
        <v>25</v>
      </c>
      <c r="E1" s="63" t="s">
        <v>13</v>
      </c>
      <c r="F1" s="62" t="s">
        <v>14</v>
      </c>
      <c r="G1" s="62" t="s">
        <v>15</v>
      </c>
      <c r="H1" s="63" t="s">
        <v>16</v>
      </c>
      <c r="I1" s="62" t="s">
        <v>17</v>
      </c>
      <c r="J1" s="62" t="s">
        <v>18</v>
      </c>
      <c r="K1" s="62" t="s">
        <v>22</v>
      </c>
      <c r="L1" s="63" t="s">
        <v>24</v>
      </c>
      <c r="M1" s="62" t="s">
        <v>19</v>
      </c>
      <c r="N1" s="62" t="s">
        <v>20</v>
      </c>
      <c r="O1" s="62" t="s">
        <v>21</v>
      </c>
      <c r="P1" s="67" t="s">
        <v>625</v>
      </c>
      <c r="Q1" s="67" t="s">
        <v>626</v>
      </c>
      <c r="R1" s="67" t="s">
        <v>627</v>
      </c>
      <c r="S1" s="67" t="s">
        <v>628</v>
      </c>
      <c r="T1" s="67" t="s">
        <v>629</v>
      </c>
      <c r="U1" s="67" t="s">
        <v>630</v>
      </c>
      <c r="V1" s="68" t="s">
        <v>7</v>
      </c>
      <c r="X1" s="70" t="s">
        <v>22</v>
      </c>
      <c r="AA1" s="60" t="s">
        <v>2</v>
      </c>
      <c r="AB1" s="61" t="s">
        <v>11</v>
      </c>
      <c r="AC1" s="62" t="s">
        <v>12</v>
      </c>
      <c r="AD1" s="63" t="s">
        <v>25</v>
      </c>
      <c r="AE1" s="64" t="s">
        <v>13</v>
      </c>
      <c r="AF1" s="65" t="s">
        <v>14</v>
      </c>
      <c r="AG1" s="65" t="s">
        <v>15</v>
      </c>
      <c r="AH1" s="64" t="s">
        <v>16</v>
      </c>
      <c r="AI1" s="61" t="s">
        <v>17</v>
      </c>
      <c r="AJ1" s="65" t="s">
        <v>18</v>
      </c>
      <c r="AK1" s="61" t="s">
        <v>22</v>
      </c>
      <c r="AL1" s="66" t="s">
        <v>24</v>
      </c>
      <c r="AM1" s="61" t="s">
        <v>19</v>
      </c>
      <c r="AN1" s="61" t="s">
        <v>20</v>
      </c>
      <c r="AO1" s="61" t="s">
        <v>21</v>
      </c>
      <c r="AP1" s="67" t="s">
        <v>625</v>
      </c>
      <c r="AQ1" s="67" t="s">
        <v>626</v>
      </c>
      <c r="AR1" s="67" t="s">
        <v>627</v>
      </c>
      <c r="AS1" s="67" t="s">
        <v>628</v>
      </c>
      <c r="AT1" s="67" t="s">
        <v>629</v>
      </c>
      <c r="AU1" s="67" t="s">
        <v>630</v>
      </c>
      <c r="AV1" s="68" t="s">
        <v>7</v>
      </c>
    </row>
    <row r="2" spans="1:48" s="59" customFormat="1" ht="20.100000000000001" customHeight="1">
      <c r="A2" s="189">
        <v>1</v>
      </c>
      <c r="B2" s="50" t="s">
        <v>505</v>
      </c>
      <c r="C2" s="51" t="s">
        <v>82</v>
      </c>
      <c r="D2" s="51" t="s">
        <v>473</v>
      </c>
      <c r="E2" s="51">
        <v>92</v>
      </c>
      <c r="F2" s="51">
        <v>1565</v>
      </c>
      <c r="G2" s="51">
        <v>1844</v>
      </c>
      <c r="H2" s="190">
        <v>1178</v>
      </c>
      <c r="I2" s="51" t="s">
        <v>212</v>
      </c>
      <c r="J2" s="51">
        <v>27</v>
      </c>
      <c r="K2" s="188" t="s">
        <v>213</v>
      </c>
      <c r="L2" s="51" t="s">
        <v>214</v>
      </c>
      <c r="M2" s="51" t="s">
        <v>60</v>
      </c>
      <c r="N2" s="51" t="s">
        <v>38</v>
      </c>
      <c r="O2" s="51" t="s">
        <v>215</v>
      </c>
      <c r="P2" s="54">
        <v>44274</v>
      </c>
      <c r="Q2" s="54"/>
      <c r="R2" s="54"/>
      <c r="S2" s="54"/>
      <c r="T2" s="54">
        <v>44274</v>
      </c>
      <c r="U2" s="54"/>
      <c r="V2" s="58"/>
      <c r="X2" s="59" t="s">
        <v>1818</v>
      </c>
      <c r="AA2" s="189">
        <v>187</v>
      </c>
      <c r="AB2" s="50" t="s">
        <v>1754</v>
      </c>
      <c r="AC2" s="51" t="s">
        <v>87</v>
      </c>
      <c r="AD2" s="51" t="s">
        <v>474</v>
      </c>
      <c r="AE2" s="51">
        <v>112</v>
      </c>
      <c r="AF2" s="51">
        <v>1845</v>
      </c>
      <c r="AG2" s="51">
        <v>1989</v>
      </c>
      <c r="AH2" s="190">
        <v>1078</v>
      </c>
      <c r="AI2" s="51" t="s">
        <v>431</v>
      </c>
      <c r="AJ2" s="51" t="s">
        <v>1485</v>
      </c>
      <c r="AK2" s="188" t="s">
        <v>432</v>
      </c>
      <c r="AL2" s="51" t="s">
        <v>395</v>
      </c>
      <c r="AM2" s="51" t="s">
        <v>59</v>
      </c>
      <c r="AN2" s="51" t="s">
        <v>37</v>
      </c>
      <c r="AO2" s="51" t="s">
        <v>1031</v>
      </c>
      <c r="AP2" s="54">
        <v>44407</v>
      </c>
      <c r="AQ2" s="54">
        <v>44382</v>
      </c>
      <c r="AR2" s="54">
        <v>44389</v>
      </c>
      <c r="AS2" s="54">
        <v>44532</v>
      </c>
      <c r="AT2" s="54"/>
      <c r="AU2" s="54"/>
      <c r="AV2" s="58"/>
    </row>
    <row r="3" spans="1:48" s="59" customFormat="1" ht="20.100000000000001" customHeight="1">
      <c r="A3" s="189">
        <v>2</v>
      </c>
      <c r="B3" s="50" t="s">
        <v>506</v>
      </c>
      <c r="C3" s="51" t="s">
        <v>83</v>
      </c>
      <c r="D3" s="51" t="s">
        <v>474</v>
      </c>
      <c r="E3" s="51">
        <v>90</v>
      </c>
      <c r="F3" s="51">
        <v>1565</v>
      </c>
      <c r="G3" s="51">
        <v>1653</v>
      </c>
      <c r="H3" s="190">
        <v>1056</v>
      </c>
      <c r="I3" s="51" t="s">
        <v>216</v>
      </c>
      <c r="J3" s="51">
        <v>22</v>
      </c>
      <c r="K3" s="188" t="s">
        <v>213</v>
      </c>
      <c r="L3" s="51" t="s">
        <v>217</v>
      </c>
      <c r="M3" s="51" t="s">
        <v>60</v>
      </c>
      <c r="N3" s="51" t="s">
        <v>38</v>
      </c>
      <c r="O3" s="51" t="s">
        <v>215</v>
      </c>
      <c r="P3" s="54">
        <v>44274</v>
      </c>
      <c r="Q3" s="54"/>
      <c r="R3" s="54"/>
      <c r="S3" s="54"/>
      <c r="T3" s="54" t="s">
        <v>1713</v>
      </c>
      <c r="U3" s="54"/>
      <c r="V3" s="58"/>
      <c r="AA3" s="189"/>
      <c r="AB3" s="55"/>
      <c r="AC3" s="56"/>
      <c r="AD3" s="56"/>
      <c r="AE3" s="56"/>
      <c r="AF3" s="56"/>
      <c r="AG3" s="56"/>
      <c r="AH3" s="236"/>
      <c r="AI3" s="56"/>
      <c r="AJ3" s="56"/>
      <c r="AK3" s="236"/>
      <c r="AL3" s="56"/>
      <c r="AM3" s="56"/>
      <c r="AN3" s="56"/>
      <c r="AO3" s="56"/>
      <c r="AP3" s="57"/>
      <c r="AQ3" s="57"/>
      <c r="AR3" s="57"/>
      <c r="AS3" s="57"/>
      <c r="AT3" s="57"/>
      <c r="AU3" s="57"/>
      <c r="AV3" s="69"/>
    </row>
    <row r="4" spans="1:48" s="59" customFormat="1" ht="20.100000000000001" customHeight="1">
      <c r="A4" s="189">
        <v>3</v>
      </c>
      <c r="B4" s="50" t="s">
        <v>507</v>
      </c>
      <c r="C4" s="51" t="s">
        <v>84</v>
      </c>
      <c r="D4" s="51" t="s">
        <v>475</v>
      </c>
      <c r="E4" s="51">
        <v>106</v>
      </c>
      <c r="F4" s="51">
        <v>900</v>
      </c>
      <c r="G4" s="51">
        <v>1594</v>
      </c>
      <c r="H4" s="190">
        <v>1771</v>
      </c>
      <c r="I4" s="51" t="s">
        <v>218</v>
      </c>
      <c r="J4" s="51">
        <v>11</v>
      </c>
      <c r="K4" s="188" t="s">
        <v>219</v>
      </c>
      <c r="L4" s="51" t="s">
        <v>214</v>
      </c>
      <c r="M4" s="51" t="s">
        <v>60</v>
      </c>
      <c r="N4" s="51" t="s">
        <v>38</v>
      </c>
      <c r="O4" s="51" t="s">
        <v>384</v>
      </c>
      <c r="P4" s="54">
        <v>44387</v>
      </c>
      <c r="Q4" s="54"/>
      <c r="R4" s="54"/>
      <c r="S4" s="54"/>
      <c r="T4" s="54">
        <v>44387</v>
      </c>
      <c r="U4" s="54"/>
      <c r="V4" s="58"/>
      <c r="AA4" s="189"/>
      <c r="AB4" s="55"/>
      <c r="AC4" s="56"/>
      <c r="AD4" s="56"/>
      <c r="AE4" s="56"/>
      <c r="AF4" s="56"/>
      <c r="AG4" s="56"/>
      <c r="AH4" s="236"/>
      <c r="AI4" s="56"/>
      <c r="AJ4" s="56"/>
      <c r="AK4" s="193"/>
      <c r="AL4" s="56"/>
      <c r="AM4" s="56"/>
      <c r="AN4" s="56"/>
      <c r="AO4" s="56"/>
      <c r="AP4" s="57"/>
      <c r="AQ4" s="57"/>
      <c r="AR4" s="57"/>
      <c r="AS4" s="57"/>
      <c r="AT4" s="57"/>
      <c r="AU4" s="57"/>
      <c r="AV4" s="69"/>
    </row>
    <row r="5" spans="1:48" s="59" customFormat="1" ht="20.100000000000001" customHeight="1">
      <c r="A5" s="189">
        <v>4</v>
      </c>
      <c r="B5" s="50" t="s">
        <v>508</v>
      </c>
      <c r="C5" s="51" t="s">
        <v>84</v>
      </c>
      <c r="D5" s="51" t="s">
        <v>475</v>
      </c>
      <c r="E5" s="51" t="s">
        <v>498</v>
      </c>
      <c r="F5" s="51" t="s">
        <v>499</v>
      </c>
      <c r="G5" s="51" t="s">
        <v>1489</v>
      </c>
      <c r="H5" s="190" t="s">
        <v>1490</v>
      </c>
      <c r="I5" s="51" t="s">
        <v>220</v>
      </c>
      <c r="J5" s="51" t="s">
        <v>994</v>
      </c>
      <c r="K5" s="188" t="s">
        <v>219</v>
      </c>
      <c r="L5" s="51" t="s">
        <v>221</v>
      </c>
      <c r="M5" s="51" t="s">
        <v>60</v>
      </c>
      <c r="N5" s="51" t="s">
        <v>38</v>
      </c>
      <c r="O5" s="51" t="s">
        <v>384</v>
      </c>
      <c r="P5" s="54" t="s">
        <v>1486</v>
      </c>
      <c r="Q5" s="54" t="s">
        <v>648</v>
      </c>
      <c r="R5" s="54" t="s">
        <v>648</v>
      </c>
      <c r="S5" s="54" t="s">
        <v>648</v>
      </c>
      <c r="T5" s="54">
        <v>44387</v>
      </c>
      <c r="U5" s="54" t="s">
        <v>648</v>
      </c>
      <c r="V5" s="58" t="s">
        <v>648</v>
      </c>
      <c r="AA5" s="189"/>
      <c r="AB5" s="50"/>
      <c r="AC5" s="51"/>
      <c r="AD5" s="51"/>
      <c r="AE5" s="51"/>
      <c r="AF5" s="51"/>
      <c r="AG5" s="51"/>
      <c r="AH5" s="190"/>
      <c r="AI5" s="51"/>
      <c r="AJ5" s="51"/>
      <c r="AK5" s="188"/>
      <c r="AL5" s="51"/>
      <c r="AM5" s="51"/>
      <c r="AN5" s="51"/>
      <c r="AO5" s="51"/>
      <c r="AP5" s="54"/>
      <c r="AQ5" s="54"/>
      <c r="AR5" s="54"/>
      <c r="AS5" s="54"/>
      <c r="AT5" s="54"/>
      <c r="AU5" s="54"/>
      <c r="AV5" s="58"/>
    </row>
    <row r="6" spans="1:48" s="59" customFormat="1" ht="20.100000000000001" customHeight="1">
      <c r="A6" s="189">
        <v>5</v>
      </c>
      <c r="B6" s="50" t="s">
        <v>509</v>
      </c>
      <c r="C6" s="51" t="s">
        <v>84</v>
      </c>
      <c r="D6" s="51" t="s">
        <v>476</v>
      </c>
      <c r="E6" s="51" t="s">
        <v>1491</v>
      </c>
      <c r="F6" s="51" t="s">
        <v>1492</v>
      </c>
      <c r="G6" s="51" t="s">
        <v>1493</v>
      </c>
      <c r="H6" s="51" t="s">
        <v>1494</v>
      </c>
      <c r="I6" s="51" t="s">
        <v>222</v>
      </c>
      <c r="J6" s="51" t="s">
        <v>1495</v>
      </c>
      <c r="K6" s="188" t="s">
        <v>223</v>
      </c>
      <c r="L6" s="51" t="s">
        <v>224</v>
      </c>
      <c r="M6" s="51" t="s">
        <v>60</v>
      </c>
      <c r="N6" s="51" t="s">
        <v>38</v>
      </c>
      <c r="O6" s="51" t="s">
        <v>384</v>
      </c>
      <c r="P6" s="54" t="s">
        <v>1496</v>
      </c>
      <c r="Q6" s="54" t="s">
        <v>648</v>
      </c>
      <c r="R6" s="54" t="s">
        <v>648</v>
      </c>
      <c r="S6" s="54" t="s">
        <v>648</v>
      </c>
      <c r="T6" s="54">
        <v>44277</v>
      </c>
      <c r="U6" s="54" t="s">
        <v>648</v>
      </c>
      <c r="V6" s="58" t="s">
        <v>648</v>
      </c>
      <c r="AA6" s="189"/>
      <c r="AB6" s="50"/>
      <c r="AC6" s="51"/>
      <c r="AD6" s="51"/>
      <c r="AE6" s="51"/>
      <c r="AF6" s="51"/>
      <c r="AG6" s="51"/>
      <c r="AH6" s="51"/>
      <c r="AI6" s="51"/>
      <c r="AJ6" s="51"/>
      <c r="AK6" s="188"/>
      <c r="AL6" s="51"/>
      <c r="AM6" s="51"/>
      <c r="AN6" s="51"/>
      <c r="AO6" s="51"/>
      <c r="AP6" s="54"/>
      <c r="AQ6" s="54"/>
      <c r="AR6" s="54"/>
      <c r="AS6" s="54"/>
      <c r="AT6" s="54"/>
      <c r="AU6" s="54"/>
      <c r="AV6" s="58"/>
    </row>
    <row r="7" spans="1:48" s="59" customFormat="1" ht="20.100000000000001" customHeight="1">
      <c r="A7" s="189">
        <v>6</v>
      </c>
      <c r="B7" s="50" t="s">
        <v>510</v>
      </c>
      <c r="C7" s="51" t="s">
        <v>84</v>
      </c>
      <c r="D7" s="51" t="s">
        <v>477</v>
      </c>
      <c r="E7" s="51" t="s">
        <v>498</v>
      </c>
      <c r="F7" s="51" t="s">
        <v>499</v>
      </c>
      <c r="G7" s="51" t="s">
        <v>500</v>
      </c>
      <c r="H7" s="188">
        <v>1630</v>
      </c>
      <c r="I7" s="51" t="s">
        <v>225</v>
      </c>
      <c r="J7" s="51">
        <v>18</v>
      </c>
      <c r="K7" s="188" t="s">
        <v>219</v>
      </c>
      <c r="L7" s="51" t="s">
        <v>226</v>
      </c>
      <c r="M7" s="51" t="s">
        <v>60</v>
      </c>
      <c r="N7" s="51" t="s">
        <v>38</v>
      </c>
      <c r="O7" s="51" t="s">
        <v>227</v>
      </c>
      <c r="P7" s="54">
        <v>44215</v>
      </c>
      <c r="Q7" s="54"/>
      <c r="R7" s="54"/>
      <c r="S7" s="54"/>
      <c r="T7" s="54">
        <v>44215</v>
      </c>
      <c r="U7" s="54"/>
      <c r="V7" s="58"/>
      <c r="AA7" s="189"/>
      <c r="AB7" s="50"/>
      <c r="AC7" s="51"/>
      <c r="AD7" s="51"/>
      <c r="AE7" s="51"/>
      <c r="AF7" s="51"/>
      <c r="AG7" s="51"/>
      <c r="AH7" s="188"/>
      <c r="AI7" s="51"/>
      <c r="AJ7" s="51"/>
      <c r="AK7" s="188"/>
      <c r="AL7" s="51"/>
      <c r="AM7" s="51"/>
      <c r="AN7" s="51"/>
      <c r="AO7" s="51"/>
      <c r="AP7" s="54"/>
      <c r="AQ7" s="54"/>
      <c r="AR7" s="54"/>
      <c r="AS7" s="54"/>
      <c r="AT7" s="54"/>
      <c r="AU7" s="54"/>
      <c r="AV7" s="58"/>
    </row>
    <row r="8" spans="1:48" s="59" customFormat="1" ht="20.100000000000001" customHeight="1">
      <c r="A8" s="189">
        <v>7</v>
      </c>
      <c r="B8" s="50" t="s">
        <v>510</v>
      </c>
      <c r="C8" s="51" t="s">
        <v>84</v>
      </c>
      <c r="D8" s="51" t="s">
        <v>477</v>
      </c>
      <c r="E8" s="51" t="s">
        <v>498</v>
      </c>
      <c r="F8" s="51" t="s">
        <v>499</v>
      </c>
      <c r="G8" s="51" t="s">
        <v>500</v>
      </c>
      <c r="H8" s="188" t="s">
        <v>501</v>
      </c>
      <c r="I8" s="51" t="s">
        <v>225</v>
      </c>
      <c r="J8" s="51" t="s">
        <v>1670</v>
      </c>
      <c r="K8" s="188" t="s">
        <v>219</v>
      </c>
      <c r="L8" s="51" t="s">
        <v>226</v>
      </c>
      <c r="M8" s="51" t="s">
        <v>60</v>
      </c>
      <c r="N8" s="51" t="s">
        <v>37</v>
      </c>
      <c r="O8" s="51" t="s">
        <v>227</v>
      </c>
      <c r="P8" s="54" t="s">
        <v>1803</v>
      </c>
      <c r="Q8" s="54" t="s">
        <v>648</v>
      </c>
      <c r="R8" s="54" t="s">
        <v>648</v>
      </c>
      <c r="S8" s="54" t="s">
        <v>648</v>
      </c>
      <c r="T8" s="54" t="s">
        <v>1803</v>
      </c>
      <c r="U8" s="54" t="s">
        <v>648</v>
      </c>
      <c r="V8" s="58" t="s">
        <v>648</v>
      </c>
      <c r="AA8" s="189"/>
      <c r="AB8" s="50"/>
      <c r="AC8" s="51"/>
      <c r="AD8" s="51"/>
      <c r="AE8" s="51"/>
      <c r="AF8" s="51"/>
      <c r="AG8" s="51"/>
      <c r="AH8" s="188"/>
      <c r="AI8" s="51"/>
      <c r="AJ8" s="51"/>
      <c r="AK8" s="188"/>
      <c r="AL8" s="51"/>
      <c r="AM8" s="51"/>
      <c r="AN8" s="51"/>
      <c r="AO8" s="51"/>
      <c r="AP8" s="54"/>
      <c r="AQ8" s="54"/>
      <c r="AR8" s="54"/>
      <c r="AS8" s="54"/>
      <c r="AT8" s="54"/>
      <c r="AU8" s="54"/>
      <c r="AV8" s="58"/>
    </row>
    <row r="9" spans="1:48" s="59" customFormat="1" ht="20.100000000000001" customHeight="1">
      <c r="A9" s="189">
        <v>8</v>
      </c>
      <c r="B9" s="50" t="s">
        <v>512</v>
      </c>
      <c r="C9" s="51" t="s">
        <v>84</v>
      </c>
      <c r="D9" s="51" t="s">
        <v>477</v>
      </c>
      <c r="E9" s="51">
        <v>106</v>
      </c>
      <c r="F9" s="51">
        <v>900</v>
      </c>
      <c r="G9" s="51">
        <v>1467</v>
      </c>
      <c r="H9" s="188">
        <v>1630</v>
      </c>
      <c r="I9" s="51" t="s">
        <v>220</v>
      </c>
      <c r="J9" s="51">
        <v>10</v>
      </c>
      <c r="K9" s="188" t="s">
        <v>219</v>
      </c>
      <c r="L9" s="51" t="s">
        <v>221</v>
      </c>
      <c r="M9" s="51" t="s">
        <v>60</v>
      </c>
      <c r="N9" s="51" t="s">
        <v>37</v>
      </c>
      <c r="O9" s="51" t="s">
        <v>384</v>
      </c>
      <c r="P9" s="54">
        <v>44405</v>
      </c>
      <c r="Q9" s="54"/>
      <c r="R9" s="54"/>
      <c r="S9" s="54">
        <v>44404</v>
      </c>
      <c r="T9" s="54"/>
      <c r="U9" s="54"/>
      <c r="V9" s="58"/>
      <c r="AA9" s="189"/>
      <c r="AB9" s="50"/>
      <c r="AC9" s="51"/>
      <c r="AD9" s="51"/>
      <c r="AE9" s="51"/>
      <c r="AF9" s="51"/>
      <c r="AG9" s="51"/>
      <c r="AH9" s="188"/>
      <c r="AI9" s="51"/>
      <c r="AJ9" s="51"/>
      <c r="AK9" s="188"/>
      <c r="AL9" s="51"/>
      <c r="AM9" s="51"/>
      <c r="AN9" s="51"/>
      <c r="AO9" s="51"/>
      <c r="AP9" s="54"/>
      <c r="AQ9" s="54"/>
      <c r="AR9" s="54"/>
      <c r="AS9" s="54"/>
      <c r="AT9" s="54"/>
      <c r="AU9" s="54"/>
      <c r="AV9" s="58"/>
    </row>
    <row r="10" spans="1:48" s="59" customFormat="1" ht="20.100000000000001" customHeight="1">
      <c r="A10" s="189">
        <v>9</v>
      </c>
      <c r="B10" s="50" t="s">
        <v>513</v>
      </c>
      <c r="C10" s="51" t="s">
        <v>84</v>
      </c>
      <c r="D10" s="51" t="s">
        <v>477</v>
      </c>
      <c r="E10" s="51">
        <v>106</v>
      </c>
      <c r="F10" s="51">
        <v>900</v>
      </c>
      <c r="G10" s="51">
        <v>1467</v>
      </c>
      <c r="H10" s="188">
        <v>1630</v>
      </c>
      <c r="I10" s="51" t="s">
        <v>230</v>
      </c>
      <c r="J10" s="51">
        <v>11</v>
      </c>
      <c r="K10" s="188" t="s">
        <v>219</v>
      </c>
      <c r="L10" s="51" t="s">
        <v>231</v>
      </c>
      <c r="M10" s="51" t="s">
        <v>60</v>
      </c>
      <c r="N10" s="51" t="s">
        <v>37</v>
      </c>
      <c r="O10" s="51" t="s">
        <v>384</v>
      </c>
      <c r="P10" s="54">
        <v>44405</v>
      </c>
      <c r="Q10" s="54"/>
      <c r="R10" s="54"/>
      <c r="S10" s="54">
        <v>44405</v>
      </c>
      <c r="T10" s="54"/>
      <c r="U10" s="54"/>
      <c r="V10" s="58"/>
      <c r="AA10" s="189"/>
      <c r="AB10" s="50"/>
      <c r="AC10" s="51"/>
      <c r="AD10" s="51"/>
      <c r="AE10" s="51"/>
      <c r="AF10" s="51"/>
      <c r="AG10" s="51"/>
      <c r="AH10" s="188"/>
      <c r="AI10" s="51"/>
      <c r="AJ10" s="51"/>
      <c r="AK10" s="188"/>
      <c r="AL10" s="51"/>
      <c r="AM10" s="51"/>
      <c r="AN10" s="51"/>
      <c r="AO10" s="51"/>
      <c r="AP10" s="54"/>
      <c r="AQ10" s="54"/>
      <c r="AR10" s="54"/>
      <c r="AS10" s="54"/>
      <c r="AT10" s="54"/>
      <c r="AU10" s="54"/>
      <c r="AV10" s="58"/>
    </row>
    <row r="11" spans="1:48" s="59" customFormat="1" ht="20.100000000000001" customHeight="1">
      <c r="A11" s="189">
        <v>10</v>
      </c>
      <c r="B11" s="50" t="s">
        <v>514</v>
      </c>
      <c r="C11" s="51" t="s">
        <v>84</v>
      </c>
      <c r="D11" s="51" t="s">
        <v>477</v>
      </c>
      <c r="E11" s="51" t="s">
        <v>498</v>
      </c>
      <c r="F11" s="51" t="s">
        <v>499</v>
      </c>
      <c r="G11" s="51" t="s">
        <v>500</v>
      </c>
      <c r="H11" s="190">
        <v>1630</v>
      </c>
      <c r="I11" s="51" t="s">
        <v>228</v>
      </c>
      <c r="J11" s="51">
        <v>9</v>
      </c>
      <c r="K11" s="188" t="s">
        <v>219</v>
      </c>
      <c r="L11" s="51" t="s">
        <v>229</v>
      </c>
      <c r="M11" s="51" t="s">
        <v>60</v>
      </c>
      <c r="N11" s="51" t="s">
        <v>37</v>
      </c>
      <c r="O11" s="51" t="s">
        <v>384</v>
      </c>
      <c r="P11" s="54">
        <v>44405</v>
      </c>
      <c r="Q11" s="54"/>
      <c r="R11" s="54"/>
      <c r="S11" s="54">
        <v>44405</v>
      </c>
      <c r="T11" s="54"/>
      <c r="U11" s="54"/>
      <c r="V11" s="58"/>
      <c r="AA11" s="189"/>
      <c r="AB11" s="50"/>
      <c r="AC11" s="51"/>
      <c r="AD11" s="51"/>
      <c r="AE11" s="51"/>
      <c r="AF11" s="51"/>
      <c r="AG11" s="51"/>
      <c r="AH11" s="190"/>
      <c r="AI11" s="51"/>
      <c r="AJ11" s="51"/>
      <c r="AK11" s="188"/>
      <c r="AL11" s="51"/>
      <c r="AM11" s="51"/>
      <c r="AN11" s="51"/>
      <c r="AO11" s="51"/>
      <c r="AP11" s="54"/>
      <c r="AQ11" s="54"/>
      <c r="AR11" s="54"/>
      <c r="AS11" s="54"/>
      <c r="AT11" s="54"/>
      <c r="AU11" s="54"/>
      <c r="AV11" s="58"/>
    </row>
    <row r="12" spans="1:48" s="59" customFormat="1" ht="20.100000000000001" customHeight="1">
      <c r="A12" s="189">
        <v>11</v>
      </c>
      <c r="B12" s="50" t="s">
        <v>514</v>
      </c>
      <c r="C12" s="51" t="s">
        <v>84</v>
      </c>
      <c r="D12" s="51" t="s">
        <v>477</v>
      </c>
      <c r="E12" s="51">
        <v>106</v>
      </c>
      <c r="F12" s="51">
        <v>900</v>
      </c>
      <c r="G12" s="51">
        <v>1626</v>
      </c>
      <c r="H12" s="188">
        <v>1807</v>
      </c>
      <c r="I12" s="51" t="s">
        <v>218</v>
      </c>
      <c r="J12" s="51">
        <v>12</v>
      </c>
      <c r="K12" s="188" t="s">
        <v>219</v>
      </c>
      <c r="L12" s="51" t="s">
        <v>214</v>
      </c>
      <c r="M12" s="51" t="s">
        <v>60</v>
      </c>
      <c r="N12" s="51" t="s">
        <v>37</v>
      </c>
      <c r="O12" s="51" t="s">
        <v>384</v>
      </c>
      <c r="P12" s="54">
        <v>44405</v>
      </c>
      <c r="Q12" s="54"/>
      <c r="R12" s="54"/>
      <c r="S12" s="54">
        <v>44405</v>
      </c>
      <c r="T12" s="54"/>
      <c r="U12" s="54"/>
      <c r="V12" s="58"/>
      <c r="AA12" s="189"/>
      <c r="AB12" s="50"/>
      <c r="AC12" s="51"/>
      <c r="AD12" s="51"/>
      <c r="AE12" s="51"/>
      <c r="AF12" s="51"/>
      <c r="AG12" s="51"/>
      <c r="AH12" s="188"/>
      <c r="AI12" s="51"/>
      <c r="AJ12" s="51"/>
      <c r="AK12" s="188"/>
      <c r="AL12" s="51"/>
      <c r="AM12" s="51"/>
      <c r="AN12" s="51"/>
      <c r="AO12" s="51"/>
      <c r="AP12" s="54"/>
      <c r="AQ12" s="54"/>
      <c r="AR12" s="54"/>
      <c r="AS12" s="54"/>
      <c r="AT12" s="54"/>
      <c r="AU12" s="54"/>
      <c r="AV12" s="58"/>
    </row>
    <row r="13" spans="1:48" s="59" customFormat="1" ht="20.100000000000001" customHeight="1">
      <c r="A13" s="189">
        <v>12</v>
      </c>
      <c r="B13" s="50" t="s">
        <v>515</v>
      </c>
      <c r="C13" s="51" t="s">
        <v>84</v>
      </c>
      <c r="D13" s="51" t="s">
        <v>477</v>
      </c>
      <c r="E13" s="51">
        <v>106</v>
      </c>
      <c r="F13" s="51">
        <v>900</v>
      </c>
      <c r="G13" s="51">
        <v>1626</v>
      </c>
      <c r="H13" s="188">
        <v>1807</v>
      </c>
      <c r="I13" s="51" t="s">
        <v>232</v>
      </c>
      <c r="J13" s="51">
        <v>19</v>
      </c>
      <c r="K13" s="188" t="s">
        <v>219</v>
      </c>
      <c r="L13" s="51" t="s">
        <v>226</v>
      </c>
      <c r="M13" s="51" t="s">
        <v>60</v>
      </c>
      <c r="N13" s="51" t="s">
        <v>38</v>
      </c>
      <c r="O13" s="51" t="s">
        <v>233</v>
      </c>
      <c r="P13" s="54">
        <v>44215</v>
      </c>
      <c r="Q13" s="54"/>
      <c r="R13" s="54"/>
      <c r="S13" s="54"/>
      <c r="T13" s="54">
        <v>44488</v>
      </c>
      <c r="U13" s="54"/>
      <c r="V13" s="58"/>
      <c r="AA13" s="189"/>
      <c r="AB13" s="50"/>
      <c r="AC13" s="51"/>
      <c r="AD13" s="51"/>
      <c r="AE13" s="51"/>
      <c r="AF13" s="51"/>
      <c r="AG13" s="51"/>
      <c r="AH13" s="188"/>
      <c r="AI13" s="51"/>
      <c r="AJ13" s="51"/>
      <c r="AK13" s="188"/>
      <c r="AL13" s="51"/>
      <c r="AM13" s="51"/>
      <c r="AN13" s="51"/>
      <c r="AO13" s="51"/>
      <c r="AP13" s="54"/>
      <c r="AQ13" s="54"/>
      <c r="AR13" s="54"/>
      <c r="AS13" s="54"/>
      <c r="AT13" s="54"/>
      <c r="AU13" s="54"/>
      <c r="AV13" s="58"/>
    </row>
    <row r="14" spans="1:48" s="59" customFormat="1" ht="20.100000000000001" customHeight="1">
      <c r="A14" s="189">
        <v>13</v>
      </c>
      <c r="B14" s="50" t="s">
        <v>515</v>
      </c>
      <c r="C14" s="51" t="s">
        <v>84</v>
      </c>
      <c r="D14" s="51" t="s">
        <v>475</v>
      </c>
      <c r="E14" s="51">
        <v>106</v>
      </c>
      <c r="F14" s="51">
        <v>900</v>
      </c>
      <c r="G14" s="51">
        <v>1523</v>
      </c>
      <c r="H14" s="188">
        <v>1692</v>
      </c>
      <c r="I14" s="51" t="s">
        <v>232</v>
      </c>
      <c r="J14" s="51">
        <v>20</v>
      </c>
      <c r="K14" s="188" t="s">
        <v>219</v>
      </c>
      <c r="L14" s="51" t="s">
        <v>226</v>
      </c>
      <c r="M14" s="51" t="s">
        <v>60</v>
      </c>
      <c r="N14" s="51" t="s">
        <v>37</v>
      </c>
      <c r="O14" s="51" t="s">
        <v>233</v>
      </c>
      <c r="P14" s="54">
        <v>44401</v>
      </c>
      <c r="Q14" s="54"/>
      <c r="R14" s="54"/>
      <c r="S14" s="54"/>
      <c r="T14" s="54">
        <v>44401</v>
      </c>
      <c r="U14" s="54"/>
      <c r="V14" s="58"/>
      <c r="AA14" s="189"/>
      <c r="AB14" s="50"/>
      <c r="AC14" s="51"/>
      <c r="AD14" s="51"/>
      <c r="AE14" s="51"/>
      <c r="AF14" s="51"/>
      <c r="AG14" s="51"/>
      <c r="AH14" s="188"/>
      <c r="AI14" s="51"/>
      <c r="AJ14" s="51"/>
      <c r="AK14" s="188"/>
      <c r="AL14" s="51"/>
      <c r="AM14" s="51"/>
      <c r="AN14" s="51"/>
      <c r="AO14" s="51"/>
      <c r="AP14" s="54"/>
      <c r="AQ14" s="54"/>
      <c r="AR14" s="54"/>
      <c r="AS14" s="54"/>
      <c r="AT14" s="54"/>
      <c r="AU14" s="54"/>
      <c r="AV14" s="58"/>
    </row>
    <row r="15" spans="1:48" s="59" customFormat="1" ht="20.100000000000001" customHeight="1">
      <c r="A15" s="189">
        <v>14</v>
      </c>
      <c r="B15" s="50" t="s">
        <v>516</v>
      </c>
      <c r="C15" s="51" t="s">
        <v>82</v>
      </c>
      <c r="D15" s="51" t="s">
        <v>475</v>
      </c>
      <c r="E15" s="51">
        <v>106</v>
      </c>
      <c r="F15" s="51">
        <v>900</v>
      </c>
      <c r="G15" s="51">
        <v>1523</v>
      </c>
      <c r="H15" s="188">
        <v>1692</v>
      </c>
      <c r="I15" s="51" t="s">
        <v>234</v>
      </c>
      <c r="J15" s="51">
        <v>20</v>
      </c>
      <c r="K15" s="188" t="s">
        <v>219</v>
      </c>
      <c r="L15" s="51" t="s">
        <v>235</v>
      </c>
      <c r="M15" s="51" t="s">
        <v>60</v>
      </c>
      <c r="N15" s="51" t="s">
        <v>38</v>
      </c>
      <c r="O15" s="51" t="s">
        <v>236</v>
      </c>
      <c r="P15" s="54">
        <v>44270</v>
      </c>
      <c r="Q15" s="54"/>
      <c r="R15" s="54"/>
      <c r="S15" s="54"/>
      <c r="T15" s="54">
        <v>44270</v>
      </c>
      <c r="U15" s="54"/>
      <c r="V15" s="58"/>
      <c r="AA15" s="189"/>
      <c r="AB15" s="50"/>
      <c r="AC15" s="51"/>
      <c r="AD15" s="51"/>
      <c r="AE15" s="51"/>
      <c r="AF15" s="51"/>
      <c r="AG15" s="51"/>
      <c r="AH15" s="188"/>
      <c r="AI15" s="51"/>
      <c r="AJ15" s="51"/>
      <c r="AK15" s="188"/>
      <c r="AL15" s="51"/>
      <c r="AM15" s="51"/>
      <c r="AN15" s="51"/>
      <c r="AO15" s="51"/>
      <c r="AP15" s="54"/>
      <c r="AQ15" s="54"/>
      <c r="AR15" s="54"/>
      <c r="AS15" s="54"/>
      <c r="AT15" s="54"/>
      <c r="AU15" s="54"/>
      <c r="AV15" s="58"/>
    </row>
    <row r="16" spans="1:48" s="59" customFormat="1" ht="20.100000000000001" customHeight="1">
      <c r="A16" s="189">
        <v>15</v>
      </c>
      <c r="B16" s="50" t="s">
        <v>516</v>
      </c>
      <c r="C16" s="51" t="s">
        <v>82</v>
      </c>
      <c r="D16" s="51" t="s">
        <v>475</v>
      </c>
      <c r="E16" s="51">
        <v>106</v>
      </c>
      <c r="F16" s="51">
        <v>900</v>
      </c>
      <c r="G16" s="51">
        <v>1523</v>
      </c>
      <c r="H16" s="188">
        <v>1692</v>
      </c>
      <c r="I16" s="51" t="s">
        <v>234</v>
      </c>
      <c r="J16" s="51">
        <v>21</v>
      </c>
      <c r="K16" s="188" t="s">
        <v>219</v>
      </c>
      <c r="L16" s="51" t="s">
        <v>235</v>
      </c>
      <c r="M16" s="51" t="s">
        <v>60</v>
      </c>
      <c r="N16" s="51" t="s">
        <v>36</v>
      </c>
      <c r="O16" s="51" t="s">
        <v>236</v>
      </c>
      <c r="P16" s="54">
        <v>44273</v>
      </c>
      <c r="Q16" s="54"/>
      <c r="R16" s="54"/>
      <c r="S16" s="54"/>
      <c r="T16" s="54">
        <v>44273</v>
      </c>
      <c r="U16" s="54"/>
      <c r="V16" s="58"/>
      <c r="AA16" s="189"/>
      <c r="AB16" s="50"/>
      <c r="AC16" s="51"/>
      <c r="AD16" s="51"/>
      <c r="AE16" s="51"/>
      <c r="AF16" s="51"/>
      <c r="AG16" s="51"/>
      <c r="AH16" s="188"/>
      <c r="AI16" s="51"/>
      <c r="AJ16" s="51"/>
      <c r="AK16" s="188"/>
      <c r="AL16" s="51"/>
      <c r="AM16" s="51"/>
      <c r="AN16" s="51"/>
      <c r="AO16" s="51"/>
      <c r="AP16" s="54"/>
      <c r="AQ16" s="54"/>
      <c r="AR16" s="54"/>
      <c r="AS16" s="54"/>
      <c r="AT16" s="54"/>
      <c r="AU16" s="54"/>
      <c r="AV16" s="58"/>
    </row>
    <row r="17" spans="1:48" s="59" customFormat="1" ht="20.100000000000001" customHeight="1">
      <c r="A17" s="189">
        <v>16</v>
      </c>
      <c r="B17" s="50" t="s">
        <v>516</v>
      </c>
      <c r="C17" s="51" t="s">
        <v>82</v>
      </c>
      <c r="D17" s="51" t="s">
        <v>478</v>
      </c>
      <c r="E17" s="51">
        <v>88</v>
      </c>
      <c r="F17" s="51">
        <v>1475</v>
      </c>
      <c r="G17" s="51">
        <v>1556</v>
      </c>
      <c r="H17" s="188">
        <v>1055</v>
      </c>
      <c r="I17" s="51" t="s">
        <v>234</v>
      </c>
      <c r="J17" s="51">
        <v>23</v>
      </c>
      <c r="K17" s="188" t="s">
        <v>219</v>
      </c>
      <c r="L17" s="51" t="s">
        <v>235</v>
      </c>
      <c r="M17" s="51" t="s">
        <v>60</v>
      </c>
      <c r="N17" s="51" t="s">
        <v>37</v>
      </c>
      <c r="O17" s="51" t="s">
        <v>236</v>
      </c>
      <c r="P17" s="54">
        <v>44401</v>
      </c>
      <c r="Q17" s="54"/>
      <c r="R17" s="54"/>
      <c r="S17" s="54"/>
      <c r="T17" s="54">
        <v>44401</v>
      </c>
      <c r="U17" s="54"/>
      <c r="V17" s="58"/>
      <c r="AA17" s="189"/>
      <c r="AB17" s="50"/>
      <c r="AC17" s="51"/>
      <c r="AD17" s="51"/>
      <c r="AE17" s="51"/>
      <c r="AF17" s="51"/>
      <c r="AG17" s="51"/>
      <c r="AH17" s="188"/>
      <c r="AI17" s="51"/>
      <c r="AJ17" s="51"/>
      <c r="AK17" s="188"/>
      <c r="AL17" s="51"/>
      <c r="AM17" s="51"/>
      <c r="AN17" s="51"/>
      <c r="AO17" s="51"/>
      <c r="AP17" s="54"/>
      <c r="AQ17" s="54"/>
      <c r="AR17" s="54"/>
      <c r="AS17" s="54"/>
      <c r="AT17" s="54"/>
      <c r="AU17" s="54"/>
      <c r="AV17" s="58"/>
    </row>
    <row r="18" spans="1:48" s="59" customFormat="1" ht="20.100000000000001" customHeight="1">
      <c r="A18" s="189">
        <v>17</v>
      </c>
      <c r="B18" s="50" t="s">
        <v>517</v>
      </c>
      <c r="C18" s="51" t="s">
        <v>84</v>
      </c>
      <c r="D18" s="51" t="s">
        <v>478</v>
      </c>
      <c r="E18" s="51">
        <v>88</v>
      </c>
      <c r="F18" s="51">
        <v>1555</v>
      </c>
      <c r="G18" s="51">
        <v>1641</v>
      </c>
      <c r="H18" s="188">
        <v>1055</v>
      </c>
      <c r="I18" s="51" t="s">
        <v>237</v>
      </c>
      <c r="J18" s="51" t="s">
        <v>1705</v>
      </c>
      <c r="K18" s="188" t="s">
        <v>238</v>
      </c>
      <c r="L18" s="51" t="s">
        <v>214</v>
      </c>
      <c r="M18" s="51" t="s">
        <v>59</v>
      </c>
      <c r="N18" s="51" t="s">
        <v>38</v>
      </c>
      <c r="O18" s="51" t="s">
        <v>384</v>
      </c>
      <c r="P18" s="54">
        <v>44387</v>
      </c>
      <c r="Q18" s="54"/>
      <c r="R18" s="54"/>
      <c r="S18" s="54"/>
      <c r="T18" s="54"/>
      <c r="U18" s="54"/>
      <c r="V18" s="58"/>
      <c r="AA18" s="189"/>
      <c r="AB18" s="50"/>
      <c r="AC18" s="51"/>
      <c r="AD18" s="51"/>
      <c r="AE18" s="51"/>
      <c r="AF18" s="51"/>
      <c r="AG18" s="51"/>
      <c r="AH18" s="188"/>
      <c r="AI18" s="51"/>
      <c r="AJ18" s="51"/>
      <c r="AK18" s="188"/>
      <c r="AL18" s="51"/>
      <c r="AM18" s="51"/>
      <c r="AN18" s="51"/>
      <c r="AO18" s="51"/>
      <c r="AP18" s="54"/>
      <c r="AQ18" s="54"/>
      <c r="AR18" s="54"/>
      <c r="AS18" s="54"/>
      <c r="AT18" s="54"/>
      <c r="AU18" s="54"/>
      <c r="AV18" s="58"/>
    </row>
    <row r="19" spans="1:48" s="59" customFormat="1" ht="20.100000000000001" customHeight="1">
      <c r="A19" s="189">
        <v>18</v>
      </c>
      <c r="B19" s="50" t="s">
        <v>518</v>
      </c>
      <c r="C19" s="51" t="s">
        <v>84</v>
      </c>
      <c r="D19" s="51" t="s">
        <v>478</v>
      </c>
      <c r="E19" s="51">
        <v>88</v>
      </c>
      <c r="F19" s="51">
        <v>1555</v>
      </c>
      <c r="G19" s="51">
        <v>1641</v>
      </c>
      <c r="H19" s="190">
        <v>1055</v>
      </c>
      <c r="I19" s="51" t="s">
        <v>247</v>
      </c>
      <c r="J19" s="51">
        <v>14</v>
      </c>
      <c r="K19" s="188" t="s">
        <v>238</v>
      </c>
      <c r="L19" s="51" t="s">
        <v>248</v>
      </c>
      <c r="M19" s="51" t="s">
        <v>59</v>
      </c>
      <c r="N19" s="51" t="s">
        <v>37</v>
      </c>
      <c r="O19" s="51" t="s">
        <v>384</v>
      </c>
      <c r="P19" s="54">
        <v>44426</v>
      </c>
      <c r="Q19" s="54"/>
      <c r="R19" s="54"/>
      <c r="S19" s="54"/>
      <c r="T19" s="54">
        <v>44532</v>
      </c>
      <c r="U19" s="54"/>
      <c r="V19" s="58"/>
      <c r="AA19" s="189"/>
      <c r="AB19" s="50"/>
      <c r="AC19" s="51"/>
      <c r="AD19" s="51"/>
      <c r="AE19" s="51"/>
      <c r="AF19" s="51"/>
      <c r="AG19" s="51"/>
      <c r="AH19" s="190"/>
      <c r="AI19" s="51"/>
      <c r="AJ19" s="51"/>
      <c r="AK19" s="188"/>
      <c r="AL19" s="51"/>
      <c r="AM19" s="51"/>
      <c r="AN19" s="51"/>
      <c r="AO19" s="51"/>
      <c r="AP19" s="54"/>
      <c r="AQ19" s="54"/>
      <c r="AR19" s="54"/>
      <c r="AS19" s="54"/>
      <c r="AT19" s="54"/>
      <c r="AU19" s="54"/>
      <c r="AV19" s="58"/>
    </row>
    <row r="20" spans="1:48" s="59" customFormat="1" ht="20.100000000000001" customHeight="1">
      <c r="A20" s="189">
        <v>19</v>
      </c>
      <c r="B20" s="50" t="s">
        <v>519</v>
      </c>
      <c r="C20" s="51" t="s">
        <v>84</v>
      </c>
      <c r="D20" s="51" t="s">
        <v>478</v>
      </c>
      <c r="E20" s="51">
        <v>88</v>
      </c>
      <c r="F20" s="51">
        <v>1555</v>
      </c>
      <c r="G20" s="51">
        <v>1641</v>
      </c>
      <c r="H20" s="190">
        <v>1055</v>
      </c>
      <c r="I20" s="51" t="s">
        <v>239</v>
      </c>
      <c r="J20" s="51">
        <v>13</v>
      </c>
      <c r="K20" s="188" t="s">
        <v>240</v>
      </c>
      <c r="L20" s="51" t="s">
        <v>241</v>
      </c>
      <c r="M20" s="51" t="s">
        <v>59</v>
      </c>
      <c r="N20" s="51" t="s">
        <v>38</v>
      </c>
      <c r="O20" s="51" t="s">
        <v>384</v>
      </c>
      <c r="P20" s="54">
        <v>44387</v>
      </c>
      <c r="Q20" s="54"/>
      <c r="R20" s="54"/>
      <c r="S20" s="54"/>
      <c r="T20" s="54"/>
      <c r="U20" s="54"/>
      <c r="V20" s="58"/>
      <c r="AA20" s="189"/>
      <c r="AB20" s="50"/>
      <c r="AC20" s="51"/>
      <c r="AD20" s="51"/>
      <c r="AE20" s="51"/>
      <c r="AF20" s="51"/>
      <c r="AG20" s="51"/>
      <c r="AH20" s="190"/>
      <c r="AI20" s="51"/>
      <c r="AJ20" s="51"/>
      <c r="AK20" s="188"/>
      <c r="AL20" s="51"/>
      <c r="AM20" s="51"/>
      <c r="AN20" s="51"/>
      <c r="AO20" s="51"/>
      <c r="AP20" s="54"/>
      <c r="AQ20" s="54"/>
      <c r="AR20" s="54"/>
      <c r="AS20" s="54"/>
      <c r="AT20" s="54"/>
      <c r="AU20" s="54"/>
      <c r="AV20" s="58"/>
    </row>
    <row r="21" spans="1:48" s="59" customFormat="1" ht="20.100000000000001" customHeight="1">
      <c r="A21" s="189">
        <v>20</v>
      </c>
      <c r="B21" s="50" t="s">
        <v>520</v>
      </c>
      <c r="C21" s="51" t="s">
        <v>84</v>
      </c>
      <c r="D21" s="51" t="s">
        <v>478</v>
      </c>
      <c r="E21" s="51">
        <v>88</v>
      </c>
      <c r="F21" s="51">
        <v>1475</v>
      </c>
      <c r="G21" s="51">
        <v>1556</v>
      </c>
      <c r="H21" s="188">
        <v>1055</v>
      </c>
      <c r="I21" s="51" t="s">
        <v>242</v>
      </c>
      <c r="J21" s="51">
        <v>11</v>
      </c>
      <c r="K21" s="188" t="s">
        <v>240</v>
      </c>
      <c r="L21" s="51" t="s">
        <v>214</v>
      </c>
      <c r="M21" s="51" t="s">
        <v>59</v>
      </c>
      <c r="N21" s="51" t="s">
        <v>38</v>
      </c>
      <c r="O21" s="51" t="s">
        <v>384</v>
      </c>
      <c r="P21" s="54">
        <v>44280</v>
      </c>
      <c r="Q21" s="54"/>
      <c r="R21" s="54"/>
      <c r="S21" s="54"/>
      <c r="T21" s="54">
        <v>44524</v>
      </c>
      <c r="U21" s="54"/>
      <c r="V21" s="58"/>
      <c r="AA21" s="189"/>
      <c r="AB21" s="50"/>
      <c r="AC21" s="51"/>
      <c r="AD21" s="51"/>
      <c r="AE21" s="51"/>
      <c r="AF21" s="51"/>
      <c r="AG21" s="51"/>
      <c r="AH21" s="188"/>
      <c r="AI21" s="51"/>
      <c r="AJ21" s="51"/>
      <c r="AK21" s="188"/>
      <c r="AL21" s="51"/>
      <c r="AM21" s="51"/>
      <c r="AN21" s="51"/>
      <c r="AO21" s="51"/>
      <c r="AP21" s="54"/>
      <c r="AQ21" s="54"/>
      <c r="AR21" s="54"/>
      <c r="AS21" s="54"/>
      <c r="AT21" s="54"/>
      <c r="AU21" s="54"/>
      <c r="AV21" s="58"/>
    </row>
    <row r="22" spans="1:48" s="59" customFormat="1" ht="20.100000000000001" customHeight="1">
      <c r="A22" s="189">
        <v>21</v>
      </c>
      <c r="B22" s="50" t="s">
        <v>521</v>
      </c>
      <c r="C22" s="51" t="s">
        <v>84</v>
      </c>
      <c r="D22" s="51" t="s">
        <v>478</v>
      </c>
      <c r="E22" s="51">
        <v>88</v>
      </c>
      <c r="F22" s="51">
        <v>1475</v>
      </c>
      <c r="G22" s="51">
        <v>1556</v>
      </c>
      <c r="H22" s="190">
        <v>1055</v>
      </c>
      <c r="I22" s="51" t="s">
        <v>243</v>
      </c>
      <c r="J22" s="51" t="s">
        <v>1703</v>
      </c>
      <c r="K22" s="188" t="s">
        <v>240</v>
      </c>
      <c r="L22" s="51" t="s">
        <v>235</v>
      </c>
      <c r="M22" s="51" t="s">
        <v>59</v>
      </c>
      <c r="N22" s="51" t="s">
        <v>38</v>
      </c>
      <c r="O22" s="51" t="s">
        <v>384</v>
      </c>
      <c r="P22" s="54">
        <v>44278</v>
      </c>
      <c r="Q22" s="54"/>
      <c r="R22" s="54"/>
      <c r="S22" s="54"/>
      <c r="T22" s="54">
        <v>44532</v>
      </c>
      <c r="U22" s="54"/>
      <c r="V22" s="58"/>
      <c r="AA22" s="189"/>
      <c r="AB22" s="50"/>
      <c r="AC22" s="51"/>
      <c r="AD22" s="51"/>
      <c r="AE22" s="51"/>
      <c r="AF22" s="51"/>
      <c r="AG22" s="51"/>
      <c r="AH22" s="190"/>
      <c r="AI22" s="51"/>
      <c r="AJ22" s="51"/>
      <c r="AK22" s="188"/>
      <c r="AL22" s="51"/>
      <c r="AM22" s="51"/>
      <c r="AN22" s="51"/>
      <c r="AO22" s="51"/>
      <c r="AP22" s="54"/>
      <c r="AQ22" s="54"/>
      <c r="AR22" s="54"/>
      <c r="AS22" s="54"/>
      <c r="AT22" s="54"/>
      <c r="AU22" s="54"/>
      <c r="AV22" s="58"/>
    </row>
    <row r="23" spans="1:48" s="59" customFormat="1" ht="20.100000000000001" customHeight="1">
      <c r="A23" s="189">
        <v>22</v>
      </c>
      <c r="B23" s="50" t="s">
        <v>521</v>
      </c>
      <c r="C23" s="51" t="s">
        <v>84</v>
      </c>
      <c r="D23" s="51" t="s">
        <v>478</v>
      </c>
      <c r="E23" s="51">
        <v>88</v>
      </c>
      <c r="F23" s="51">
        <v>1555</v>
      </c>
      <c r="G23" s="51">
        <v>1641</v>
      </c>
      <c r="H23" s="190">
        <v>1055</v>
      </c>
      <c r="I23" s="51" t="s">
        <v>244</v>
      </c>
      <c r="J23" s="51">
        <v>5</v>
      </c>
      <c r="K23" s="188" t="s">
        <v>238</v>
      </c>
      <c r="L23" s="51" t="s">
        <v>214</v>
      </c>
      <c r="M23" s="51" t="s">
        <v>60</v>
      </c>
      <c r="N23" s="51" t="s">
        <v>38</v>
      </c>
      <c r="O23" s="51" t="s">
        <v>384</v>
      </c>
      <c r="P23" s="54">
        <v>44396</v>
      </c>
      <c r="Q23" s="54"/>
      <c r="R23" s="54"/>
      <c r="S23" s="54"/>
      <c r="T23" s="54">
        <v>44396</v>
      </c>
      <c r="U23" s="54"/>
      <c r="V23" s="58"/>
      <c r="AA23" s="189"/>
      <c r="AB23" s="50"/>
      <c r="AC23" s="51"/>
      <c r="AD23" s="51"/>
      <c r="AE23" s="51"/>
      <c r="AF23" s="51"/>
      <c r="AG23" s="51"/>
      <c r="AH23" s="190"/>
      <c r="AI23" s="51"/>
      <c r="AJ23" s="51"/>
      <c r="AK23" s="188"/>
      <c r="AL23" s="51"/>
      <c r="AM23" s="51"/>
      <c r="AN23" s="51"/>
      <c r="AO23" s="51"/>
      <c r="AP23" s="54"/>
      <c r="AQ23" s="54"/>
      <c r="AR23" s="54"/>
      <c r="AS23" s="54"/>
      <c r="AT23" s="54"/>
      <c r="AU23" s="54"/>
      <c r="AV23" s="58"/>
    </row>
    <row r="24" spans="1:48" s="59" customFormat="1" ht="20.100000000000001" customHeight="1">
      <c r="A24" s="189">
        <v>23</v>
      </c>
      <c r="B24" s="50" t="s">
        <v>522</v>
      </c>
      <c r="C24" s="51" t="s">
        <v>84</v>
      </c>
      <c r="D24" s="51" t="s">
        <v>478</v>
      </c>
      <c r="E24" s="51">
        <v>88</v>
      </c>
      <c r="F24" s="51">
        <v>1555</v>
      </c>
      <c r="G24" s="51">
        <v>1641</v>
      </c>
      <c r="H24" s="190">
        <v>1055</v>
      </c>
      <c r="I24" s="51" t="s">
        <v>244</v>
      </c>
      <c r="J24" s="51">
        <v>6</v>
      </c>
      <c r="K24" s="188" t="s">
        <v>238</v>
      </c>
      <c r="L24" s="51" t="s">
        <v>214</v>
      </c>
      <c r="M24" s="51" t="s">
        <v>60</v>
      </c>
      <c r="N24" s="51" t="s">
        <v>37</v>
      </c>
      <c r="O24" s="51" t="s">
        <v>384</v>
      </c>
      <c r="P24" s="54">
        <v>44426</v>
      </c>
      <c r="Q24" s="54"/>
      <c r="R24" s="54"/>
      <c r="S24" s="54"/>
      <c r="T24" s="54">
        <v>44426</v>
      </c>
      <c r="U24" s="54"/>
      <c r="V24" s="58"/>
      <c r="AA24" s="189"/>
      <c r="AB24" s="50"/>
      <c r="AC24" s="51"/>
      <c r="AD24" s="51"/>
      <c r="AE24" s="51"/>
      <c r="AF24" s="51"/>
      <c r="AG24" s="51"/>
      <c r="AH24" s="190"/>
      <c r="AI24" s="51"/>
      <c r="AJ24" s="51"/>
      <c r="AK24" s="188"/>
      <c r="AL24" s="51"/>
      <c r="AM24" s="51"/>
      <c r="AN24" s="51"/>
      <c r="AO24" s="51"/>
      <c r="AP24" s="54"/>
      <c r="AQ24" s="54"/>
      <c r="AR24" s="54"/>
      <c r="AS24" s="54"/>
      <c r="AT24" s="54"/>
      <c r="AU24" s="54"/>
      <c r="AV24" s="58"/>
    </row>
    <row r="25" spans="1:48" s="59" customFormat="1" ht="20.100000000000001" customHeight="1">
      <c r="A25" s="189">
        <v>24</v>
      </c>
      <c r="B25" s="50" t="s">
        <v>524</v>
      </c>
      <c r="C25" s="51" t="s">
        <v>84</v>
      </c>
      <c r="D25" s="51" t="s">
        <v>478</v>
      </c>
      <c r="E25" s="51">
        <v>88</v>
      </c>
      <c r="F25" s="51">
        <v>1475</v>
      </c>
      <c r="G25" s="51">
        <v>1553</v>
      </c>
      <c r="H25" s="190">
        <v>1053</v>
      </c>
      <c r="I25" s="51" t="s">
        <v>246</v>
      </c>
      <c r="J25" s="51">
        <v>5</v>
      </c>
      <c r="K25" s="188" t="s">
        <v>240</v>
      </c>
      <c r="L25" s="51" t="s">
        <v>214</v>
      </c>
      <c r="M25" s="51" t="s">
        <v>60</v>
      </c>
      <c r="N25" s="51" t="s">
        <v>38</v>
      </c>
      <c r="O25" s="51" t="s">
        <v>384</v>
      </c>
      <c r="P25" s="54">
        <v>44396</v>
      </c>
      <c r="Q25" s="54"/>
      <c r="R25" s="54"/>
      <c r="S25" s="54"/>
      <c r="T25" s="54">
        <v>44396</v>
      </c>
      <c r="U25" s="54"/>
      <c r="V25" s="58"/>
      <c r="AA25" s="189"/>
      <c r="AB25" s="50"/>
      <c r="AC25" s="51"/>
      <c r="AD25" s="51"/>
      <c r="AE25" s="51"/>
      <c r="AF25" s="51"/>
      <c r="AG25" s="51"/>
      <c r="AH25" s="190"/>
      <c r="AI25" s="51"/>
      <c r="AJ25" s="51"/>
      <c r="AK25" s="188"/>
      <c r="AL25" s="51"/>
      <c r="AM25" s="51"/>
      <c r="AN25" s="51"/>
      <c r="AO25" s="51"/>
      <c r="AP25" s="54"/>
      <c r="AQ25" s="54"/>
      <c r="AR25" s="54"/>
      <c r="AS25" s="54"/>
      <c r="AT25" s="54"/>
      <c r="AU25" s="54"/>
      <c r="AV25" s="58"/>
    </row>
    <row r="26" spans="1:48" s="59" customFormat="1" ht="20.100000000000001" customHeight="1">
      <c r="A26" s="189">
        <v>25</v>
      </c>
      <c r="B26" s="50" t="s">
        <v>525</v>
      </c>
      <c r="C26" s="51" t="s">
        <v>84</v>
      </c>
      <c r="D26" s="51" t="s">
        <v>478</v>
      </c>
      <c r="E26" s="51">
        <v>88</v>
      </c>
      <c r="F26" s="51">
        <v>1555</v>
      </c>
      <c r="G26" s="51">
        <v>1637</v>
      </c>
      <c r="H26" s="190">
        <v>1053</v>
      </c>
      <c r="I26" s="51" t="s">
        <v>247</v>
      </c>
      <c r="J26" s="51" t="s">
        <v>1705</v>
      </c>
      <c r="K26" s="188" t="s">
        <v>238</v>
      </c>
      <c r="L26" s="51" t="s">
        <v>248</v>
      </c>
      <c r="M26" s="51" t="s">
        <v>59</v>
      </c>
      <c r="N26" s="51" t="s">
        <v>38</v>
      </c>
      <c r="O26" s="51" t="s">
        <v>384</v>
      </c>
      <c r="P26" s="54">
        <v>44387</v>
      </c>
      <c r="Q26" s="54"/>
      <c r="R26" s="54"/>
      <c r="S26" s="54"/>
      <c r="T26" s="54">
        <v>44532</v>
      </c>
      <c r="U26" s="54"/>
      <c r="V26" s="58"/>
      <c r="AA26" s="189"/>
      <c r="AB26" s="50"/>
      <c r="AC26" s="51"/>
      <c r="AD26" s="51"/>
      <c r="AE26" s="51"/>
      <c r="AF26" s="51"/>
      <c r="AG26" s="51"/>
      <c r="AH26" s="190"/>
      <c r="AI26" s="51"/>
      <c r="AJ26" s="51"/>
      <c r="AK26" s="188"/>
      <c r="AL26" s="51"/>
      <c r="AM26" s="51"/>
      <c r="AN26" s="51"/>
      <c r="AO26" s="51"/>
      <c r="AP26" s="54"/>
      <c r="AQ26" s="54"/>
      <c r="AR26" s="54"/>
      <c r="AS26" s="54"/>
      <c r="AT26" s="54"/>
      <c r="AU26" s="54"/>
      <c r="AV26" s="58"/>
    </row>
    <row r="27" spans="1:48" s="59" customFormat="1" ht="20.100000000000001" customHeight="1">
      <c r="A27" s="189">
        <v>26</v>
      </c>
      <c r="B27" s="50" t="s">
        <v>526</v>
      </c>
      <c r="C27" s="51" t="s">
        <v>84</v>
      </c>
      <c r="D27" s="51" t="s">
        <v>473</v>
      </c>
      <c r="E27" s="51">
        <v>88</v>
      </c>
      <c r="F27" s="51">
        <v>1555</v>
      </c>
      <c r="G27" s="51">
        <v>1617</v>
      </c>
      <c r="H27" s="190">
        <v>1040</v>
      </c>
      <c r="I27" s="51" t="s">
        <v>249</v>
      </c>
      <c r="J27" s="51" t="s">
        <v>1712</v>
      </c>
      <c r="K27" s="188" t="s">
        <v>240</v>
      </c>
      <c r="L27" s="51" t="s">
        <v>248</v>
      </c>
      <c r="M27" s="51" t="s">
        <v>59</v>
      </c>
      <c r="N27" s="51" t="s">
        <v>38</v>
      </c>
      <c r="O27" s="51" t="s">
        <v>384</v>
      </c>
      <c r="P27" s="54">
        <v>44278</v>
      </c>
      <c r="Q27" s="54"/>
      <c r="R27" s="54"/>
      <c r="S27" s="54"/>
      <c r="T27" s="54">
        <v>44532</v>
      </c>
      <c r="U27" s="54"/>
      <c r="V27" s="58"/>
      <c r="AA27" s="189"/>
      <c r="AB27" s="50"/>
      <c r="AC27" s="51"/>
      <c r="AD27" s="51"/>
      <c r="AE27" s="51"/>
      <c r="AF27" s="260"/>
      <c r="AG27" s="51"/>
      <c r="AH27" s="190"/>
      <c r="AI27" s="51"/>
      <c r="AJ27" s="51"/>
      <c r="AK27" s="188"/>
      <c r="AL27" s="51"/>
      <c r="AM27" s="51"/>
      <c r="AN27" s="51"/>
      <c r="AO27" s="51"/>
      <c r="AP27" s="54"/>
      <c r="AQ27" s="54"/>
      <c r="AR27" s="54"/>
      <c r="AS27" s="54"/>
      <c r="AT27" s="54"/>
      <c r="AU27" s="54"/>
      <c r="AV27" s="58"/>
    </row>
    <row r="28" spans="1:48" s="59" customFormat="1" ht="20.100000000000001" customHeight="1">
      <c r="A28" s="189">
        <v>27</v>
      </c>
      <c r="B28" s="50" t="s">
        <v>527</v>
      </c>
      <c r="C28" s="51" t="s">
        <v>83</v>
      </c>
      <c r="D28" s="51" t="s">
        <v>81</v>
      </c>
      <c r="E28" s="51">
        <v>136</v>
      </c>
      <c r="F28" s="51">
        <v>885</v>
      </c>
      <c r="G28" s="51">
        <v>1852</v>
      </c>
      <c r="H28" s="190">
        <v>2093</v>
      </c>
      <c r="I28" s="51" t="s">
        <v>249</v>
      </c>
      <c r="J28" s="51">
        <v>20</v>
      </c>
      <c r="K28" s="188" t="s">
        <v>240</v>
      </c>
      <c r="L28" s="51" t="s">
        <v>248</v>
      </c>
      <c r="M28" s="51" t="s">
        <v>59</v>
      </c>
      <c r="N28" s="51" t="s">
        <v>36</v>
      </c>
      <c r="O28" s="51" t="s">
        <v>250</v>
      </c>
      <c r="P28" s="54">
        <v>43593</v>
      </c>
      <c r="Q28" s="54"/>
      <c r="R28" s="54">
        <v>43593</v>
      </c>
      <c r="S28" s="54"/>
      <c r="T28" s="54"/>
      <c r="U28" s="54"/>
      <c r="V28" s="58"/>
      <c r="AA28" s="189"/>
      <c r="AB28" s="50"/>
      <c r="AC28" s="51"/>
      <c r="AD28" s="51"/>
      <c r="AE28" s="51"/>
      <c r="AF28" s="51"/>
      <c r="AG28" s="51"/>
      <c r="AH28" s="190"/>
      <c r="AI28" s="51"/>
      <c r="AJ28" s="51"/>
      <c r="AK28" s="188"/>
      <c r="AL28" s="51"/>
      <c r="AM28" s="51"/>
      <c r="AN28" s="51"/>
      <c r="AO28" s="51"/>
      <c r="AP28" s="54"/>
      <c r="AQ28" s="54"/>
      <c r="AR28" s="54"/>
      <c r="AS28" s="54"/>
      <c r="AT28" s="54"/>
      <c r="AU28" s="54"/>
      <c r="AV28" s="58"/>
    </row>
    <row r="29" spans="1:48" s="59" customFormat="1" ht="20.100000000000001" customHeight="1">
      <c r="A29" s="189">
        <v>28</v>
      </c>
      <c r="B29" s="50" t="s">
        <v>528</v>
      </c>
      <c r="C29" s="51" t="s">
        <v>85</v>
      </c>
      <c r="D29" s="51" t="s">
        <v>479</v>
      </c>
      <c r="E29" s="51">
        <v>78</v>
      </c>
      <c r="F29" s="51">
        <v>1485</v>
      </c>
      <c r="G29" s="51">
        <v>2128</v>
      </c>
      <c r="H29" s="190">
        <v>1433</v>
      </c>
      <c r="I29" s="51" t="s">
        <v>251</v>
      </c>
      <c r="J29" s="51">
        <v>32</v>
      </c>
      <c r="K29" s="188" t="s">
        <v>76</v>
      </c>
      <c r="L29" s="51" t="s">
        <v>77</v>
      </c>
      <c r="M29" s="51" t="s">
        <v>60</v>
      </c>
      <c r="N29" s="51" t="s">
        <v>38</v>
      </c>
      <c r="O29" s="51" t="s">
        <v>252</v>
      </c>
      <c r="P29" s="54">
        <v>44294</v>
      </c>
      <c r="Q29" s="54"/>
      <c r="R29" s="54"/>
      <c r="S29" s="54"/>
      <c r="T29" s="54">
        <v>44294</v>
      </c>
      <c r="U29" s="54"/>
      <c r="V29" s="58"/>
      <c r="AA29" s="189"/>
      <c r="AB29" s="50"/>
      <c r="AC29" s="51"/>
      <c r="AD29" s="51"/>
      <c r="AE29" s="51"/>
      <c r="AF29" s="51"/>
      <c r="AG29" s="51"/>
      <c r="AH29" s="190"/>
      <c r="AI29" s="51"/>
      <c r="AJ29" s="51"/>
      <c r="AK29" s="188"/>
      <c r="AL29" s="51"/>
      <c r="AM29" s="51"/>
      <c r="AN29" s="51"/>
      <c r="AO29" s="51"/>
      <c r="AP29" s="54"/>
      <c r="AQ29" s="54"/>
      <c r="AR29" s="54"/>
      <c r="AS29" s="54"/>
      <c r="AT29" s="54"/>
      <c r="AU29" s="54"/>
      <c r="AV29" s="58"/>
    </row>
    <row r="30" spans="1:48" s="59" customFormat="1" ht="20.100000000000001" customHeight="1">
      <c r="A30" s="189">
        <v>29</v>
      </c>
      <c r="B30" s="50" t="s">
        <v>531</v>
      </c>
      <c r="C30" s="51" t="s">
        <v>84</v>
      </c>
      <c r="D30" s="51" t="s">
        <v>479</v>
      </c>
      <c r="E30" s="51">
        <v>78</v>
      </c>
      <c r="F30" s="51">
        <v>1560</v>
      </c>
      <c r="G30" s="51">
        <v>2235</v>
      </c>
      <c r="H30" s="190">
        <v>1433</v>
      </c>
      <c r="I30" s="51" t="s">
        <v>257</v>
      </c>
      <c r="J30" s="51">
        <v>5</v>
      </c>
      <c r="K30" s="188" t="s">
        <v>254</v>
      </c>
      <c r="L30" s="51" t="s">
        <v>241</v>
      </c>
      <c r="M30" s="51" t="s">
        <v>60</v>
      </c>
      <c r="N30" s="51" t="s">
        <v>38</v>
      </c>
      <c r="O30" s="51" t="s">
        <v>384</v>
      </c>
      <c r="P30" s="54">
        <v>44305</v>
      </c>
      <c r="Q30" s="54"/>
      <c r="R30" s="54"/>
      <c r="S30" s="54"/>
      <c r="T30" s="54">
        <v>44396</v>
      </c>
      <c r="U30" s="54"/>
      <c r="V30" s="58"/>
      <c r="AA30" s="189"/>
      <c r="AB30" s="50"/>
      <c r="AC30" s="51"/>
      <c r="AD30" s="51"/>
      <c r="AE30" s="51"/>
      <c r="AF30" s="51"/>
      <c r="AG30" s="51"/>
      <c r="AH30" s="190"/>
      <c r="AI30" s="51"/>
      <c r="AJ30" s="51"/>
      <c r="AK30" s="188"/>
      <c r="AL30" s="51"/>
      <c r="AM30" s="51"/>
      <c r="AN30" s="51"/>
      <c r="AO30" s="51"/>
      <c r="AP30" s="54"/>
      <c r="AQ30" s="54"/>
      <c r="AR30" s="54"/>
      <c r="AS30" s="54"/>
      <c r="AT30" s="54"/>
      <c r="AU30" s="54"/>
      <c r="AV30" s="58"/>
    </row>
    <row r="31" spans="1:48" s="59" customFormat="1" ht="20.100000000000001" customHeight="1">
      <c r="A31" s="189">
        <v>30</v>
      </c>
      <c r="B31" s="50" t="s">
        <v>532</v>
      </c>
      <c r="C31" s="51" t="s">
        <v>84</v>
      </c>
      <c r="D31" s="51" t="s">
        <v>480</v>
      </c>
      <c r="E31" s="51">
        <v>114</v>
      </c>
      <c r="F31" s="51">
        <v>1060</v>
      </c>
      <c r="G31" s="51">
        <v>1495</v>
      </c>
      <c r="H31" s="190">
        <v>1410</v>
      </c>
      <c r="I31" s="51" t="s">
        <v>258</v>
      </c>
      <c r="J31" s="51">
        <v>6</v>
      </c>
      <c r="K31" s="188" t="s">
        <v>256</v>
      </c>
      <c r="L31" s="51" t="s">
        <v>241</v>
      </c>
      <c r="M31" s="51" t="s">
        <v>60</v>
      </c>
      <c r="N31" s="51" t="s">
        <v>38</v>
      </c>
      <c r="O31" s="51" t="s">
        <v>384</v>
      </c>
      <c r="P31" s="54">
        <v>44271</v>
      </c>
      <c r="Q31" s="54"/>
      <c r="R31" s="54"/>
      <c r="S31" s="54"/>
      <c r="T31" s="54"/>
      <c r="U31" s="54"/>
      <c r="V31" s="58"/>
      <c r="AA31" s="189"/>
      <c r="AB31" s="50"/>
      <c r="AC31" s="51"/>
      <c r="AD31" s="51"/>
      <c r="AE31" s="51"/>
      <c r="AF31" s="51"/>
      <c r="AG31" s="51"/>
      <c r="AH31" s="190"/>
      <c r="AI31" s="51"/>
      <c r="AJ31" s="51"/>
      <c r="AK31" s="188"/>
      <c r="AL31" s="51"/>
      <c r="AM31" s="51"/>
      <c r="AN31" s="51"/>
      <c r="AO31" s="51"/>
      <c r="AP31" s="54"/>
      <c r="AQ31" s="54"/>
      <c r="AR31" s="54"/>
      <c r="AS31" s="54"/>
      <c r="AT31" s="54"/>
      <c r="AU31" s="54"/>
      <c r="AV31" s="58"/>
    </row>
    <row r="32" spans="1:48" s="59" customFormat="1" ht="20.100000000000001" customHeight="1">
      <c r="A32" s="189">
        <v>31</v>
      </c>
      <c r="B32" s="50" t="s">
        <v>533</v>
      </c>
      <c r="C32" s="51" t="s">
        <v>85</v>
      </c>
      <c r="D32" s="51" t="s">
        <v>478</v>
      </c>
      <c r="E32" s="51">
        <v>88</v>
      </c>
      <c r="F32" s="51">
        <v>1555</v>
      </c>
      <c r="G32" s="51">
        <v>1506</v>
      </c>
      <c r="H32" s="190">
        <v>968</v>
      </c>
      <c r="I32" s="51" t="s">
        <v>259</v>
      </c>
      <c r="J32" s="51">
        <v>16</v>
      </c>
      <c r="K32" s="188" t="s">
        <v>260</v>
      </c>
      <c r="L32" s="51" t="s">
        <v>261</v>
      </c>
      <c r="M32" s="51" t="s">
        <v>60</v>
      </c>
      <c r="N32" s="51" t="s">
        <v>38</v>
      </c>
      <c r="O32" s="51" t="s">
        <v>252</v>
      </c>
      <c r="P32" s="54">
        <v>44294</v>
      </c>
      <c r="Q32" s="54"/>
      <c r="R32" s="54"/>
      <c r="S32" s="54"/>
      <c r="T32" s="54">
        <v>44294</v>
      </c>
      <c r="U32" s="54"/>
      <c r="V32" s="58"/>
      <c r="AA32" s="189"/>
      <c r="AB32" s="50"/>
      <c r="AC32" s="51"/>
      <c r="AD32" s="51"/>
      <c r="AE32" s="51"/>
      <c r="AF32" s="51"/>
      <c r="AG32" s="51"/>
      <c r="AH32" s="190"/>
      <c r="AI32" s="51"/>
      <c r="AJ32" s="51"/>
      <c r="AK32" s="188"/>
      <c r="AL32" s="51"/>
      <c r="AM32" s="51"/>
      <c r="AN32" s="51"/>
      <c r="AO32" s="51"/>
      <c r="AP32" s="54"/>
      <c r="AQ32" s="54"/>
      <c r="AR32" s="54"/>
      <c r="AS32" s="54"/>
      <c r="AT32" s="54"/>
      <c r="AU32" s="54"/>
      <c r="AV32" s="58"/>
    </row>
    <row r="33" spans="1:48" s="59" customFormat="1" ht="20.100000000000001" customHeight="1">
      <c r="A33" s="189">
        <v>32</v>
      </c>
      <c r="B33" s="50" t="s">
        <v>534</v>
      </c>
      <c r="C33" s="51" t="s">
        <v>84</v>
      </c>
      <c r="D33" s="51" t="s">
        <v>478</v>
      </c>
      <c r="E33" s="51">
        <v>88</v>
      </c>
      <c r="F33" s="51">
        <v>1555</v>
      </c>
      <c r="G33" s="51">
        <v>1506</v>
      </c>
      <c r="H33" s="190">
        <v>968</v>
      </c>
      <c r="I33" s="51" t="s">
        <v>262</v>
      </c>
      <c r="J33" s="51">
        <v>13</v>
      </c>
      <c r="K33" s="188" t="s">
        <v>240</v>
      </c>
      <c r="L33" s="51" t="s">
        <v>263</v>
      </c>
      <c r="M33" s="51" t="s">
        <v>59</v>
      </c>
      <c r="N33" s="51" t="s">
        <v>38</v>
      </c>
      <c r="O33" s="51" t="s">
        <v>384</v>
      </c>
      <c r="P33" s="54">
        <v>44280</v>
      </c>
      <c r="Q33" s="54"/>
      <c r="R33" s="54"/>
      <c r="S33" s="54"/>
      <c r="T33" s="54"/>
      <c r="U33" s="54"/>
      <c r="V33" s="58"/>
      <c r="AA33" s="189"/>
      <c r="AB33" s="50"/>
      <c r="AC33" s="51"/>
      <c r="AD33" s="51"/>
      <c r="AE33" s="51"/>
      <c r="AF33" s="51"/>
      <c r="AG33" s="51"/>
      <c r="AH33" s="190"/>
      <c r="AI33" s="51"/>
      <c r="AJ33" s="51"/>
      <c r="AK33" s="188"/>
      <c r="AL33" s="51"/>
      <c r="AM33" s="51"/>
      <c r="AN33" s="51"/>
      <c r="AO33" s="51"/>
      <c r="AP33" s="54"/>
      <c r="AQ33" s="54"/>
      <c r="AR33" s="54"/>
      <c r="AS33" s="54"/>
      <c r="AT33" s="54"/>
      <c r="AU33" s="54"/>
      <c r="AV33" s="58"/>
    </row>
    <row r="34" spans="1:48" s="59" customFormat="1" ht="20.100000000000001" customHeight="1">
      <c r="A34" s="189">
        <v>33</v>
      </c>
      <c r="B34" s="50" t="s">
        <v>535</v>
      </c>
      <c r="C34" s="51" t="s">
        <v>84</v>
      </c>
      <c r="D34" s="51" t="s">
        <v>480</v>
      </c>
      <c r="E34" s="51">
        <v>112</v>
      </c>
      <c r="F34" s="51">
        <v>1060</v>
      </c>
      <c r="G34" s="51">
        <v>1493</v>
      </c>
      <c r="H34" s="190">
        <v>1408</v>
      </c>
      <c r="I34" s="51" t="s">
        <v>264</v>
      </c>
      <c r="J34" s="51">
        <v>5</v>
      </c>
      <c r="K34" s="188" t="s">
        <v>240</v>
      </c>
      <c r="L34" s="51" t="s">
        <v>263</v>
      </c>
      <c r="M34" s="51" t="s">
        <v>60</v>
      </c>
      <c r="N34" s="51" t="s">
        <v>38</v>
      </c>
      <c r="O34" s="51" t="s">
        <v>384</v>
      </c>
      <c r="P34" s="54">
        <v>44396</v>
      </c>
      <c r="Q34" s="54"/>
      <c r="R34" s="54"/>
      <c r="S34" s="54"/>
      <c r="T34" s="54"/>
      <c r="U34" s="54"/>
      <c r="V34" s="58"/>
      <c r="AA34" s="189"/>
      <c r="AB34" s="50"/>
      <c r="AC34" s="51"/>
      <c r="AD34" s="51"/>
      <c r="AE34" s="51"/>
      <c r="AF34" s="51"/>
      <c r="AG34" s="51"/>
      <c r="AH34" s="190"/>
      <c r="AI34" s="51"/>
      <c r="AJ34" s="51"/>
      <c r="AK34" s="188"/>
      <c r="AL34" s="51"/>
      <c r="AM34" s="51"/>
      <c r="AN34" s="51"/>
      <c r="AO34" s="51"/>
      <c r="AP34" s="54"/>
      <c r="AQ34" s="54"/>
      <c r="AR34" s="54"/>
      <c r="AS34" s="54"/>
      <c r="AT34" s="54"/>
      <c r="AU34" s="54"/>
      <c r="AV34" s="58"/>
    </row>
    <row r="35" spans="1:48" s="59" customFormat="1" ht="20.100000000000001" customHeight="1">
      <c r="A35" s="189">
        <v>34</v>
      </c>
      <c r="B35" s="50" t="s">
        <v>536</v>
      </c>
      <c r="C35" s="51" t="s">
        <v>82</v>
      </c>
      <c r="D35" s="51" t="s">
        <v>480</v>
      </c>
      <c r="E35" s="51">
        <v>112</v>
      </c>
      <c r="F35" s="51">
        <v>1060</v>
      </c>
      <c r="G35" s="51">
        <v>1493</v>
      </c>
      <c r="H35" s="190">
        <v>1408</v>
      </c>
      <c r="I35" s="51" t="s">
        <v>265</v>
      </c>
      <c r="J35" s="51">
        <v>21</v>
      </c>
      <c r="K35" s="188" t="s">
        <v>266</v>
      </c>
      <c r="L35" s="51" t="s">
        <v>214</v>
      </c>
      <c r="M35" s="51" t="s">
        <v>60</v>
      </c>
      <c r="N35" s="51" t="s">
        <v>38</v>
      </c>
      <c r="O35" s="51" t="s">
        <v>236</v>
      </c>
      <c r="P35" s="54">
        <v>44299</v>
      </c>
      <c r="Q35" s="54"/>
      <c r="R35" s="54"/>
      <c r="S35" s="54"/>
      <c r="T35" s="54"/>
      <c r="U35" s="54"/>
      <c r="V35" s="58"/>
      <c r="AA35" s="189"/>
      <c r="AB35" s="50"/>
      <c r="AC35" s="51"/>
      <c r="AD35" s="51"/>
      <c r="AE35" s="51"/>
      <c r="AF35" s="51"/>
      <c r="AG35" s="51"/>
      <c r="AH35" s="190"/>
      <c r="AI35" s="51"/>
      <c r="AJ35" s="51"/>
      <c r="AK35" s="188"/>
      <c r="AL35" s="51"/>
      <c r="AM35" s="51"/>
      <c r="AN35" s="51"/>
      <c r="AO35" s="51"/>
      <c r="AP35" s="54"/>
      <c r="AQ35" s="54"/>
      <c r="AR35" s="54"/>
      <c r="AS35" s="54"/>
      <c r="AT35" s="54"/>
      <c r="AU35" s="54"/>
      <c r="AV35" s="58"/>
    </row>
    <row r="36" spans="1:48" s="59" customFormat="1" ht="20.100000000000001" customHeight="1">
      <c r="A36" s="189">
        <v>35</v>
      </c>
      <c r="B36" s="50" t="s">
        <v>536</v>
      </c>
      <c r="C36" s="51" t="s">
        <v>82</v>
      </c>
      <c r="D36" s="51" t="s">
        <v>480</v>
      </c>
      <c r="E36" s="51">
        <v>112</v>
      </c>
      <c r="F36" s="51">
        <v>1060</v>
      </c>
      <c r="G36" s="51">
        <v>1493</v>
      </c>
      <c r="H36" s="190">
        <v>1408</v>
      </c>
      <c r="I36" s="51" t="s">
        <v>265</v>
      </c>
      <c r="J36" s="51" t="s">
        <v>1711</v>
      </c>
      <c r="K36" s="188" t="s">
        <v>266</v>
      </c>
      <c r="L36" s="51" t="s">
        <v>214</v>
      </c>
      <c r="M36" s="51" t="s">
        <v>60</v>
      </c>
      <c r="N36" s="51" t="s">
        <v>37</v>
      </c>
      <c r="O36" s="51" t="s">
        <v>236</v>
      </c>
      <c r="P36" s="54">
        <v>44299</v>
      </c>
      <c r="Q36" s="54"/>
      <c r="R36" s="54"/>
      <c r="S36" s="54"/>
      <c r="T36" s="54"/>
      <c r="U36" s="54"/>
      <c r="V36" s="58"/>
      <c r="AA36" s="189"/>
      <c r="AB36" s="50"/>
      <c r="AC36" s="51"/>
      <c r="AD36" s="51"/>
      <c r="AE36" s="51"/>
      <c r="AF36" s="51"/>
      <c r="AG36" s="51"/>
      <c r="AH36" s="190"/>
      <c r="AI36" s="51"/>
      <c r="AJ36" s="51"/>
      <c r="AK36" s="188"/>
      <c r="AL36" s="51"/>
      <c r="AM36" s="51"/>
      <c r="AN36" s="51"/>
      <c r="AO36" s="51"/>
      <c r="AP36" s="54"/>
      <c r="AQ36" s="54"/>
      <c r="AR36" s="54"/>
      <c r="AS36" s="54"/>
      <c r="AT36" s="54"/>
      <c r="AU36" s="54"/>
      <c r="AV36" s="58"/>
    </row>
    <row r="37" spans="1:48" s="59" customFormat="1" ht="20.100000000000001" customHeight="1">
      <c r="A37" s="189">
        <v>36</v>
      </c>
      <c r="B37" s="50" t="s">
        <v>536</v>
      </c>
      <c r="C37" s="51" t="s">
        <v>82</v>
      </c>
      <c r="D37" s="51" t="s">
        <v>480</v>
      </c>
      <c r="E37" s="51">
        <v>112</v>
      </c>
      <c r="F37" s="51">
        <v>1060</v>
      </c>
      <c r="G37" s="51">
        <v>1458</v>
      </c>
      <c r="H37" s="190">
        <v>1375</v>
      </c>
      <c r="I37" s="51" t="s">
        <v>265</v>
      </c>
      <c r="J37" s="51">
        <v>20</v>
      </c>
      <c r="K37" s="188" t="s">
        <v>266</v>
      </c>
      <c r="L37" s="51" t="s">
        <v>214</v>
      </c>
      <c r="M37" s="51" t="s">
        <v>60</v>
      </c>
      <c r="N37" s="51" t="s">
        <v>37</v>
      </c>
      <c r="O37" s="51" t="s">
        <v>236</v>
      </c>
      <c r="P37" s="54">
        <v>44117</v>
      </c>
      <c r="Q37" s="54"/>
      <c r="R37" s="54"/>
      <c r="S37" s="54"/>
      <c r="T37" s="54"/>
      <c r="U37" s="54"/>
      <c r="V37" s="58"/>
      <c r="AA37" s="189"/>
      <c r="AB37" s="50"/>
      <c r="AC37" s="51"/>
      <c r="AD37" s="51"/>
      <c r="AE37" s="51"/>
      <c r="AF37" s="51"/>
      <c r="AG37" s="51"/>
      <c r="AH37" s="190"/>
      <c r="AI37" s="51"/>
      <c r="AJ37" s="51"/>
      <c r="AK37" s="188"/>
      <c r="AL37" s="51"/>
      <c r="AM37" s="51"/>
      <c r="AN37" s="51"/>
      <c r="AO37" s="51"/>
      <c r="AP37" s="54"/>
      <c r="AQ37" s="54"/>
      <c r="AR37" s="54"/>
      <c r="AS37" s="54"/>
      <c r="AT37" s="54"/>
      <c r="AU37" s="54"/>
      <c r="AV37" s="58"/>
    </row>
    <row r="38" spans="1:48" s="59" customFormat="1" ht="20.100000000000001" customHeight="1">
      <c r="A38" s="189">
        <v>37</v>
      </c>
      <c r="B38" s="50" t="s">
        <v>537</v>
      </c>
      <c r="C38" s="51" t="s">
        <v>82</v>
      </c>
      <c r="D38" s="51" t="s">
        <v>480</v>
      </c>
      <c r="E38" s="51">
        <v>112</v>
      </c>
      <c r="F38" s="51">
        <v>1060</v>
      </c>
      <c r="G38" s="51">
        <v>1458</v>
      </c>
      <c r="H38" s="190">
        <v>1375</v>
      </c>
      <c r="I38" s="51" t="s">
        <v>267</v>
      </c>
      <c r="J38" s="51">
        <v>16</v>
      </c>
      <c r="K38" s="188" t="s">
        <v>266</v>
      </c>
      <c r="L38" s="51" t="s">
        <v>226</v>
      </c>
      <c r="M38" s="51" t="s">
        <v>60</v>
      </c>
      <c r="N38" s="51" t="s">
        <v>38</v>
      </c>
      <c r="O38" s="51" t="s">
        <v>268</v>
      </c>
      <c r="P38" s="54">
        <v>43719</v>
      </c>
      <c r="Q38" s="54"/>
      <c r="R38" s="54"/>
      <c r="S38" s="54"/>
      <c r="T38" s="54"/>
      <c r="U38" s="54">
        <v>43719</v>
      </c>
      <c r="V38" s="58"/>
      <c r="AA38" s="189"/>
      <c r="AB38" s="50"/>
      <c r="AC38" s="51"/>
      <c r="AD38" s="51"/>
      <c r="AE38" s="51"/>
      <c r="AF38" s="51"/>
      <c r="AG38" s="51"/>
      <c r="AH38" s="190"/>
      <c r="AI38" s="51"/>
      <c r="AJ38" s="51"/>
      <c r="AK38" s="188"/>
      <c r="AL38" s="51"/>
      <c r="AM38" s="51"/>
      <c r="AN38" s="51"/>
      <c r="AO38" s="51"/>
      <c r="AP38" s="54"/>
      <c r="AQ38" s="54"/>
      <c r="AR38" s="54"/>
      <c r="AS38" s="54"/>
      <c r="AT38" s="54"/>
      <c r="AU38" s="54"/>
      <c r="AV38" s="58"/>
    </row>
    <row r="39" spans="1:48" s="59" customFormat="1" ht="20.100000000000001" customHeight="1">
      <c r="A39" s="189">
        <v>38</v>
      </c>
      <c r="B39" s="229" t="s">
        <v>538</v>
      </c>
      <c r="C39" s="230" t="s">
        <v>82</v>
      </c>
      <c r="D39" s="230" t="s">
        <v>480</v>
      </c>
      <c r="E39" s="230">
        <v>112</v>
      </c>
      <c r="F39" s="230">
        <v>1060</v>
      </c>
      <c r="G39" s="230">
        <v>1458</v>
      </c>
      <c r="H39" s="231">
        <v>1375</v>
      </c>
      <c r="I39" s="230" t="s">
        <v>267</v>
      </c>
      <c r="J39" s="230">
        <v>26</v>
      </c>
      <c r="K39" s="232" t="s">
        <v>266</v>
      </c>
      <c r="L39" s="230" t="s">
        <v>226</v>
      </c>
      <c r="M39" s="230" t="s">
        <v>60</v>
      </c>
      <c r="N39" s="230" t="s">
        <v>36</v>
      </c>
      <c r="O39" s="230" t="s">
        <v>268</v>
      </c>
      <c r="P39" s="233">
        <v>44040</v>
      </c>
      <c r="Q39" s="233"/>
      <c r="R39" s="233">
        <v>44040</v>
      </c>
      <c r="S39" s="233"/>
      <c r="T39" s="233"/>
      <c r="U39" s="233"/>
      <c r="V39" s="234"/>
      <c r="AA39" s="228"/>
      <c r="AB39" s="229"/>
      <c r="AC39" s="230"/>
      <c r="AD39" s="230"/>
      <c r="AE39" s="230"/>
      <c r="AF39" s="230"/>
      <c r="AG39" s="230"/>
      <c r="AH39" s="231"/>
      <c r="AI39" s="230"/>
      <c r="AJ39" s="230"/>
      <c r="AK39" s="232"/>
      <c r="AL39" s="230"/>
      <c r="AM39" s="230"/>
      <c r="AN39" s="230"/>
      <c r="AO39" s="230"/>
      <c r="AP39" s="233"/>
      <c r="AQ39" s="233"/>
      <c r="AR39" s="233"/>
      <c r="AS39" s="233"/>
      <c r="AT39" s="233"/>
      <c r="AU39" s="233"/>
      <c r="AV39" s="234"/>
    </row>
    <row r="40" spans="1:48" s="59" customFormat="1" ht="20.100000000000001" customHeight="1">
      <c r="A40" s="189">
        <v>39</v>
      </c>
      <c r="B40" s="229" t="s">
        <v>538</v>
      </c>
      <c r="C40" s="230" t="s">
        <v>82</v>
      </c>
      <c r="D40" s="230" t="s">
        <v>480</v>
      </c>
      <c r="E40" s="230">
        <v>112</v>
      </c>
      <c r="F40" s="230">
        <v>1060</v>
      </c>
      <c r="G40" s="230">
        <v>1458</v>
      </c>
      <c r="H40" s="231">
        <v>1375</v>
      </c>
      <c r="I40" s="230" t="s">
        <v>267</v>
      </c>
      <c r="J40" s="230">
        <v>27</v>
      </c>
      <c r="K40" s="232" t="s">
        <v>266</v>
      </c>
      <c r="L40" s="230" t="s">
        <v>226</v>
      </c>
      <c r="M40" s="230" t="s">
        <v>60</v>
      </c>
      <c r="N40" s="230" t="s">
        <v>36</v>
      </c>
      <c r="O40" s="230" t="s">
        <v>268</v>
      </c>
      <c r="P40" s="233">
        <v>44040</v>
      </c>
      <c r="Q40" s="233"/>
      <c r="R40" s="233">
        <v>44040</v>
      </c>
      <c r="S40" s="233"/>
      <c r="T40" s="233"/>
      <c r="U40" s="233"/>
      <c r="V40" s="234"/>
      <c r="AA40" s="228"/>
      <c r="AB40" s="229"/>
      <c r="AC40" s="230"/>
      <c r="AD40" s="230"/>
      <c r="AE40" s="230"/>
      <c r="AF40" s="230"/>
      <c r="AG40" s="230"/>
      <c r="AH40" s="231"/>
      <c r="AI40" s="230"/>
      <c r="AJ40" s="230"/>
      <c r="AK40" s="232"/>
      <c r="AL40" s="230"/>
      <c r="AM40" s="230"/>
      <c r="AN40" s="230"/>
      <c r="AO40" s="230"/>
      <c r="AP40" s="233"/>
      <c r="AQ40" s="233"/>
      <c r="AR40" s="233"/>
      <c r="AS40" s="233"/>
      <c r="AT40" s="233"/>
      <c r="AU40" s="233"/>
      <c r="AV40" s="234"/>
    </row>
    <row r="41" spans="1:48" s="235" customFormat="1" ht="20.100000000000001" customHeight="1">
      <c r="A41" s="189">
        <v>40</v>
      </c>
      <c r="B41" s="50" t="s">
        <v>539</v>
      </c>
      <c r="C41" s="51" t="s">
        <v>82</v>
      </c>
      <c r="D41" s="51" t="s">
        <v>480</v>
      </c>
      <c r="E41" s="51">
        <v>112</v>
      </c>
      <c r="F41" s="51">
        <v>1060</v>
      </c>
      <c r="G41" s="51">
        <v>1458</v>
      </c>
      <c r="H41" s="190">
        <v>1375</v>
      </c>
      <c r="I41" s="51" t="s">
        <v>267</v>
      </c>
      <c r="J41" s="51">
        <v>44</v>
      </c>
      <c r="K41" s="188" t="s">
        <v>266</v>
      </c>
      <c r="L41" s="51" t="s">
        <v>226</v>
      </c>
      <c r="M41" s="51" t="s">
        <v>60</v>
      </c>
      <c r="N41" s="51" t="s">
        <v>37</v>
      </c>
      <c r="O41" s="51" t="s">
        <v>268</v>
      </c>
      <c r="P41" s="54">
        <v>44117</v>
      </c>
      <c r="Q41" s="54"/>
      <c r="R41" s="54">
        <v>44117</v>
      </c>
      <c r="S41" s="54"/>
      <c r="T41" s="54"/>
      <c r="U41" s="54"/>
      <c r="V41" s="58"/>
      <c r="AA41" s="189"/>
      <c r="AB41" s="50"/>
      <c r="AC41" s="51"/>
      <c r="AD41" s="51"/>
      <c r="AE41" s="51"/>
      <c r="AF41" s="51"/>
      <c r="AG41" s="51"/>
      <c r="AH41" s="190"/>
      <c r="AI41" s="51"/>
      <c r="AJ41" s="51"/>
      <c r="AK41" s="188"/>
      <c r="AL41" s="51"/>
      <c r="AM41" s="51"/>
      <c r="AN41" s="51"/>
      <c r="AO41" s="51"/>
      <c r="AP41" s="54"/>
      <c r="AQ41" s="54"/>
      <c r="AR41" s="54"/>
      <c r="AS41" s="54"/>
      <c r="AT41" s="54"/>
      <c r="AU41" s="54"/>
      <c r="AV41" s="58"/>
    </row>
    <row r="42" spans="1:48" s="235" customFormat="1" ht="20.100000000000001" customHeight="1">
      <c r="A42" s="189">
        <v>41</v>
      </c>
      <c r="B42" s="50" t="s">
        <v>539</v>
      </c>
      <c r="C42" s="51" t="s">
        <v>82</v>
      </c>
      <c r="D42" s="51" t="s">
        <v>480</v>
      </c>
      <c r="E42" s="51">
        <v>112</v>
      </c>
      <c r="F42" s="51">
        <v>1060</v>
      </c>
      <c r="G42" s="51">
        <v>1458</v>
      </c>
      <c r="H42" s="190">
        <v>1375</v>
      </c>
      <c r="I42" s="51" t="s">
        <v>267</v>
      </c>
      <c r="J42" s="51" t="s">
        <v>1708</v>
      </c>
      <c r="K42" s="188" t="s">
        <v>266</v>
      </c>
      <c r="L42" s="51" t="s">
        <v>226</v>
      </c>
      <c r="M42" s="51" t="s">
        <v>60</v>
      </c>
      <c r="N42" s="51" t="s">
        <v>37</v>
      </c>
      <c r="O42" s="51" t="s">
        <v>1710</v>
      </c>
      <c r="P42" s="54">
        <v>44525</v>
      </c>
      <c r="Q42" s="54"/>
      <c r="R42" s="54">
        <v>44526</v>
      </c>
      <c r="S42" s="54"/>
      <c r="T42" s="54"/>
      <c r="U42" s="54"/>
      <c r="V42" s="58"/>
      <c r="AA42" s="189"/>
      <c r="AB42" s="50"/>
      <c r="AC42" s="51"/>
      <c r="AD42" s="51"/>
      <c r="AE42" s="51"/>
      <c r="AF42" s="51"/>
      <c r="AG42" s="51"/>
      <c r="AH42" s="190"/>
      <c r="AI42" s="51"/>
      <c r="AJ42" s="51"/>
      <c r="AK42" s="188"/>
      <c r="AL42" s="51"/>
      <c r="AM42" s="51"/>
      <c r="AN42" s="51"/>
      <c r="AO42" s="51"/>
      <c r="AP42" s="54"/>
      <c r="AQ42" s="54"/>
      <c r="AR42" s="54"/>
      <c r="AS42" s="54"/>
      <c r="AT42" s="54"/>
      <c r="AU42" s="54"/>
      <c r="AV42" s="58"/>
    </row>
    <row r="43" spans="1:48" s="59" customFormat="1" ht="20.100000000000001" customHeight="1">
      <c r="A43" s="189">
        <v>42</v>
      </c>
      <c r="B43" s="50" t="s">
        <v>539</v>
      </c>
      <c r="C43" s="51" t="s">
        <v>82</v>
      </c>
      <c r="D43" s="51" t="s">
        <v>480</v>
      </c>
      <c r="E43" s="51">
        <v>112</v>
      </c>
      <c r="F43" s="51">
        <v>1060</v>
      </c>
      <c r="G43" s="51">
        <v>1458</v>
      </c>
      <c r="H43" s="190">
        <v>1375</v>
      </c>
      <c r="I43" s="51" t="s">
        <v>267</v>
      </c>
      <c r="J43" s="51" t="s">
        <v>1709</v>
      </c>
      <c r="K43" s="188" t="s">
        <v>266</v>
      </c>
      <c r="L43" s="51" t="s">
        <v>226</v>
      </c>
      <c r="M43" s="51" t="s">
        <v>60</v>
      </c>
      <c r="N43" s="51" t="s">
        <v>37</v>
      </c>
      <c r="O43" s="51" t="s">
        <v>1710</v>
      </c>
      <c r="P43" s="54">
        <v>44526</v>
      </c>
      <c r="Q43" s="54"/>
      <c r="R43" s="54">
        <v>44526</v>
      </c>
      <c r="S43" s="54"/>
      <c r="T43" s="54"/>
      <c r="U43" s="54"/>
      <c r="V43" s="58"/>
      <c r="AA43" s="189"/>
      <c r="AB43" s="50"/>
      <c r="AC43" s="51"/>
      <c r="AD43" s="51"/>
      <c r="AE43" s="51"/>
      <c r="AF43" s="51"/>
      <c r="AG43" s="51"/>
      <c r="AH43" s="190"/>
      <c r="AI43" s="51"/>
      <c r="AJ43" s="51"/>
      <c r="AK43" s="188"/>
      <c r="AL43" s="51"/>
      <c r="AM43" s="51"/>
      <c r="AN43" s="51"/>
      <c r="AO43" s="51"/>
      <c r="AP43" s="54"/>
      <c r="AQ43" s="54"/>
      <c r="AR43" s="54"/>
      <c r="AS43" s="54"/>
      <c r="AT43" s="54"/>
      <c r="AU43" s="54"/>
      <c r="AV43" s="58"/>
    </row>
    <row r="44" spans="1:48" s="59" customFormat="1" ht="20.100000000000001" customHeight="1">
      <c r="A44" s="189">
        <v>43</v>
      </c>
      <c r="B44" s="50" t="s">
        <v>540</v>
      </c>
      <c r="C44" s="51" t="s">
        <v>82</v>
      </c>
      <c r="D44" s="51" t="s">
        <v>480</v>
      </c>
      <c r="E44" s="51">
        <v>112</v>
      </c>
      <c r="F44" s="51">
        <v>1060</v>
      </c>
      <c r="G44" s="51">
        <v>1458</v>
      </c>
      <c r="H44" s="190">
        <v>1375</v>
      </c>
      <c r="I44" s="51" t="s">
        <v>269</v>
      </c>
      <c r="J44" s="51">
        <v>11</v>
      </c>
      <c r="K44" s="188" t="s">
        <v>266</v>
      </c>
      <c r="L44" s="51" t="s">
        <v>226</v>
      </c>
      <c r="M44" s="51" t="s">
        <v>60</v>
      </c>
      <c r="N44" s="51" t="s">
        <v>1028</v>
      </c>
      <c r="O44" s="51" t="s">
        <v>270</v>
      </c>
      <c r="P44" s="54">
        <v>44454</v>
      </c>
      <c r="Q44" s="54"/>
      <c r="R44" s="54"/>
      <c r="S44" s="54"/>
      <c r="T44" s="54">
        <v>44454</v>
      </c>
      <c r="U44" s="54"/>
      <c r="V44" s="58"/>
      <c r="AA44" s="189"/>
      <c r="AB44" s="50"/>
      <c r="AC44" s="51"/>
      <c r="AD44" s="51"/>
      <c r="AE44" s="51"/>
      <c r="AF44" s="51"/>
      <c r="AG44" s="51"/>
      <c r="AH44" s="190"/>
      <c r="AI44" s="51"/>
      <c r="AJ44" s="51"/>
      <c r="AK44" s="188"/>
      <c r="AL44" s="51"/>
      <c r="AM44" s="51"/>
      <c r="AN44" s="51"/>
      <c r="AO44" s="51"/>
      <c r="AP44" s="54"/>
      <c r="AQ44" s="54"/>
      <c r="AR44" s="54"/>
      <c r="AS44" s="54"/>
      <c r="AT44" s="54"/>
      <c r="AU44" s="54"/>
      <c r="AV44" s="58"/>
    </row>
    <row r="45" spans="1:48" s="59" customFormat="1" ht="20.100000000000001" customHeight="1">
      <c r="A45" s="189">
        <v>44</v>
      </c>
      <c r="B45" s="50" t="s">
        <v>541</v>
      </c>
      <c r="C45" s="51" t="s">
        <v>82</v>
      </c>
      <c r="D45" s="51" t="s">
        <v>480</v>
      </c>
      <c r="E45" s="51">
        <v>112</v>
      </c>
      <c r="F45" s="51">
        <v>1060</v>
      </c>
      <c r="G45" s="51">
        <v>1458</v>
      </c>
      <c r="H45" s="190">
        <v>1375</v>
      </c>
      <c r="I45" s="51" t="s">
        <v>269</v>
      </c>
      <c r="J45" s="51">
        <v>8</v>
      </c>
      <c r="K45" s="188" t="s">
        <v>266</v>
      </c>
      <c r="L45" s="51" t="s">
        <v>226</v>
      </c>
      <c r="M45" s="51" t="s">
        <v>60</v>
      </c>
      <c r="N45" s="51" t="s">
        <v>36</v>
      </c>
      <c r="O45" s="51" t="s">
        <v>270</v>
      </c>
      <c r="P45" s="54">
        <v>44356</v>
      </c>
      <c r="Q45" s="54"/>
      <c r="R45" s="54">
        <v>44356</v>
      </c>
      <c r="S45" s="54"/>
      <c r="T45" s="54"/>
      <c r="U45" s="54"/>
      <c r="V45" s="58"/>
      <c r="AA45" s="189"/>
      <c r="AB45" s="50"/>
      <c r="AC45" s="51"/>
      <c r="AD45" s="51"/>
      <c r="AE45" s="51"/>
      <c r="AF45" s="51"/>
      <c r="AG45" s="51"/>
      <c r="AH45" s="190"/>
      <c r="AI45" s="51"/>
      <c r="AJ45" s="51"/>
      <c r="AK45" s="188"/>
      <c r="AL45" s="51"/>
      <c r="AM45" s="51"/>
      <c r="AN45" s="51"/>
      <c r="AO45" s="51"/>
      <c r="AP45" s="54"/>
      <c r="AQ45" s="54"/>
      <c r="AR45" s="54"/>
      <c r="AS45" s="54"/>
      <c r="AT45" s="54"/>
      <c r="AU45" s="54"/>
      <c r="AV45" s="58"/>
    </row>
    <row r="46" spans="1:48" s="59" customFormat="1" ht="20.100000000000001" customHeight="1">
      <c r="A46" s="189">
        <v>45</v>
      </c>
      <c r="B46" s="50" t="s">
        <v>542</v>
      </c>
      <c r="C46" s="51" t="s">
        <v>82</v>
      </c>
      <c r="D46" s="51" t="s">
        <v>480</v>
      </c>
      <c r="E46" s="51">
        <v>112</v>
      </c>
      <c r="F46" s="51">
        <v>1060</v>
      </c>
      <c r="G46" s="51">
        <v>1458</v>
      </c>
      <c r="H46" s="190">
        <v>1375</v>
      </c>
      <c r="I46" s="51" t="s">
        <v>273</v>
      </c>
      <c r="J46" s="51">
        <v>12</v>
      </c>
      <c r="K46" s="188" t="s">
        <v>266</v>
      </c>
      <c r="L46" s="51" t="s">
        <v>231</v>
      </c>
      <c r="M46" s="51" t="s">
        <v>60</v>
      </c>
      <c r="N46" s="51" t="s">
        <v>37</v>
      </c>
      <c r="O46" s="51" t="s">
        <v>384</v>
      </c>
      <c r="P46" s="54">
        <v>44426</v>
      </c>
      <c r="Q46" s="54"/>
      <c r="R46" s="54"/>
      <c r="S46" s="54">
        <v>44426</v>
      </c>
      <c r="T46" s="54"/>
      <c r="U46" s="54"/>
      <c r="V46" s="58"/>
      <c r="AA46" s="189"/>
      <c r="AB46" s="50"/>
      <c r="AC46" s="51"/>
      <c r="AD46" s="51"/>
      <c r="AE46" s="51"/>
      <c r="AF46" s="51"/>
      <c r="AG46" s="51"/>
      <c r="AH46" s="190"/>
      <c r="AI46" s="51"/>
      <c r="AJ46" s="51"/>
      <c r="AK46" s="188"/>
      <c r="AL46" s="51"/>
      <c r="AM46" s="51"/>
      <c r="AN46" s="51"/>
      <c r="AO46" s="51"/>
      <c r="AP46" s="54"/>
      <c r="AQ46" s="54"/>
      <c r="AR46" s="54"/>
      <c r="AS46" s="54"/>
      <c r="AT46" s="54"/>
      <c r="AU46" s="54"/>
      <c r="AV46" s="58"/>
    </row>
    <row r="47" spans="1:48" s="59" customFormat="1" ht="20.100000000000001" customHeight="1">
      <c r="A47" s="189">
        <v>46</v>
      </c>
      <c r="B47" s="50" t="s">
        <v>1658</v>
      </c>
      <c r="C47" s="51" t="s">
        <v>84</v>
      </c>
      <c r="D47" s="51" t="s">
        <v>478</v>
      </c>
      <c r="E47" s="51" t="s">
        <v>1563</v>
      </c>
      <c r="F47" s="51" t="s">
        <v>1564</v>
      </c>
      <c r="G47" s="51" t="s">
        <v>1462</v>
      </c>
      <c r="H47" s="190" t="s">
        <v>1659</v>
      </c>
      <c r="I47" s="51" t="s">
        <v>271</v>
      </c>
      <c r="J47" s="51" t="s">
        <v>1495</v>
      </c>
      <c r="K47" s="188" t="s">
        <v>240</v>
      </c>
      <c r="L47" s="51" t="s">
        <v>272</v>
      </c>
      <c r="M47" s="51" t="s">
        <v>59</v>
      </c>
      <c r="N47" s="51" t="s">
        <v>38</v>
      </c>
      <c r="O47" s="51" t="s">
        <v>384</v>
      </c>
      <c r="P47" s="54" t="s">
        <v>1660</v>
      </c>
      <c r="Q47" s="54" t="s">
        <v>648</v>
      </c>
      <c r="R47" s="54" t="s">
        <v>648</v>
      </c>
      <c r="S47" s="54">
        <v>44183</v>
      </c>
      <c r="T47" s="54">
        <v>44532</v>
      </c>
      <c r="U47" s="54" t="s">
        <v>648</v>
      </c>
      <c r="V47" s="58" t="s">
        <v>648</v>
      </c>
      <c r="AA47" s="189"/>
      <c r="AB47" s="50"/>
      <c r="AC47" s="51"/>
      <c r="AD47" s="51"/>
      <c r="AE47" s="51"/>
      <c r="AF47" s="51"/>
      <c r="AG47" s="51"/>
      <c r="AH47" s="190"/>
      <c r="AI47" s="51"/>
      <c r="AJ47" s="51"/>
      <c r="AK47" s="188"/>
      <c r="AL47" s="51"/>
      <c r="AM47" s="51"/>
      <c r="AN47" s="51"/>
      <c r="AO47" s="51"/>
      <c r="AP47" s="54"/>
      <c r="AQ47" s="54"/>
      <c r="AR47" s="54"/>
      <c r="AS47" s="54"/>
      <c r="AT47" s="54"/>
      <c r="AU47" s="54"/>
      <c r="AV47" s="58"/>
    </row>
    <row r="48" spans="1:48" s="59" customFormat="1" ht="20.100000000000001" customHeight="1">
      <c r="A48" s="189">
        <v>47</v>
      </c>
      <c r="B48" s="50" t="s">
        <v>545</v>
      </c>
      <c r="C48" s="51" t="s">
        <v>83</v>
      </c>
      <c r="D48" s="51" t="s">
        <v>473</v>
      </c>
      <c r="E48" s="51">
        <v>88</v>
      </c>
      <c r="F48" s="51">
        <v>1555</v>
      </c>
      <c r="G48" s="51">
        <v>1608</v>
      </c>
      <c r="H48" s="190">
        <v>1034</v>
      </c>
      <c r="I48" s="51" t="s">
        <v>271</v>
      </c>
      <c r="J48" s="51">
        <v>16</v>
      </c>
      <c r="K48" s="188" t="s">
        <v>240</v>
      </c>
      <c r="L48" s="51" t="s">
        <v>272</v>
      </c>
      <c r="M48" s="51" t="s">
        <v>59</v>
      </c>
      <c r="N48" s="51" t="s">
        <v>36</v>
      </c>
      <c r="O48" s="51" t="s">
        <v>250</v>
      </c>
      <c r="P48" s="54">
        <v>43593</v>
      </c>
      <c r="Q48" s="54"/>
      <c r="R48" s="54">
        <v>43593</v>
      </c>
      <c r="S48" s="54"/>
      <c r="T48" s="54"/>
      <c r="U48" s="54"/>
      <c r="V48" s="58"/>
      <c r="AA48" s="189"/>
      <c r="AB48" s="50"/>
      <c r="AC48" s="51"/>
      <c r="AD48" s="51"/>
      <c r="AE48" s="51"/>
      <c r="AF48" s="51"/>
      <c r="AG48" s="51"/>
      <c r="AH48" s="190"/>
      <c r="AI48" s="51"/>
      <c r="AJ48" s="51"/>
      <c r="AK48" s="188"/>
      <c r="AL48" s="51"/>
      <c r="AM48" s="51"/>
      <c r="AN48" s="51"/>
      <c r="AO48" s="51"/>
      <c r="AP48" s="54"/>
      <c r="AQ48" s="54"/>
      <c r="AR48" s="54"/>
      <c r="AS48" s="54"/>
      <c r="AT48" s="54"/>
      <c r="AU48" s="54"/>
      <c r="AV48" s="58"/>
    </row>
    <row r="49" spans="1:48" s="59" customFormat="1" ht="20.100000000000001" customHeight="1">
      <c r="A49" s="189">
        <v>48</v>
      </c>
      <c r="B49" s="50" t="s">
        <v>546</v>
      </c>
      <c r="C49" s="51" t="s">
        <v>84</v>
      </c>
      <c r="D49" s="51" t="s">
        <v>480</v>
      </c>
      <c r="E49" s="51">
        <v>112</v>
      </c>
      <c r="F49" s="51">
        <v>1060</v>
      </c>
      <c r="G49" s="51">
        <v>1410</v>
      </c>
      <c r="H49" s="190">
        <v>1330</v>
      </c>
      <c r="I49" s="51" t="s">
        <v>273</v>
      </c>
      <c r="J49" s="51">
        <v>11</v>
      </c>
      <c r="K49" s="188" t="s">
        <v>266</v>
      </c>
      <c r="L49" s="51" t="s">
        <v>231</v>
      </c>
      <c r="M49" s="51" t="s">
        <v>60</v>
      </c>
      <c r="N49" s="51" t="s">
        <v>38</v>
      </c>
      <c r="O49" s="51" t="s">
        <v>384</v>
      </c>
      <c r="P49" s="54">
        <v>44387</v>
      </c>
      <c r="Q49" s="54"/>
      <c r="R49" s="54"/>
      <c r="S49" s="54"/>
      <c r="T49" s="54">
        <v>44387</v>
      </c>
      <c r="U49" s="54"/>
      <c r="V49" s="58"/>
      <c r="AA49" s="189"/>
      <c r="AB49" s="50"/>
      <c r="AC49" s="51"/>
      <c r="AD49" s="51"/>
      <c r="AE49" s="51"/>
      <c r="AF49" s="51"/>
      <c r="AG49" s="51"/>
      <c r="AH49" s="190"/>
      <c r="AI49" s="51"/>
      <c r="AJ49" s="51"/>
      <c r="AK49" s="188"/>
      <c r="AL49" s="51"/>
      <c r="AM49" s="51"/>
      <c r="AN49" s="51"/>
      <c r="AO49" s="51"/>
      <c r="AP49" s="54"/>
      <c r="AQ49" s="54"/>
      <c r="AR49" s="54"/>
      <c r="AS49" s="54"/>
      <c r="AT49" s="54"/>
      <c r="AU49" s="54"/>
      <c r="AV49" s="58"/>
    </row>
    <row r="50" spans="1:48" s="59" customFormat="1" ht="20.100000000000001" customHeight="1">
      <c r="A50" s="189">
        <v>49</v>
      </c>
      <c r="B50" s="50" t="s">
        <v>547</v>
      </c>
      <c r="C50" s="51" t="s">
        <v>85</v>
      </c>
      <c r="D50" s="51" t="s">
        <v>480</v>
      </c>
      <c r="E50" s="51">
        <v>114</v>
      </c>
      <c r="F50" s="51">
        <v>1060</v>
      </c>
      <c r="G50" s="51">
        <v>1360</v>
      </c>
      <c r="H50" s="190">
        <v>1283</v>
      </c>
      <c r="I50" s="51" t="s">
        <v>274</v>
      </c>
      <c r="J50" s="51">
        <v>10</v>
      </c>
      <c r="K50" s="188" t="s">
        <v>266</v>
      </c>
      <c r="L50" s="51" t="s">
        <v>275</v>
      </c>
      <c r="M50" s="51" t="s">
        <v>60</v>
      </c>
      <c r="N50" s="51" t="s">
        <v>38</v>
      </c>
      <c r="O50" s="51" t="s">
        <v>276</v>
      </c>
      <c r="P50" s="54">
        <v>44294</v>
      </c>
      <c r="Q50" s="54"/>
      <c r="R50" s="54"/>
      <c r="S50" s="54"/>
      <c r="T50" s="54"/>
      <c r="U50" s="54"/>
      <c r="V50" s="58"/>
      <c r="AA50" s="189"/>
      <c r="AB50" s="50"/>
      <c r="AC50" s="51"/>
      <c r="AD50" s="51"/>
      <c r="AE50" s="51"/>
      <c r="AF50" s="51"/>
      <c r="AG50" s="51"/>
      <c r="AH50" s="190"/>
      <c r="AI50" s="51"/>
      <c r="AJ50" s="51"/>
      <c r="AK50" s="188"/>
      <c r="AL50" s="51"/>
      <c r="AM50" s="51"/>
      <c r="AN50" s="51"/>
      <c r="AO50" s="51"/>
      <c r="AP50" s="54"/>
      <c r="AQ50" s="54"/>
      <c r="AR50" s="54"/>
      <c r="AS50" s="54"/>
      <c r="AT50" s="54"/>
      <c r="AU50" s="54"/>
      <c r="AV50" s="58"/>
    </row>
    <row r="51" spans="1:48" s="59" customFormat="1" ht="20.100000000000001" customHeight="1">
      <c r="A51" s="189">
        <v>50</v>
      </c>
      <c r="B51" s="50" t="s">
        <v>547</v>
      </c>
      <c r="C51" s="51" t="s">
        <v>85</v>
      </c>
      <c r="D51" s="51" t="s">
        <v>480</v>
      </c>
      <c r="E51" s="51">
        <v>114</v>
      </c>
      <c r="F51" s="51">
        <v>1060</v>
      </c>
      <c r="G51" s="51">
        <v>1360</v>
      </c>
      <c r="H51" s="190">
        <v>1283</v>
      </c>
      <c r="I51" s="51" t="s">
        <v>274</v>
      </c>
      <c r="J51" s="51" t="s">
        <v>1707</v>
      </c>
      <c r="K51" s="188" t="s">
        <v>266</v>
      </c>
      <c r="L51" s="51" t="s">
        <v>275</v>
      </c>
      <c r="M51" s="51" t="s">
        <v>60</v>
      </c>
      <c r="N51" s="51" t="s">
        <v>36</v>
      </c>
      <c r="O51" s="51" t="s">
        <v>276</v>
      </c>
      <c r="P51" s="54">
        <v>44294</v>
      </c>
      <c r="Q51" s="54"/>
      <c r="R51" s="54">
        <v>44508</v>
      </c>
      <c r="S51" s="54"/>
      <c r="T51" s="54"/>
      <c r="U51" s="54"/>
      <c r="V51" s="58"/>
      <c r="AA51" s="189"/>
      <c r="AB51" s="50"/>
      <c r="AC51" s="51"/>
      <c r="AD51" s="51"/>
      <c r="AE51" s="51"/>
      <c r="AF51" s="51"/>
      <c r="AG51" s="51"/>
      <c r="AH51" s="190"/>
      <c r="AI51" s="51"/>
      <c r="AJ51" s="51"/>
      <c r="AK51" s="188"/>
      <c r="AL51" s="51"/>
      <c r="AM51" s="51"/>
      <c r="AN51" s="51"/>
      <c r="AO51" s="51"/>
      <c r="AP51" s="54"/>
      <c r="AQ51" s="54"/>
      <c r="AR51" s="54"/>
      <c r="AS51" s="54"/>
      <c r="AT51" s="54"/>
      <c r="AU51" s="54"/>
      <c r="AV51" s="58"/>
    </row>
    <row r="52" spans="1:48" s="59" customFormat="1" ht="20.100000000000001" customHeight="1">
      <c r="A52" s="189">
        <v>51</v>
      </c>
      <c r="B52" s="50" t="s">
        <v>548</v>
      </c>
      <c r="C52" s="51" t="s">
        <v>84</v>
      </c>
      <c r="D52" s="51" t="s">
        <v>479</v>
      </c>
      <c r="E52" s="51">
        <v>98</v>
      </c>
      <c r="F52" s="51">
        <v>1485</v>
      </c>
      <c r="G52" s="51">
        <v>2268</v>
      </c>
      <c r="H52" s="190">
        <v>1527</v>
      </c>
      <c r="I52" s="51" t="s">
        <v>277</v>
      </c>
      <c r="J52" s="51">
        <v>21</v>
      </c>
      <c r="K52" s="188" t="s">
        <v>254</v>
      </c>
      <c r="L52" s="51" t="s">
        <v>263</v>
      </c>
      <c r="M52" s="51" t="s">
        <v>59</v>
      </c>
      <c r="N52" s="51" t="s">
        <v>38</v>
      </c>
      <c r="O52" s="51" t="s">
        <v>384</v>
      </c>
      <c r="P52" s="54">
        <v>44294</v>
      </c>
      <c r="Q52" s="54"/>
      <c r="R52" s="54"/>
      <c r="S52" s="54"/>
      <c r="T52" s="54">
        <v>44294</v>
      </c>
      <c r="U52" s="54"/>
      <c r="V52" s="58"/>
      <c r="AA52" s="189"/>
      <c r="AB52" s="50"/>
      <c r="AC52" s="51"/>
      <c r="AD52" s="51"/>
      <c r="AE52" s="51"/>
      <c r="AF52" s="51"/>
      <c r="AG52" s="51"/>
      <c r="AH52" s="190"/>
      <c r="AI52" s="51"/>
      <c r="AJ52" s="51"/>
      <c r="AK52" s="188"/>
      <c r="AL52" s="51"/>
      <c r="AM52" s="51"/>
      <c r="AN52" s="51"/>
      <c r="AO52" s="51"/>
      <c r="AP52" s="54"/>
      <c r="AQ52" s="54"/>
      <c r="AR52" s="54"/>
      <c r="AS52" s="54"/>
      <c r="AT52" s="54"/>
      <c r="AU52" s="54"/>
      <c r="AV52" s="58"/>
    </row>
    <row r="53" spans="1:48" s="227" customFormat="1" ht="20.100000000000001" customHeight="1">
      <c r="A53" s="189">
        <v>52</v>
      </c>
      <c r="B53" s="50" t="s">
        <v>549</v>
      </c>
      <c r="C53" s="51" t="s">
        <v>84</v>
      </c>
      <c r="D53" s="51" t="s">
        <v>479</v>
      </c>
      <c r="E53" s="51">
        <v>98</v>
      </c>
      <c r="F53" s="51">
        <v>1560</v>
      </c>
      <c r="G53" s="51">
        <v>2383</v>
      </c>
      <c r="H53" s="190">
        <v>1528</v>
      </c>
      <c r="I53" s="51" t="s">
        <v>278</v>
      </c>
      <c r="J53" s="51">
        <v>17</v>
      </c>
      <c r="K53" s="188" t="s">
        <v>256</v>
      </c>
      <c r="L53" s="51" t="s">
        <v>263</v>
      </c>
      <c r="M53" s="51" t="s">
        <v>59</v>
      </c>
      <c r="N53" s="51" t="s">
        <v>38</v>
      </c>
      <c r="O53" s="51" t="s">
        <v>384</v>
      </c>
      <c r="P53" s="54">
        <v>44265</v>
      </c>
      <c r="Q53" s="54"/>
      <c r="R53" s="54"/>
      <c r="S53" s="54"/>
      <c r="T53" s="54">
        <v>44265</v>
      </c>
      <c r="U53" s="54"/>
      <c r="V53" s="58"/>
      <c r="AA53" s="189"/>
      <c r="AB53" s="50"/>
      <c r="AC53" s="51"/>
      <c r="AD53" s="51"/>
      <c r="AE53" s="51"/>
      <c r="AF53" s="51"/>
      <c r="AG53" s="51"/>
      <c r="AH53" s="190"/>
      <c r="AI53" s="51"/>
      <c r="AJ53" s="51"/>
      <c r="AK53" s="188"/>
      <c r="AL53" s="51"/>
      <c r="AM53" s="51"/>
      <c r="AN53" s="51"/>
      <c r="AO53" s="51"/>
      <c r="AP53" s="54"/>
      <c r="AQ53" s="54"/>
      <c r="AR53" s="54"/>
      <c r="AS53" s="54"/>
      <c r="AT53" s="54"/>
      <c r="AU53" s="54"/>
      <c r="AV53" s="58"/>
    </row>
    <row r="54" spans="1:48" s="227" customFormat="1" ht="20.100000000000001" customHeight="1">
      <c r="A54" s="189">
        <v>53</v>
      </c>
      <c r="B54" s="221" t="s">
        <v>550</v>
      </c>
      <c r="C54" s="222" t="s">
        <v>84</v>
      </c>
      <c r="D54" s="222" t="s">
        <v>479</v>
      </c>
      <c r="E54" s="222">
        <v>98</v>
      </c>
      <c r="F54" s="222">
        <v>1485</v>
      </c>
      <c r="G54" s="222">
        <v>2268</v>
      </c>
      <c r="H54" s="223">
        <v>1527</v>
      </c>
      <c r="I54" s="222" t="s">
        <v>279</v>
      </c>
      <c r="J54" s="222">
        <v>6</v>
      </c>
      <c r="K54" s="224" t="s">
        <v>254</v>
      </c>
      <c r="L54" s="222" t="s">
        <v>263</v>
      </c>
      <c r="M54" s="222" t="s">
        <v>60</v>
      </c>
      <c r="N54" s="222" t="s">
        <v>38</v>
      </c>
      <c r="O54" s="222" t="s">
        <v>384</v>
      </c>
      <c r="P54" s="225">
        <v>44396</v>
      </c>
      <c r="Q54" s="225"/>
      <c r="R54" s="225"/>
      <c r="S54" s="225"/>
      <c r="T54" s="225"/>
      <c r="U54" s="225"/>
      <c r="V54" s="226"/>
      <c r="AA54" s="220"/>
      <c r="AB54" s="221"/>
      <c r="AC54" s="222"/>
      <c r="AD54" s="222"/>
      <c r="AE54" s="222"/>
      <c r="AF54" s="222"/>
      <c r="AG54" s="222"/>
      <c r="AH54" s="223"/>
      <c r="AI54" s="222"/>
      <c r="AJ54" s="222"/>
      <c r="AK54" s="224"/>
      <c r="AL54" s="222"/>
      <c r="AM54" s="222"/>
      <c r="AN54" s="222"/>
      <c r="AO54" s="222"/>
      <c r="AP54" s="225"/>
      <c r="AQ54" s="225"/>
      <c r="AR54" s="225"/>
      <c r="AS54" s="225"/>
      <c r="AT54" s="225"/>
      <c r="AU54" s="225"/>
      <c r="AV54" s="226"/>
    </row>
    <row r="55" spans="1:48" s="59" customFormat="1" ht="20.100000000000001" customHeight="1">
      <c r="A55" s="189">
        <v>54</v>
      </c>
      <c r="B55" s="221" t="s">
        <v>551</v>
      </c>
      <c r="C55" s="222" t="s">
        <v>84</v>
      </c>
      <c r="D55" s="222" t="s">
        <v>479</v>
      </c>
      <c r="E55" s="222">
        <v>98</v>
      </c>
      <c r="F55" s="222">
        <v>1560</v>
      </c>
      <c r="G55" s="222">
        <v>2383</v>
      </c>
      <c r="H55" s="223">
        <v>1528</v>
      </c>
      <c r="I55" s="222" t="s">
        <v>280</v>
      </c>
      <c r="J55" s="222">
        <v>6</v>
      </c>
      <c r="K55" s="224" t="s">
        <v>256</v>
      </c>
      <c r="L55" s="222" t="s">
        <v>263</v>
      </c>
      <c r="M55" s="222" t="s">
        <v>60</v>
      </c>
      <c r="N55" s="222" t="s">
        <v>38</v>
      </c>
      <c r="O55" s="222" t="s">
        <v>384</v>
      </c>
      <c r="P55" s="225">
        <v>44396</v>
      </c>
      <c r="Q55" s="225"/>
      <c r="R55" s="225"/>
      <c r="S55" s="225"/>
      <c r="T55" s="225"/>
      <c r="U55" s="225"/>
      <c r="V55" s="226"/>
      <c r="AA55" s="220"/>
      <c r="AB55" s="221"/>
      <c r="AC55" s="222"/>
      <c r="AD55" s="222"/>
      <c r="AE55" s="222"/>
      <c r="AF55" s="222"/>
      <c r="AG55" s="222"/>
      <c r="AH55" s="223"/>
      <c r="AI55" s="222"/>
      <c r="AJ55" s="222"/>
      <c r="AK55" s="224"/>
      <c r="AL55" s="222"/>
      <c r="AM55" s="222"/>
      <c r="AN55" s="222"/>
      <c r="AO55" s="222"/>
      <c r="AP55" s="225"/>
      <c r="AQ55" s="225"/>
      <c r="AR55" s="225"/>
      <c r="AS55" s="225"/>
      <c r="AT55" s="225"/>
      <c r="AU55" s="225"/>
      <c r="AV55" s="226"/>
    </row>
    <row r="56" spans="1:48" s="59" customFormat="1" ht="20.100000000000001" customHeight="1">
      <c r="A56" s="189">
        <v>55</v>
      </c>
      <c r="B56" s="50" t="s">
        <v>552</v>
      </c>
      <c r="C56" s="51" t="s">
        <v>84</v>
      </c>
      <c r="D56" s="51" t="s">
        <v>475</v>
      </c>
      <c r="E56" s="51">
        <v>106</v>
      </c>
      <c r="F56" s="51">
        <v>900</v>
      </c>
      <c r="G56" s="51">
        <v>1522</v>
      </c>
      <c r="H56" s="190">
        <v>1691</v>
      </c>
      <c r="I56" s="51" t="s">
        <v>230</v>
      </c>
      <c r="J56" s="51">
        <v>10</v>
      </c>
      <c r="K56" s="188" t="s">
        <v>219</v>
      </c>
      <c r="L56" s="51" t="s">
        <v>231</v>
      </c>
      <c r="M56" s="51" t="s">
        <v>60</v>
      </c>
      <c r="N56" s="51" t="s">
        <v>38</v>
      </c>
      <c r="O56" s="51" t="s">
        <v>384</v>
      </c>
      <c r="P56" s="54">
        <v>44387</v>
      </c>
      <c r="Q56" s="54"/>
      <c r="R56" s="54"/>
      <c r="S56" s="54"/>
      <c r="T56" s="54">
        <v>44387</v>
      </c>
      <c r="U56" s="54"/>
      <c r="V56" s="58"/>
      <c r="AA56" s="189"/>
      <c r="AB56" s="50"/>
      <c r="AC56" s="51"/>
      <c r="AD56" s="51"/>
      <c r="AE56" s="51"/>
      <c r="AF56" s="51"/>
      <c r="AG56" s="51"/>
      <c r="AH56" s="190"/>
      <c r="AI56" s="51"/>
      <c r="AJ56" s="51"/>
      <c r="AK56" s="188"/>
      <c r="AL56" s="51"/>
      <c r="AM56" s="51"/>
      <c r="AN56" s="51"/>
      <c r="AO56" s="51"/>
      <c r="AP56" s="54"/>
      <c r="AQ56" s="54"/>
      <c r="AR56" s="54"/>
      <c r="AS56" s="54"/>
      <c r="AT56" s="54"/>
      <c r="AU56" s="54"/>
      <c r="AV56" s="58"/>
    </row>
    <row r="57" spans="1:48" s="59" customFormat="1" ht="20.100000000000001" customHeight="1">
      <c r="A57" s="189">
        <v>56</v>
      </c>
      <c r="B57" s="50" t="s">
        <v>552</v>
      </c>
      <c r="C57" s="51" t="s">
        <v>84</v>
      </c>
      <c r="D57" s="51" t="s">
        <v>475</v>
      </c>
      <c r="E57" s="51" t="s">
        <v>498</v>
      </c>
      <c r="F57" s="51" t="s">
        <v>499</v>
      </c>
      <c r="G57" s="51" t="s">
        <v>1470</v>
      </c>
      <c r="H57" s="199" t="s">
        <v>1471</v>
      </c>
      <c r="I57" s="51" t="s">
        <v>230</v>
      </c>
      <c r="J57" s="51" t="s">
        <v>502</v>
      </c>
      <c r="K57" s="199" t="s">
        <v>219</v>
      </c>
      <c r="L57" s="51" t="s">
        <v>231</v>
      </c>
      <c r="M57" s="51" t="s">
        <v>60</v>
      </c>
      <c r="N57" s="51" t="s">
        <v>38</v>
      </c>
      <c r="O57" s="51" t="s">
        <v>384</v>
      </c>
      <c r="P57" s="54">
        <v>44387</v>
      </c>
      <c r="Q57" s="54" t="s">
        <v>384</v>
      </c>
      <c r="R57" s="54" t="s">
        <v>384</v>
      </c>
      <c r="S57" s="54"/>
      <c r="T57" s="54">
        <v>44476</v>
      </c>
      <c r="U57" s="54"/>
      <c r="V57" s="58"/>
      <c r="AA57" s="189"/>
      <c r="AB57" s="50"/>
      <c r="AC57" s="51"/>
      <c r="AD57" s="51"/>
      <c r="AE57" s="51"/>
      <c r="AF57" s="51"/>
      <c r="AG57" s="51"/>
      <c r="AH57" s="199"/>
      <c r="AI57" s="51"/>
      <c r="AJ57" s="51"/>
      <c r="AK57" s="199"/>
      <c r="AL57" s="51"/>
      <c r="AM57" s="51"/>
      <c r="AN57" s="51"/>
      <c r="AO57" s="51"/>
      <c r="AP57" s="54"/>
      <c r="AQ57" s="54"/>
      <c r="AR57" s="54"/>
      <c r="AS57" s="54"/>
      <c r="AT57" s="54"/>
      <c r="AU57" s="54"/>
      <c r="AV57" s="58"/>
    </row>
    <row r="58" spans="1:48" s="59" customFormat="1" ht="20.100000000000001" customHeight="1">
      <c r="A58" s="189">
        <v>57</v>
      </c>
      <c r="B58" s="50" t="s">
        <v>553</v>
      </c>
      <c r="C58" s="51" t="s">
        <v>84</v>
      </c>
      <c r="D58" s="51" t="s">
        <v>475</v>
      </c>
      <c r="E58" s="51">
        <v>106</v>
      </c>
      <c r="F58" s="51">
        <v>900</v>
      </c>
      <c r="G58" s="51">
        <v>1508</v>
      </c>
      <c r="H58" s="190">
        <v>1676</v>
      </c>
      <c r="I58" s="51" t="s">
        <v>228</v>
      </c>
      <c r="J58" s="51">
        <v>8</v>
      </c>
      <c r="K58" s="188" t="s">
        <v>219</v>
      </c>
      <c r="L58" s="51" t="s">
        <v>229</v>
      </c>
      <c r="M58" s="51" t="s">
        <v>60</v>
      </c>
      <c r="N58" s="51" t="s">
        <v>38</v>
      </c>
      <c r="O58" s="51" t="s">
        <v>384</v>
      </c>
      <c r="P58" s="54">
        <v>44387</v>
      </c>
      <c r="Q58" s="54"/>
      <c r="R58" s="54"/>
      <c r="S58" s="54"/>
      <c r="T58" s="54"/>
      <c r="U58" s="54"/>
      <c r="V58" s="58"/>
      <c r="AA58" s="189"/>
      <c r="AB58" s="50"/>
      <c r="AC58" s="51"/>
      <c r="AD58" s="51"/>
      <c r="AE58" s="51"/>
      <c r="AF58" s="51"/>
      <c r="AG58" s="51"/>
      <c r="AH58" s="190"/>
      <c r="AI58" s="51"/>
      <c r="AJ58" s="51"/>
      <c r="AK58" s="188"/>
      <c r="AL58" s="51"/>
      <c r="AM58" s="51"/>
      <c r="AN58" s="51"/>
      <c r="AO58" s="51"/>
      <c r="AP58" s="54"/>
      <c r="AQ58" s="54"/>
      <c r="AR58" s="54"/>
      <c r="AS58" s="54"/>
      <c r="AT58" s="54"/>
      <c r="AU58" s="54"/>
      <c r="AV58" s="58"/>
    </row>
    <row r="59" spans="1:48" s="59" customFormat="1" ht="20.100000000000001" customHeight="1">
      <c r="A59" s="189">
        <v>58</v>
      </c>
      <c r="B59" s="50" t="s">
        <v>554</v>
      </c>
      <c r="C59" s="51" t="s">
        <v>84</v>
      </c>
      <c r="D59" s="51" t="s">
        <v>475</v>
      </c>
      <c r="E59" s="51">
        <v>116</v>
      </c>
      <c r="F59" s="51">
        <v>900</v>
      </c>
      <c r="G59" s="51">
        <v>1580</v>
      </c>
      <c r="H59" s="190">
        <v>1756</v>
      </c>
      <c r="I59" s="51" t="s">
        <v>281</v>
      </c>
      <c r="J59" s="51">
        <v>10</v>
      </c>
      <c r="K59" s="188" t="s">
        <v>219</v>
      </c>
      <c r="L59" s="51" t="s">
        <v>282</v>
      </c>
      <c r="M59" s="51" t="s">
        <v>60</v>
      </c>
      <c r="N59" s="51" t="s">
        <v>38</v>
      </c>
      <c r="O59" s="51" t="s">
        <v>384</v>
      </c>
      <c r="P59" s="54">
        <v>44387</v>
      </c>
      <c r="Q59" s="54"/>
      <c r="R59" s="54"/>
      <c r="S59" s="54"/>
      <c r="T59" s="54">
        <v>44387</v>
      </c>
      <c r="U59" s="54"/>
      <c r="V59" s="58"/>
      <c r="AA59" s="189"/>
      <c r="AB59" s="50"/>
      <c r="AC59" s="51"/>
      <c r="AD59" s="51"/>
      <c r="AE59" s="51"/>
      <c r="AF59" s="51"/>
      <c r="AG59" s="51"/>
      <c r="AH59" s="190"/>
      <c r="AI59" s="51"/>
      <c r="AJ59" s="51"/>
      <c r="AK59" s="188"/>
      <c r="AL59" s="51"/>
      <c r="AM59" s="51"/>
      <c r="AN59" s="51"/>
      <c r="AO59" s="51"/>
      <c r="AP59" s="54"/>
      <c r="AQ59" s="54"/>
      <c r="AR59" s="54"/>
      <c r="AS59" s="54"/>
      <c r="AT59" s="54"/>
      <c r="AU59" s="54"/>
      <c r="AV59" s="58"/>
    </row>
    <row r="60" spans="1:48" s="59" customFormat="1" ht="20.100000000000001" customHeight="1">
      <c r="A60" s="189">
        <v>59</v>
      </c>
      <c r="B60" s="50" t="s">
        <v>554</v>
      </c>
      <c r="C60" s="51" t="s">
        <v>84</v>
      </c>
      <c r="D60" s="51" t="s">
        <v>475</v>
      </c>
      <c r="E60" s="51">
        <v>116</v>
      </c>
      <c r="F60" s="51">
        <v>900</v>
      </c>
      <c r="G60" s="51">
        <v>1580</v>
      </c>
      <c r="H60" s="190">
        <v>1756</v>
      </c>
      <c r="I60" s="51" t="s">
        <v>281</v>
      </c>
      <c r="J60" s="51">
        <v>11</v>
      </c>
      <c r="K60" s="188" t="s">
        <v>219</v>
      </c>
      <c r="L60" s="51" t="s">
        <v>282</v>
      </c>
      <c r="M60" s="51" t="s">
        <v>60</v>
      </c>
      <c r="N60" s="51" t="s">
        <v>37</v>
      </c>
      <c r="O60" s="51" t="s">
        <v>384</v>
      </c>
      <c r="P60" s="54">
        <v>44405</v>
      </c>
      <c r="Q60" s="54"/>
      <c r="R60" s="54"/>
      <c r="S60" s="54">
        <v>44405</v>
      </c>
      <c r="T60" s="54"/>
      <c r="U60" s="54"/>
      <c r="V60" s="58"/>
      <c r="AA60" s="189"/>
      <c r="AB60" s="50"/>
      <c r="AC60" s="51"/>
      <c r="AD60" s="51"/>
      <c r="AE60" s="51"/>
      <c r="AF60" s="51"/>
      <c r="AG60" s="51"/>
      <c r="AH60" s="190"/>
      <c r="AI60" s="51"/>
      <c r="AJ60" s="51"/>
      <c r="AK60" s="188"/>
      <c r="AL60" s="51"/>
      <c r="AM60" s="51"/>
      <c r="AN60" s="51"/>
      <c r="AO60" s="51"/>
      <c r="AP60" s="54"/>
      <c r="AQ60" s="54"/>
      <c r="AR60" s="54"/>
      <c r="AS60" s="54"/>
      <c r="AT60" s="54"/>
      <c r="AU60" s="54"/>
      <c r="AV60" s="58"/>
    </row>
    <row r="61" spans="1:48" s="59" customFormat="1" ht="20.100000000000001" customHeight="1">
      <c r="A61" s="189">
        <v>60</v>
      </c>
      <c r="B61" s="50" t="s">
        <v>555</v>
      </c>
      <c r="C61" s="51" t="s">
        <v>85</v>
      </c>
      <c r="D61" s="51" t="s">
        <v>81</v>
      </c>
      <c r="E61" s="51">
        <v>145</v>
      </c>
      <c r="F61" s="51">
        <v>885</v>
      </c>
      <c r="G61" s="51">
        <v>1752</v>
      </c>
      <c r="H61" s="188" t="s">
        <v>1706</v>
      </c>
      <c r="I61" s="51" t="s">
        <v>283</v>
      </c>
      <c r="J61" s="51">
        <v>14</v>
      </c>
      <c r="K61" s="188" t="s">
        <v>76</v>
      </c>
      <c r="L61" s="51" t="s">
        <v>284</v>
      </c>
      <c r="M61" s="51" t="s">
        <v>60</v>
      </c>
      <c r="N61" s="51" t="s">
        <v>38</v>
      </c>
      <c r="O61" s="51" t="s">
        <v>276</v>
      </c>
      <c r="P61" s="54">
        <v>44294</v>
      </c>
      <c r="Q61" s="54"/>
      <c r="R61" s="54"/>
      <c r="S61" s="54"/>
      <c r="T61" s="54">
        <v>44294</v>
      </c>
      <c r="U61" s="54"/>
      <c r="V61" s="58"/>
      <c r="AA61" s="189"/>
      <c r="AB61" s="50"/>
      <c r="AC61" s="51"/>
      <c r="AD61" s="51"/>
      <c r="AE61" s="51"/>
      <c r="AF61" s="51"/>
      <c r="AG61" s="51"/>
      <c r="AH61" s="188"/>
      <c r="AI61" s="51"/>
      <c r="AJ61" s="51"/>
      <c r="AK61" s="188"/>
      <c r="AL61" s="51"/>
      <c r="AM61" s="51"/>
      <c r="AN61" s="51"/>
      <c r="AO61" s="51"/>
      <c r="AP61" s="54"/>
      <c r="AQ61" s="54"/>
      <c r="AR61" s="54"/>
      <c r="AS61" s="54"/>
      <c r="AT61" s="54"/>
      <c r="AU61" s="54"/>
      <c r="AV61" s="58"/>
    </row>
    <row r="62" spans="1:48" s="59" customFormat="1" ht="20.100000000000001" customHeight="1">
      <c r="A62" s="189">
        <v>61</v>
      </c>
      <c r="B62" s="50" t="s">
        <v>555</v>
      </c>
      <c r="C62" s="51" t="s">
        <v>85</v>
      </c>
      <c r="D62" s="51" t="s">
        <v>81</v>
      </c>
      <c r="E62" s="51">
        <v>145</v>
      </c>
      <c r="F62" s="51">
        <v>885</v>
      </c>
      <c r="G62" s="51">
        <v>1752</v>
      </c>
      <c r="H62" s="188" t="s">
        <v>1706</v>
      </c>
      <c r="I62" s="51" t="s">
        <v>283</v>
      </c>
      <c r="J62" s="51" t="s">
        <v>1705</v>
      </c>
      <c r="K62" s="188" t="s">
        <v>76</v>
      </c>
      <c r="L62" s="51" t="s">
        <v>284</v>
      </c>
      <c r="M62" s="51" t="s">
        <v>60</v>
      </c>
      <c r="N62" s="51" t="s">
        <v>36</v>
      </c>
      <c r="O62" s="51" t="s">
        <v>276</v>
      </c>
      <c r="P62" s="54">
        <v>44294</v>
      </c>
      <c r="Q62" s="54"/>
      <c r="R62" s="54">
        <v>44508</v>
      </c>
      <c r="S62" s="54"/>
      <c r="T62" s="54"/>
      <c r="U62" s="54"/>
      <c r="V62" s="58"/>
      <c r="AA62" s="189"/>
      <c r="AB62" s="50"/>
      <c r="AC62" s="51"/>
      <c r="AD62" s="51"/>
      <c r="AE62" s="51"/>
      <c r="AF62" s="51"/>
      <c r="AG62" s="51"/>
      <c r="AH62" s="188"/>
      <c r="AI62" s="51"/>
      <c r="AJ62" s="51"/>
      <c r="AK62" s="188"/>
      <c r="AL62" s="51"/>
      <c r="AM62" s="51"/>
      <c r="AN62" s="51"/>
      <c r="AO62" s="51"/>
      <c r="AP62" s="54"/>
      <c r="AQ62" s="54"/>
      <c r="AR62" s="54"/>
      <c r="AS62" s="54"/>
      <c r="AT62" s="54"/>
      <c r="AU62" s="54"/>
      <c r="AV62" s="58"/>
    </row>
    <row r="63" spans="1:48" s="59" customFormat="1" ht="20.100000000000001" customHeight="1">
      <c r="A63" s="189">
        <v>62</v>
      </c>
      <c r="B63" s="50" t="s">
        <v>556</v>
      </c>
      <c r="C63" s="51" t="s">
        <v>84</v>
      </c>
      <c r="D63" s="51" t="s">
        <v>480</v>
      </c>
      <c r="E63" s="51">
        <v>112</v>
      </c>
      <c r="F63" s="51">
        <v>1060</v>
      </c>
      <c r="G63" s="51">
        <v>1208</v>
      </c>
      <c r="H63" s="190">
        <v>1140</v>
      </c>
      <c r="I63" s="51" t="s">
        <v>285</v>
      </c>
      <c r="J63" s="51">
        <v>9</v>
      </c>
      <c r="K63" s="188" t="s">
        <v>266</v>
      </c>
      <c r="L63" s="51" t="s">
        <v>286</v>
      </c>
      <c r="M63" s="51" t="s">
        <v>60</v>
      </c>
      <c r="N63" s="51" t="s">
        <v>38</v>
      </c>
      <c r="O63" s="51" t="s">
        <v>287</v>
      </c>
      <c r="P63" s="54">
        <v>44275</v>
      </c>
      <c r="Q63" s="54"/>
      <c r="R63" s="54"/>
      <c r="S63" s="54">
        <v>44194</v>
      </c>
      <c r="T63" s="54">
        <v>44275</v>
      </c>
      <c r="U63" s="54"/>
      <c r="V63" s="58"/>
      <c r="AA63" s="189"/>
      <c r="AB63" s="50"/>
      <c r="AC63" s="51"/>
      <c r="AD63" s="51"/>
      <c r="AE63" s="51"/>
      <c r="AF63" s="51"/>
      <c r="AG63" s="51"/>
      <c r="AH63" s="190"/>
      <c r="AI63" s="51"/>
      <c r="AJ63" s="51"/>
      <c r="AK63" s="188"/>
      <c r="AL63" s="51"/>
      <c r="AM63" s="51"/>
      <c r="AN63" s="51"/>
      <c r="AO63" s="51"/>
      <c r="AP63" s="54"/>
      <c r="AQ63" s="54"/>
      <c r="AR63" s="54"/>
      <c r="AS63" s="54"/>
      <c r="AT63" s="54"/>
      <c r="AU63" s="54"/>
      <c r="AV63" s="58"/>
    </row>
    <row r="64" spans="1:48" s="59" customFormat="1" ht="20.100000000000001" customHeight="1">
      <c r="A64" s="189">
        <v>63</v>
      </c>
      <c r="B64" s="50" t="s">
        <v>557</v>
      </c>
      <c r="C64" s="51" t="s">
        <v>84</v>
      </c>
      <c r="D64" s="51" t="s">
        <v>481</v>
      </c>
      <c r="E64" s="51">
        <v>168</v>
      </c>
      <c r="F64" s="51">
        <v>1062</v>
      </c>
      <c r="G64" s="51">
        <v>1608</v>
      </c>
      <c r="H64" s="190">
        <v>1514</v>
      </c>
      <c r="I64" s="51" t="s">
        <v>288</v>
      </c>
      <c r="J64" s="51">
        <v>12</v>
      </c>
      <c r="K64" s="188" t="s">
        <v>289</v>
      </c>
      <c r="L64" s="51" t="s">
        <v>286</v>
      </c>
      <c r="M64" s="51" t="s">
        <v>60</v>
      </c>
      <c r="N64" s="51" t="s">
        <v>38</v>
      </c>
      <c r="O64" s="51" t="s">
        <v>287</v>
      </c>
      <c r="P64" s="54">
        <v>44275</v>
      </c>
      <c r="Q64" s="54"/>
      <c r="R64" s="54"/>
      <c r="S64" s="54">
        <v>44197</v>
      </c>
      <c r="T64" s="54">
        <v>44275</v>
      </c>
      <c r="U64" s="54"/>
      <c r="V64" s="58"/>
      <c r="AA64" s="189"/>
      <c r="AB64" s="50"/>
      <c r="AC64" s="51"/>
      <c r="AD64" s="51"/>
      <c r="AE64" s="51"/>
      <c r="AF64" s="51"/>
      <c r="AG64" s="51"/>
      <c r="AH64" s="190"/>
      <c r="AI64" s="51"/>
      <c r="AJ64" s="51"/>
      <c r="AK64" s="188"/>
      <c r="AL64" s="51"/>
      <c r="AM64" s="51"/>
      <c r="AN64" s="51"/>
      <c r="AO64" s="51"/>
      <c r="AP64" s="54"/>
      <c r="AQ64" s="54"/>
      <c r="AR64" s="54"/>
      <c r="AS64" s="54"/>
      <c r="AT64" s="54"/>
      <c r="AU64" s="54"/>
      <c r="AV64" s="58"/>
    </row>
    <row r="65" spans="1:48" s="59" customFormat="1" ht="20.100000000000001" customHeight="1">
      <c r="A65" s="189">
        <v>64</v>
      </c>
      <c r="B65" s="50" t="s">
        <v>558</v>
      </c>
      <c r="C65" s="51" t="s">
        <v>84</v>
      </c>
      <c r="D65" s="51" t="s">
        <v>473</v>
      </c>
      <c r="E65" s="51">
        <v>92</v>
      </c>
      <c r="F65" s="51">
        <v>1565</v>
      </c>
      <c r="G65" s="51">
        <v>1850</v>
      </c>
      <c r="H65" s="190">
        <v>1182</v>
      </c>
      <c r="I65" s="51" t="s">
        <v>290</v>
      </c>
      <c r="J65" s="51">
        <v>35</v>
      </c>
      <c r="K65" s="188" t="s">
        <v>213</v>
      </c>
      <c r="L65" s="51" t="s">
        <v>248</v>
      </c>
      <c r="M65" s="51" t="s">
        <v>60</v>
      </c>
      <c r="N65" s="51" t="s">
        <v>38</v>
      </c>
      <c r="O65" s="51" t="s">
        <v>384</v>
      </c>
      <c r="P65" s="54">
        <v>44271</v>
      </c>
      <c r="Q65" s="54"/>
      <c r="R65" s="54"/>
      <c r="S65" s="54">
        <v>44176</v>
      </c>
      <c r="T65" s="54">
        <v>44271</v>
      </c>
      <c r="U65" s="54"/>
      <c r="V65" s="58"/>
      <c r="AA65" s="189"/>
      <c r="AB65" s="50"/>
      <c r="AC65" s="51"/>
      <c r="AD65" s="51"/>
      <c r="AE65" s="51"/>
      <c r="AF65" s="51"/>
      <c r="AG65" s="51"/>
      <c r="AH65" s="190"/>
      <c r="AI65" s="51"/>
      <c r="AJ65" s="51"/>
      <c r="AK65" s="188"/>
      <c r="AL65" s="51"/>
      <c r="AM65" s="51"/>
      <c r="AN65" s="51"/>
      <c r="AO65" s="51"/>
      <c r="AP65" s="54"/>
      <c r="AQ65" s="54"/>
      <c r="AR65" s="54"/>
      <c r="AS65" s="54"/>
      <c r="AT65" s="54"/>
      <c r="AU65" s="54"/>
      <c r="AV65" s="58"/>
    </row>
    <row r="66" spans="1:48" s="59" customFormat="1" ht="20.100000000000001" customHeight="1">
      <c r="A66" s="189">
        <v>65</v>
      </c>
      <c r="B66" s="50" t="s">
        <v>559</v>
      </c>
      <c r="C66" s="51" t="s">
        <v>84</v>
      </c>
      <c r="D66" s="51" t="s">
        <v>474</v>
      </c>
      <c r="E66" s="51">
        <v>90</v>
      </c>
      <c r="F66" s="51">
        <v>1565</v>
      </c>
      <c r="G66" s="51">
        <v>1654</v>
      </c>
      <c r="H66" s="190">
        <v>1057</v>
      </c>
      <c r="I66" s="51" t="s">
        <v>291</v>
      </c>
      <c r="J66" s="51">
        <v>19</v>
      </c>
      <c r="K66" s="188" t="s">
        <v>213</v>
      </c>
      <c r="L66" s="51" t="s">
        <v>272</v>
      </c>
      <c r="M66" s="51" t="s">
        <v>60</v>
      </c>
      <c r="N66" s="51" t="s">
        <v>38</v>
      </c>
      <c r="O66" s="51" t="s">
        <v>384</v>
      </c>
      <c r="P66" s="54">
        <v>44271</v>
      </c>
      <c r="Q66" s="54"/>
      <c r="R66" s="54"/>
      <c r="S66" s="54"/>
      <c r="T66" s="54">
        <v>44271</v>
      </c>
      <c r="U66" s="54"/>
      <c r="V66" s="58"/>
      <c r="AA66" s="189"/>
      <c r="AB66" s="50"/>
      <c r="AC66" s="51"/>
      <c r="AD66" s="51"/>
      <c r="AE66" s="51"/>
      <c r="AF66" s="51"/>
      <c r="AG66" s="51"/>
      <c r="AH66" s="190"/>
      <c r="AI66" s="51"/>
      <c r="AJ66" s="51"/>
      <c r="AK66" s="188"/>
      <c r="AL66" s="51"/>
      <c r="AM66" s="51"/>
      <c r="AN66" s="51"/>
      <c r="AO66" s="51"/>
      <c r="AP66" s="54"/>
      <c r="AQ66" s="54"/>
      <c r="AR66" s="54"/>
      <c r="AS66" s="54"/>
      <c r="AT66" s="54"/>
      <c r="AU66" s="54"/>
      <c r="AV66" s="58"/>
    </row>
    <row r="67" spans="1:48" s="59" customFormat="1" ht="20.100000000000001" customHeight="1">
      <c r="A67" s="189">
        <v>66</v>
      </c>
      <c r="B67" s="50" t="s">
        <v>560</v>
      </c>
      <c r="C67" s="51" t="s">
        <v>84</v>
      </c>
      <c r="D67" s="51" t="s">
        <v>482</v>
      </c>
      <c r="E67" s="51">
        <v>106</v>
      </c>
      <c r="F67" s="51">
        <v>900</v>
      </c>
      <c r="G67" s="51">
        <v>1475</v>
      </c>
      <c r="H67" s="190">
        <v>1639</v>
      </c>
      <c r="I67" s="51" t="s">
        <v>292</v>
      </c>
      <c r="J67" s="51">
        <v>22</v>
      </c>
      <c r="K67" s="188" t="s">
        <v>219</v>
      </c>
      <c r="L67" s="51" t="s">
        <v>293</v>
      </c>
      <c r="M67" s="51" t="s">
        <v>60</v>
      </c>
      <c r="N67" s="51" t="s">
        <v>38</v>
      </c>
      <c r="O67" s="51" t="s">
        <v>384</v>
      </c>
      <c r="P67" s="54">
        <v>44418</v>
      </c>
      <c r="Q67" s="54"/>
      <c r="R67" s="54"/>
      <c r="S67" s="54"/>
      <c r="T67" s="54">
        <v>44418</v>
      </c>
      <c r="U67" s="54"/>
      <c r="V67" s="58"/>
      <c r="AA67" s="189"/>
      <c r="AB67" s="50"/>
      <c r="AC67" s="51"/>
      <c r="AD67" s="51"/>
      <c r="AE67" s="51"/>
      <c r="AF67" s="51"/>
      <c r="AG67" s="51"/>
      <c r="AH67" s="190"/>
      <c r="AI67" s="51"/>
      <c r="AJ67" s="51"/>
      <c r="AK67" s="188"/>
      <c r="AL67" s="51"/>
      <c r="AM67" s="51"/>
      <c r="AN67" s="51"/>
      <c r="AO67" s="51"/>
      <c r="AP67" s="54"/>
      <c r="AQ67" s="54"/>
      <c r="AR67" s="54"/>
      <c r="AS67" s="54"/>
      <c r="AT67" s="54"/>
      <c r="AU67" s="54"/>
      <c r="AV67" s="58"/>
    </row>
    <row r="68" spans="1:48" s="59" customFormat="1" ht="20.100000000000001" customHeight="1">
      <c r="A68" s="189">
        <v>67</v>
      </c>
      <c r="B68" s="50" t="s">
        <v>560</v>
      </c>
      <c r="C68" s="51" t="s">
        <v>84</v>
      </c>
      <c r="D68" s="51" t="s">
        <v>482</v>
      </c>
      <c r="E68" s="51">
        <v>106</v>
      </c>
      <c r="F68" s="51">
        <v>900</v>
      </c>
      <c r="G68" s="51">
        <v>1475</v>
      </c>
      <c r="H68" s="190">
        <v>1639</v>
      </c>
      <c r="I68" s="51" t="s">
        <v>292</v>
      </c>
      <c r="J68" s="51">
        <v>20</v>
      </c>
      <c r="K68" s="188" t="s">
        <v>219</v>
      </c>
      <c r="L68" s="51" t="s">
        <v>293</v>
      </c>
      <c r="M68" s="51" t="s">
        <v>60</v>
      </c>
      <c r="N68" s="51" t="s">
        <v>37</v>
      </c>
      <c r="O68" s="51" t="s">
        <v>384</v>
      </c>
      <c r="P68" s="54">
        <v>44410</v>
      </c>
      <c r="Q68" s="54"/>
      <c r="R68" s="54"/>
      <c r="S68" s="54">
        <v>44410</v>
      </c>
      <c r="T68" s="54"/>
      <c r="U68" s="54"/>
      <c r="V68" s="58"/>
      <c r="AA68" s="189"/>
      <c r="AB68" s="50"/>
      <c r="AC68" s="51"/>
      <c r="AD68" s="51"/>
      <c r="AE68" s="51"/>
      <c r="AF68" s="51"/>
      <c r="AG68" s="51"/>
      <c r="AH68" s="190"/>
      <c r="AI68" s="51"/>
      <c r="AJ68" s="51"/>
      <c r="AK68" s="188"/>
      <c r="AL68" s="51"/>
      <c r="AM68" s="51"/>
      <c r="AN68" s="51"/>
      <c r="AO68" s="51"/>
      <c r="AP68" s="54"/>
      <c r="AQ68" s="54"/>
      <c r="AR68" s="54"/>
      <c r="AS68" s="54"/>
      <c r="AT68" s="54"/>
      <c r="AU68" s="54"/>
      <c r="AV68" s="58"/>
    </row>
    <row r="69" spans="1:48" s="59" customFormat="1" ht="20.100000000000001" customHeight="1">
      <c r="A69" s="189">
        <v>68</v>
      </c>
      <c r="B69" s="50" t="s">
        <v>562</v>
      </c>
      <c r="C69" s="51" t="s">
        <v>84</v>
      </c>
      <c r="D69" s="51" t="s">
        <v>483</v>
      </c>
      <c r="E69" s="51">
        <v>158</v>
      </c>
      <c r="F69" s="51">
        <v>903</v>
      </c>
      <c r="G69" s="51">
        <v>1531</v>
      </c>
      <c r="H69" s="190">
        <v>1695</v>
      </c>
      <c r="I69" s="51" t="s">
        <v>295</v>
      </c>
      <c r="J69" s="51">
        <v>20</v>
      </c>
      <c r="K69" s="188" t="s">
        <v>296</v>
      </c>
      <c r="L69" s="51" t="s">
        <v>224</v>
      </c>
      <c r="M69" s="51" t="s">
        <v>60</v>
      </c>
      <c r="N69" s="51" t="s">
        <v>38</v>
      </c>
      <c r="O69" s="51" t="s">
        <v>384</v>
      </c>
      <c r="P69" s="54">
        <v>44277</v>
      </c>
      <c r="Q69" s="54"/>
      <c r="R69" s="54"/>
      <c r="S69" s="54"/>
      <c r="T69" s="54">
        <v>44277</v>
      </c>
      <c r="U69" s="54"/>
      <c r="V69" s="58"/>
      <c r="AA69" s="189"/>
      <c r="AB69" s="50"/>
      <c r="AC69" s="51"/>
      <c r="AD69" s="51"/>
      <c r="AE69" s="51"/>
      <c r="AF69" s="51"/>
      <c r="AG69" s="51"/>
      <c r="AH69" s="190"/>
      <c r="AI69" s="51"/>
      <c r="AJ69" s="51"/>
      <c r="AK69" s="188"/>
      <c r="AL69" s="51"/>
      <c r="AM69" s="51"/>
      <c r="AN69" s="51"/>
      <c r="AO69" s="51"/>
      <c r="AP69" s="54"/>
      <c r="AQ69" s="54"/>
      <c r="AR69" s="54"/>
      <c r="AS69" s="54"/>
      <c r="AT69" s="54"/>
      <c r="AU69" s="54"/>
      <c r="AV69" s="58"/>
    </row>
    <row r="70" spans="1:48" s="59" customFormat="1" ht="20.100000000000001" customHeight="1">
      <c r="A70" s="189">
        <v>69</v>
      </c>
      <c r="B70" s="50" t="s">
        <v>563</v>
      </c>
      <c r="C70" s="51" t="s">
        <v>82</v>
      </c>
      <c r="D70" s="51" t="s">
        <v>480</v>
      </c>
      <c r="E70" s="51">
        <v>112</v>
      </c>
      <c r="F70" s="51">
        <v>1060</v>
      </c>
      <c r="G70" s="51">
        <v>1529</v>
      </c>
      <c r="H70" s="190">
        <v>1442</v>
      </c>
      <c r="I70" s="51" t="s">
        <v>269</v>
      </c>
      <c r="J70" s="51" t="s">
        <v>502</v>
      </c>
      <c r="K70" s="188" t="s">
        <v>266</v>
      </c>
      <c r="L70" s="51" t="s">
        <v>226</v>
      </c>
      <c r="M70" s="51" t="s">
        <v>60</v>
      </c>
      <c r="N70" s="51" t="s">
        <v>38</v>
      </c>
      <c r="O70" s="51" t="s">
        <v>270</v>
      </c>
      <c r="P70" s="54">
        <v>44356</v>
      </c>
      <c r="Q70" s="54"/>
      <c r="R70" s="54">
        <v>44376</v>
      </c>
      <c r="S70" s="54"/>
      <c r="T70" s="54">
        <v>44497</v>
      </c>
      <c r="U70" s="54"/>
      <c r="V70" s="58"/>
      <c r="AA70" s="189"/>
      <c r="AB70" s="50"/>
      <c r="AC70" s="51"/>
      <c r="AD70" s="51"/>
      <c r="AE70" s="51"/>
      <c r="AF70" s="51"/>
      <c r="AG70" s="51"/>
      <c r="AH70" s="190"/>
      <c r="AI70" s="51"/>
      <c r="AJ70" s="51"/>
      <c r="AK70" s="188"/>
      <c r="AL70" s="51"/>
      <c r="AM70" s="51"/>
      <c r="AN70" s="51"/>
      <c r="AO70" s="51"/>
      <c r="AP70" s="54"/>
      <c r="AQ70" s="54"/>
      <c r="AR70" s="54"/>
      <c r="AS70" s="54"/>
      <c r="AT70" s="54"/>
      <c r="AU70" s="54"/>
      <c r="AV70" s="58"/>
    </row>
    <row r="71" spans="1:48" s="59" customFormat="1" ht="20.100000000000001" customHeight="1">
      <c r="A71" s="189">
        <v>70</v>
      </c>
      <c r="B71" s="50" t="s">
        <v>563</v>
      </c>
      <c r="C71" s="51" t="s">
        <v>82</v>
      </c>
      <c r="D71" s="51" t="s">
        <v>480</v>
      </c>
      <c r="E71" s="51">
        <v>112</v>
      </c>
      <c r="F71" s="51">
        <v>1060</v>
      </c>
      <c r="G71" s="51">
        <v>1529</v>
      </c>
      <c r="H71" s="190">
        <v>1442</v>
      </c>
      <c r="I71" s="51" t="s">
        <v>269</v>
      </c>
      <c r="J71" s="51">
        <v>10</v>
      </c>
      <c r="K71" s="188" t="s">
        <v>266</v>
      </c>
      <c r="L71" s="51" t="s">
        <v>226</v>
      </c>
      <c r="M71" s="51" t="s">
        <v>60</v>
      </c>
      <c r="N71" s="51" t="s">
        <v>36</v>
      </c>
      <c r="O71" s="51" t="s">
        <v>270</v>
      </c>
      <c r="P71" s="54">
        <v>44376</v>
      </c>
      <c r="Q71" s="54"/>
      <c r="R71" s="54"/>
      <c r="S71" s="54"/>
      <c r="T71" s="54"/>
      <c r="U71" s="54"/>
      <c r="V71" s="58"/>
      <c r="AA71" s="189"/>
      <c r="AB71" s="50"/>
      <c r="AC71" s="51"/>
      <c r="AD71" s="51"/>
      <c r="AE71" s="51"/>
      <c r="AF71" s="51"/>
      <c r="AG71" s="51"/>
      <c r="AH71" s="190"/>
      <c r="AI71" s="51"/>
      <c r="AJ71" s="51"/>
      <c r="AK71" s="188"/>
      <c r="AL71" s="51"/>
      <c r="AM71" s="51"/>
      <c r="AN71" s="51"/>
      <c r="AO71" s="51"/>
      <c r="AP71" s="54"/>
      <c r="AQ71" s="54"/>
      <c r="AR71" s="54"/>
      <c r="AS71" s="54"/>
      <c r="AT71" s="54"/>
      <c r="AU71" s="54"/>
      <c r="AV71" s="58"/>
    </row>
    <row r="72" spans="1:48" s="59" customFormat="1" ht="20.100000000000001" customHeight="1">
      <c r="A72" s="189">
        <v>71</v>
      </c>
      <c r="B72" s="50" t="s">
        <v>564</v>
      </c>
      <c r="C72" s="51" t="s">
        <v>1029</v>
      </c>
      <c r="D72" s="51" t="s">
        <v>484</v>
      </c>
      <c r="E72" s="51">
        <v>190</v>
      </c>
      <c r="F72" s="51">
        <v>1490</v>
      </c>
      <c r="G72" s="51">
        <v>3110</v>
      </c>
      <c r="H72" s="190">
        <v>2087</v>
      </c>
      <c r="I72" s="51" t="s">
        <v>297</v>
      </c>
      <c r="J72" s="51">
        <v>11</v>
      </c>
      <c r="K72" s="188" t="s">
        <v>298</v>
      </c>
      <c r="L72" s="51" t="s">
        <v>299</v>
      </c>
      <c r="M72" s="51" t="s">
        <v>60</v>
      </c>
      <c r="N72" s="51" t="s">
        <v>38</v>
      </c>
      <c r="O72" s="51" t="s">
        <v>300</v>
      </c>
      <c r="P72" s="54">
        <v>44154</v>
      </c>
      <c r="Q72" s="54"/>
      <c r="R72" s="54"/>
      <c r="S72" s="54"/>
      <c r="T72" s="54" t="s">
        <v>1704</v>
      </c>
      <c r="U72" s="54"/>
      <c r="V72" s="58"/>
      <c r="AA72" s="189"/>
      <c r="AB72" s="50"/>
      <c r="AC72" s="51"/>
      <c r="AD72" s="51"/>
      <c r="AE72" s="51"/>
      <c r="AF72" s="51"/>
      <c r="AG72" s="51"/>
      <c r="AH72" s="190"/>
      <c r="AI72" s="51"/>
      <c r="AJ72" s="51"/>
      <c r="AK72" s="188"/>
      <c r="AL72" s="51"/>
      <c r="AM72" s="51"/>
      <c r="AN72" s="51"/>
      <c r="AO72" s="51"/>
      <c r="AP72" s="54"/>
      <c r="AQ72" s="54"/>
      <c r="AR72" s="54"/>
      <c r="AS72" s="54"/>
      <c r="AT72" s="54"/>
      <c r="AU72" s="54"/>
      <c r="AV72" s="58"/>
    </row>
    <row r="73" spans="1:48" s="59" customFormat="1" ht="20.100000000000001" customHeight="1">
      <c r="A73" s="189">
        <v>72</v>
      </c>
      <c r="B73" s="50" t="s">
        <v>564</v>
      </c>
      <c r="C73" s="51" t="s">
        <v>1029</v>
      </c>
      <c r="D73" s="51" t="s">
        <v>484</v>
      </c>
      <c r="E73" s="51">
        <v>190</v>
      </c>
      <c r="F73" s="51">
        <v>1490</v>
      </c>
      <c r="G73" s="51">
        <v>3110</v>
      </c>
      <c r="H73" s="190">
        <v>2087</v>
      </c>
      <c r="I73" s="51" t="s">
        <v>297</v>
      </c>
      <c r="J73" s="51">
        <v>12</v>
      </c>
      <c r="K73" s="188" t="s">
        <v>298</v>
      </c>
      <c r="L73" s="51" t="s">
        <v>299</v>
      </c>
      <c r="M73" s="51" t="s">
        <v>60</v>
      </c>
      <c r="N73" s="51" t="s">
        <v>36</v>
      </c>
      <c r="O73" s="51" t="s">
        <v>1034</v>
      </c>
      <c r="P73" s="54">
        <v>44154</v>
      </c>
      <c r="Q73" s="54"/>
      <c r="R73" s="54">
        <v>44160</v>
      </c>
      <c r="S73" s="54"/>
      <c r="T73" s="54"/>
      <c r="U73" s="54"/>
      <c r="V73" s="58"/>
      <c r="AA73" s="189"/>
      <c r="AB73" s="50"/>
      <c r="AC73" s="51"/>
      <c r="AD73" s="51"/>
      <c r="AE73" s="51"/>
      <c r="AF73" s="51"/>
      <c r="AG73" s="51"/>
      <c r="AH73" s="190"/>
      <c r="AI73" s="51"/>
      <c r="AJ73" s="51"/>
      <c r="AK73" s="188"/>
      <c r="AL73" s="51"/>
      <c r="AM73" s="51"/>
      <c r="AN73" s="51"/>
      <c r="AO73" s="51"/>
      <c r="AP73" s="54"/>
      <c r="AQ73" s="54"/>
      <c r="AR73" s="54"/>
      <c r="AS73" s="54"/>
      <c r="AT73" s="54"/>
      <c r="AU73" s="54"/>
      <c r="AV73" s="58"/>
    </row>
    <row r="74" spans="1:48" s="59" customFormat="1" ht="20.100000000000001" customHeight="1">
      <c r="A74" s="189">
        <v>73</v>
      </c>
      <c r="B74" s="50" t="s">
        <v>564</v>
      </c>
      <c r="C74" s="51" t="s">
        <v>1029</v>
      </c>
      <c r="D74" s="51" t="s">
        <v>484</v>
      </c>
      <c r="E74" s="51">
        <v>190</v>
      </c>
      <c r="F74" s="51">
        <v>1490</v>
      </c>
      <c r="G74" s="51">
        <v>3110</v>
      </c>
      <c r="H74" s="190">
        <v>2087</v>
      </c>
      <c r="I74" s="51" t="s">
        <v>297</v>
      </c>
      <c r="J74" s="51">
        <v>13</v>
      </c>
      <c r="K74" s="188" t="s">
        <v>298</v>
      </c>
      <c r="L74" s="51" t="s">
        <v>299</v>
      </c>
      <c r="M74" s="51" t="s">
        <v>60</v>
      </c>
      <c r="N74" s="51" t="s">
        <v>36</v>
      </c>
      <c r="O74" s="51" t="s">
        <v>1034</v>
      </c>
      <c r="P74" s="54">
        <v>44154</v>
      </c>
      <c r="Q74" s="54"/>
      <c r="R74" s="54">
        <v>44160</v>
      </c>
      <c r="S74" s="54"/>
      <c r="T74" s="54"/>
      <c r="U74" s="54"/>
      <c r="V74" s="58"/>
      <c r="AA74" s="189"/>
      <c r="AB74" s="50"/>
      <c r="AC74" s="51"/>
      <c r="AD74" s="51"/>
      <c r="AE74" s="51"/>
      <c r="AF74" s="51"/>
      <c r="AG74" s="51"/>
      <c r="AH74" s="190"/>
      <c r="AI74" s="51"/>
      <c r="AJ74" s="51"/>
      <c r="AK74" s="188"/>
      <c r="AL74" s="51"/>
      <c r="AM74" s="51"/>
      <c r="AN74" s="51"/>
      <c r="AO74" s="51"/>
      <c r="AP74" s="54"/>
      <c r="AQ74" s="54"/>
      <c r="AR74" s="54"/>
      <c r="AS74" s="54"/>
      <c r="AT74" s="54"/>
      <c r="AU74" s="54"/>
      <c r="AV74" s="58"/>
    </row>
    <row r="75" spans="1:48" s="59" customFormat="1" ht="20.100000000000001" customHeight="1">
      <c r="A75" s="189">
        <v>74</v>
      </c>
      <c r="B75" s="50" t="s">
        <v>585</v>
      </c>
      <c r="C75" s="51" t="s">
        <v>83</v>
      </c>
      <c r="D75" s="51" t="s">
        <v>473</v>
      </c>
      <c r="E75" s="51">
        <v>88</v>
      </c>
      <c r="F75" s="51">
        <v>1555</v>
      </c>
      <c r="G75" s="51">
        <v>1587</v>
      </c>
      <c r="H75" s="190">
        <v>1021</v>
      </c>
      <c r="I75" s="51" t="s">
        <v>249</v>
      </c>
      <c r="J75" s="51">
        <v>21</v>
      </c>
      <c r="K75" s="188" t="s">
        <v>240</v>
      </c>
      <c r="L75" s="51" t="s">
        <v>248</v>
      </c>
      <c r="M75" s="51" t="s">
        <v>59</v>
      </c>
      <c r="N75" s="51" t="s">
        <v>36</v>
      </c>
      <c r="O75" s="51" t="s">
        <v>250</v>
      </c>
      <c r="P75" s="54">
        <v>43697</v>
      </c>
      <c r="Q75" s="54"/>
      <c r="R75" s="54">
        <v>43699</v>
      </c>
      <c r="S75" s="54"/>
      <c r="T75" s="54"/>
      <c r="U75" s="54"/>
      <c r="V75" s="58"/>
      <c r="AA75" s="189"/>
      <c r="AB75" s="50"/>
      <c r="AC75" s="51"/>
      <c r="AD75" s="51"/>
      <c r="AE75" s="51"/>
      <c r="AF75" s="51"/>
      <c r="AG75" s="51"/>
      <c r="AH75" s="190"/>
      <c r="AI75" s="51"/>
      <c r="AJ75" s="51"/>
      <c r="AK75" s="188"/>
      <c r="AL75" s="51"/>
      <c r="AM75" s="51"/>
      <c r="AN75" s="51"/>
      <c r="AO75" s="51"/>
      <c r="AP75" s="54"/>
      <c r="AQ75" s="54"/>
      <c r="AR75" s="54"/>
      <c r="AS75" s="54"/>
      <c r="AT75" s="54"/>
      <c r="AU75" s="54"/>
      <c r="AV75" s="58"/>
    </row>
    <row r="76" spans="1:48" s="59" customFormat="1" ht="20.100000000000001" customHeight="1">
      <c r="A76" s="189">
        <v>75</v>
      </c>
      <c r="B76" s="50" t="s">
        <v>585</v>
      </c>
      <c r="C76" s="51" t="s">
        <v>83</v>
      </c>
      <c r="D76" s="51" t="s">
        <v>473</v>
      </c>
      <c r="E76" s="51">
        <v>88</v>
      </c>
      <c r="F76" s="51">
        <v>1555</v>
      </c>
      <c r="G76" s="51">
        <v>1587</v>
      </c>
      <c r="H76" s="190">
        <v>1021</v>
      </c>
      <c r="I76" s="51" t="s">
        <v>249</v>
      </c>
      <c r="J76" s="51">
        <v>22</v>
      </c>
      <c r="K76" s="188" t="s">
        <v>240</v>
      </c>
      <c r="L76" s="51" t="s">
        <v>248</v>
      </c>
      <c r="M76" s="51" t="s">
        <v>59</v>
      </c>
      <c r="N76" s="51" t="s">
        <v>36</v>
      </c>
      <c r="O76" s="51" t="s">
        <v>250</v>
      </c>
      <c r="P76" s="54">
        <v>43697</v>
      </c>
      <c r="Q76" s="54"/>
      <c r="R76" s="54">
        <v>43699</v>
      </c>
      <c r="S76" s="54"/>
      <c r="T76" s="54"/>
      <c r="U76" s="54"/>
      <c r="V76" s="58"/>
      <c r="AA76" s="189"/>
      <c r="AB76" s="50"/>
      <c r="AC76" s="51"/>
      <c r="AD76" s="51"/>
      <c r="AE76" s="51"/>
      <c r="AF76" s="51"/>
      <c r="AG76" s="51"/>
      <c r="AH76" s="190"/>
      <c r="AI76" s="51"/>
      <c r="AJ76" s="51"/>
      <c r="AK76" s="188"/>
      <c r="AL76" s="51"/>
      <c r="AM76" s="51"/>
      <c r="AN76" s="51"/>
      <c r="AO76" s="51"/>
      <c r="AP76" s="54"/>
      <c r="AQ76" s="54"/>
      <c r="AR76" s="54"/>
      <c r="AS76" s="54"/>
      <c r="AT76" s="54"/>
      <c r="AU76" s="54"/>
      <c r="AV76" s="58"/>
    </row>
    <row r="77" spans="1:48" s="59" customFormat="1" ht="20.100000000000001" customHeight="1">
      <c r="A77" s="189">
        <v>76</v>
      </c>
      <c r="B77" s="50" t="s">
        <v>585</v>
      </c>
      <c r="C77" s="51" t="s">
        <v>83</v>
      </c>
      <c r="D77" s="51" t="s">
        <v>473</v>
      </c>
      <c r="E77" s="51">
        <v>88</v>
      </c>
      <c r="F77" s="51">
        <v>1555</v>
      </c>
      <c r="G77" s="51">
        <v>1587</v>
      </c>
      <c r="H77" s="190">
        <v>1021</v>
      </c>
      <c r="I77" s="51" t="s">
        <v>249</v>
      </c>
      <c r="J77" s="51">
        <v>23</v>
      </c>
      <c r="K77" s="188" t="s">
        <v>240</v>
      </c>
      <c r="L77" s="51" t="s">
        <v>248</v>
      </c>
      <c r="M77" s="51" t="s">
        <v>59</v>
      </c>
      <c r="N77" s="51" t="s">
        <v>36</v>
      </c>
      <c r="O77" s="51" t="s">
        <v>250</v>
      </c>
      <c r="P77" s="54">
        <v>43697</v>
      </c>
      <c r="Q77" s="54"/>
      <c r="R77" s="54">
        <v>43699</v>
      </c>
      <c r="S77" s="54"/>
      <c r="T77" s="54"/>
      <c r="U77" s="54"/>
      <c r="V77" s="58"/>
      <c r="AA77" s="189"/>
      <c r="AB77" s="50"/>
      <c r="AC77" s="51"/>
      <c r="AD77" s="51"/>
      <c r="AE77" s="51"/>
      <c r="AF77" s="51"/>
      <c r="AG77" s="51"/>
      <c r="AH77" s="190"/>
      <c r="AI77" s="51"/>
      <c r="AJ77" s="51"/>
      <c r="AK77" s="188"/>
      <c r="AL77" s="51"/>
      <c r="AM77" s="51"/>
      <c r="AN77" s="51"/>
      <c r="AO77" s="51"/>
      <c r="AP77" s="54"/>
      <c r="AQ77" s="54"/>
      <c r="AR77" s="54"/>
      <c r="AS77" s="54"/>
      <c r="AT77" s="54"/>
      <c r="AU77" s="54"/>
      <c r="AV77" s="58"/>
    </row>
    <row r="78" spans="1:48" s="59" customFormat="1" ht="20.100000000000001" customHeight="1">
      <c r="A78" s="189">
        <v>77</v>
      </c>
      <c r="B78" s="50" t="s">
        <v>585</v>
      </c>
      <c r="C78" s="51" t="s">
        <v>83</v>
      </c>
      <c r="D78" s="51" t="s">
        <v>473</v>
      </c>
      <c r="E78" s="51">
        <v>88</v>
      </c>
      <c r="F78" s="51">
        <v>1555</v>
      </c>
      <c r="G78" s="51">
        <v>1587</v>
      </c>
      <c r="H78" s="190">
        <v>1021</v>
      </c>
      <c r="I78" s="51" t="s">
        <v>249</v>
      </c>
      <c r="J78" s="51">
        <v>25</v>
      </c>
      <c r="K78" s="188" t="s">
        <v>240</v>
      </c>
      <c r="L78" s="51" t="s">
        <v>248</v>
      </c>
      <c r="M78" s="51" t="s">
        <v>59</v>
      </c>
      <c r="N78" s="51" t="s">
        <v>36</v>
      </c>
      <c r="O78" s="51" t="s">
        <v>250</v>
      </c>
      <c r="P78" s="54">
        <v>43727</v>
      </c>
      <c r="Q78" s="54"/>
      <c r="R78" s="54">
        <v>43727</v>
      </c>
      <c r="S78" s="54"/>
      <c r="T78" s="54"/>
      <c r="U78" s="54"/>
      <c r="V78" s="58"/>
      <c r="AA78" s="189"/>
      <c r="AB78" s="50"/>
      <c r="AC78" s="51"/>
      <c r="AD78" s="51"/>
      <c r="AE78" s="51"/>
      <c r="AF78" s="51"/>
      <c r="AG78" s="51"/>
      <c r="AH78" s="190"/>
      <c r="AI78" s="51"/>
      <c r="AJ78" s="51"/>
      <c r="AK78" s="188"/>
      <c r="AL78" s="51"/>
      <c r="AM78" s="51"/>
      <c r="AN78" s="51"/>
      <c r="AO78" s="51"/>
      <c r="AP78" s="54"/>
      <c r="AQ78" s="54"/>
      <c r="AR78" s="54"/>
      <c r="AS78" s="54"/>
      <c r="AT78" s="54"/>
      <c r="AU78" s="54"/>
      <c r="AV78" s="58"/>
    </row>
    <row r="79" spans="1:48" s="59" customFormat="1" ht="20.100000000000001" customHeight="1">
      <c r="A79" s="189">
        <v>78</v>
      </c>
      <c r="B79" s="50" t="s">
        <v>585</v>
      </c>
      <c r="C79" s="51" t="s">
        <v>83</v>
      </c>
      <c r="D79" s="51" t="s">
        <v>473</v>
      </c>
      <c r="E79" s="51">
        <v>88</v>
      </c>
      <c r="F79" s="51">
        <v>1555</v>
      </c>
      <c r="G79" s="51">
        <v>1587</v>
      </c>
      <c r="H79" s="190">
        <v>1021</v>
      </c>
      <c r="I79" s="51" t="s">
        <v>249</v>
      </c>
      <c r="J79" s="51">
        <v>26</v>
      </c>
      <c r="K79" s="188" t="s">
        <v>240</v>
      </c>
      <c r="L79" s="51" t="s">
        <v>248</v>
      </c>
      <c r="M79" s="51" t="s">
        <v>59</v>
      </c>
      <c r="N79" s="51" t="s">
        <v>36</v>
      </c>
      <c r="O79" s="51" t="s">
        <v>250</v>
      </c>
      <c r="P79" s="54">
        <v>43727</v>
      </c>
      <c r="Q79" s="54"/>
      <c r="R79" s="54">
        <v>43727</v>
      </c>
      <c r="S79" s="54"/>
      <c r="T79" s="54"/>
      <c r="U79" s="54"/>
      <c r="V79" s="58"/>
      <c r="AA79" s="189"/>
      <c r="AB79" s="50"/>
      <c r="AC79" s="51"/>
      <c r="AD79" s="51"/>
      <c r="AE79" s="51"/>
      <c r="AF79" s="51"/>
      <c r="AG79" s="51"/>
      <c r="AH79" s="190"/>
      <c r="AI79" s="51"/>
      <c r="AJ79" s="51"/>
      <c r="AK79" s="188"/>
      <c r="AL79" s="51"/>
      <c r="AM79" s="51"/>
      <c r="AN79" s="51"/>
      <c r="AO79" s="51"/>
      <c r="AP79" s="54"/>
      <c r="AQ79" s="54"/>
      <c r="AR79" s="54"/>
      <c r="AS79" s="54"/>
      <c r="AT79" s="54"/>
      <c r="AU79" s="54"/>
      <c r="AV79" s="58"/>
    </row>
    <row r="80" spans="1:48" s="59" customFormat="1" ht="20.100000000000001" customHeight="1">
      <c r="A80" s="189">
        <v>79</v>
      </c>
      <c r="B80" s="50" t="s">
        <v>585</v>
      </c>
      <c r="C80" s="51" t="s">
        <v>83</v>
      </c>
      <c r="D80" s="51" t="s">
        <v>473</v>
      </c>
      <c r="E80" s="51">
        <v>88</v>
      </c>
      <c r="F80" s="51">
        <v>1555</v>
      </c>
      <c r="G80" s="51">
        <v>1587</v>
      </c>
      <c r="H80" s="190">
        <v>1021</v>
      </c>
      <c r="I80" s="51" t="s">
        <v>249</v>
      </c>
      <c r="J80" s="51">
        <v>27</v>
      </c>
      <c r="K80" s="188" t="s">
        <v>240</v>
      </c>
      <c r="L80" s="51" t="s">
        <v>248</v>
      </c>
      <c r="M80" s="51" t="s">
        <v>59</v>
      </c>
      <c r="N80" s="51" t="s">
        <v>36</v>
      </c>
      <c r="O80" s="51" t="s">
        <v>250</v>
      </c>
      <c r="P80" s="54">
        <v>43727</v>
      </c>
      <c r="Q80" s="54"/>
      <c r="R80" s="54">
        <v>43727</v>
      </c>
      <c r="S80" s="54"/>
      <c r="T80" s="54"/>
      <c r="U80" s="54"/>
      <c r="V80" s="58"/>
      <c r="AA80" s="189"/>
      <c r="AB80" s="50"/>
      <c r="AC80" s="51"/>
      <c r="AD80" s="51"/>
      <c r="AE80" s="51"/>
      <c r="AF80" s="51"/>
      <c r="AG80" s="51"/>
      <c r="AH80" s="190"/>
      <c r="AI80" s="51"/>
      <c r="AJ80" s="51"/>
      <c r="AK80" s="188"/>
      <c r="AL80" s="51"/>
      <c r="AM80" s="51"/>
      <c r="AN80" s="51"/>
      <c r="AO80" s="51"/>
      <c r="AP80" s="54"/>
      <c r="AQ80" s="54"/>
      <c r="AR80" s="54"/>
      <c r="AS80" s="54"/>
      <c r="AT80" s="54"/>
      <c r="AU80" s="54"/>
      <c r="AV80" s="58"/>
    </row>
    <row r="81" spans="1:48" s="59" customFormat="1" ht="20.100000000000001" customHeight="1">
      <c r="A81" s="189">
        <v>80</v>
      </c>
      <c r="B81" s="50" t="s">
        <v>565</v>
      </c>
      <c r="C81" s="51" t="s">
        <v>84</v>
      </c>
      <c r="D81" s="51" t="s">
        <v>485</v>
      </c>
      <c r="E81" s="51">
        <v>80</v>
      </c>
      <c r="F81" s="51">
        <v>1485</v>
      </c>
      <c r="G81" s="51">
        <v>1493</v>
      </c>
      <c r="H81" s="190">
        <v>1005</v>
      </c>
      <c r="I81" s="51" t="s">
        <v>301</v>
      </c>
      <c r="J81" s="51" t="s">
        <v>1001</v>
      </c>
      <c r="K81" s="188" t="s">
        <v>238</v>
      </c>
      <c r="L81" s="51" t="s">
        <v>302</v>
      </c>
      <c r="M81" s="51" t="s">
        <v>59</v>
      </c>
      <c r="N81" s="51" t="s">
        <v>38</v>
      </c>
      <c r="O81" s="51" t="s">
        <v>384</v>
      </c>
      <c r="P81" s="54">
        <v>44387</v>
      </c>
      <c r="Q81" s="54"/>
      <c r="R81" s="54"/>
      <c r="S81" s="54"/>
      <c r="T81" s="54">
        <v>44532</v>
      </c>
      <c r="U81" s="54"/>
      <c r="V81" s="58"/>
      <c r="AA81" s="189"/>
      <c r="AB81" s="50"/>
      <c r="AC81" s="51"/>
      <c r="AD81" s="51"/>
      <c r="AE81" s="51"/>
      <c r="AF81" s="51"/>
      <c r="AG81" s="51"/>
      <c r="AH81" s="190"/>
      <c r="AI81" s="51"/>
      <c r="AJ81" s="51"/>
      <c r="AK81" s="188"/>
      <c r="AL81" s="51"/>
      <c r="AM81" s="51"/>
      <c r="AN81" s="51"/>
      <c r="AO81" s="51"/>
      <c r="AP81" s="54"/>
      <c r="AQ81" s="54"/>
      <c r="AR81" s="54"/>
      <c r="AS81" s="54"/>
      <c r="AT81" s="54"/>
      <c r="AU81" s="54"/>
      <c r="AV81" s="58"/>
    </row>
    <row r="82" spans="1:48" s="59" customFormat="1" ht="20.100000000000001" customHeight="1">
      <c r="A82" s="189">
        <v>81</v>
      </c>
      <c r="B82" s="50" t="s">
        <v>566</v>
      </c>
      <c r="C82" s="51" t="s">
        <v>84</v>
      </c>
      <c r="D82" s="51" t="s">
        <v>485</v>
      </c>
      <c r="E82" s="51">
        <v>80</v>
      </c>
      <c r="F82" s="51">
        <v>1550</v>
      </c>
      <c r="G82" s="51">
        <v>1558</v>
      </c>
      <c r="H82" s="190">
        <v>1005</v>
      </c>
      <c r="I82" s="51" t="s">
        <v>303</v>
      </c>
      <c r="J82" s="51" t="s">
        <v>1703</v>
      </c>
      <c r="K82" s="188" t="s">
        <v>240</v>
      </c>
      <c r="L82" s="51" t="s">
        <v>302</v>
      </c>
      <c r="M82" s="51" t="s">
        <v>59</v>
      </c>
      <c r="N82" s="51" t="s">
        <v>38</v>
      </c>
      <c r="O82" s="51" t="s">
        <v>384</v>
      </c>
      <c r="P82" s="54">
        <v>44294</v>
      </c>
      <c r="Q82" s="54"/>
      <c r="R82" s="54"/>
      <c r="S82" s="54"/>
      <c r="T82" s="54"/>
      <c r="U82" s="54"/>
      <c r="V82" s="58"/>
      <c r="AA82" s="189"/>
      <c r="AB82" s="50"/>
      <c r="AC82" s="51"/>
      <c r="AD82" s="51"/>
      <c r="AE82" s="51"/>
      <c r="AF82" s="51"/>
      <c r="AG82" s="51"/>
      <c r="AH82" s="190"/>
      <c r="AI82" s="51"/>
      <c r="AJ82" s="51"/>
      <c r="AK82" s="188"/>
      <c r="AL82" s="51"/>
      <c r="AM82" s="51"/>
      <c r="AN82" s="51"/>
      <c r="AO82" s="51"/>
      <c r="AP82" s="54"/>
      <c r="AQ82" s="54"/>
      <c r="AR82" s="54"/>
      <c r="AS82" s="54"/>
      <c r="AT82" s="54"/>
      <c r="AU82" s="54"/>
      <c r="AV82" s="58"/>
    </row>
    <row r="83" spans="1:48" s="59" customFormat="1" ht="20.100000000000001" customHeight="1">
      <c r="A83" s="189">
        <v>82</v>
      </c>
      <c r="B83" s="50" t="s">
        <v>567</v>
      </c>
      <c r="C83" s="51" t="s">
        <v>84</v>
      </c>
      <c r="D83" s="51" t="s">
        <v>485</v>
      </c>
      <c r="E83" s="51">
        <v>80</v>
      </c>
      <c r="F83" s="51">
        <v>1550</v>
      </c>
      <c r="G83" s="51">
        <v>1558</v>
      </c>
      <c r="H83" s="190">
        <v>1005</v>
      </c>
      <c r="I83" s="51" t="s">
        <v>304</v>
      </c>
      <c r="J83" s="51">
        <v>5</v>
      </c>
      <c r="K83" s="188" t="s">
        <v>240</v>
      </c>
      <c r="L83" s="51" t="s">
        <v>302</v>
      </c>
      <c r="M83" s="51" t="s">
        <v>60</v>
      </c>
      <c r="N83" s="51" t="s">
        <v>38</v>
      </c>
      <c r="O83" s="51" t="s">
        <v>384</v>
      </c>
      <c r="P83" s="54">
        <v>44271</v>
      </c>
      <c r="Q83" s="54"/>
      <c r="R83" s="54"/>
      <c r="S83" s="54"/>
      <c r="T83" s="54">
        <v>44396</v>
      </c>
      <c r="U83" s="54"/>
      <c r="V83" s="58"/>
      <c r="AA83" s="189"/>
      <c r="AB83" s="50"/>
      <c r="AC83" s="51"/>
      <c r="AD83" s="51"/>
      <c r="AE83" s="51"/>
      <c r="AF83" s="51"/>
      <c r="AG83" s="51"/>
      <c r="AH83" s="190"/>
      <c r="AI83" s="51"/>
      <c r="AJ83" s="51"/>
      <c r="AK83" s="188"/>
      <c r="AL83" s="51"/>
      <c r="AM83" s="51"/>
      <c r="AN83" s="51"/>
      <c r="AO83" s="51"/>
      <c r="AP83" s="54"/>
      <c r="AQ83" s="54"/>
      <c r="AR83" s="54"/>
      <c r="AS83" s="54"/>
      <c r="AT83" s="54"/>
      <c r="AU83" s="54"/>
      <c r="AV83" s="58"/>
    </row>
    <row r="84" spans="1:48" s="59" customFormat="1" ht="20.100000000000001" customHeight="1">
      <c r="A84" s="189">
        <v>83</v>
      </c>
      <c r="B84" s="50" t="s">
        <v>569</v>
      </c>
      <c r="C84" s="51" t="s">
        <v>82</v>
      </c>
      <c r="D84" s="51" t="s">
        <v>473</v>
      </c>
      <c r="E84" s="51">
        <v>94</v>
      </c>
      <c r="F84" s="51">
        <v>1565</v>
      </c>
      <c r="G84" s="51">
        <v>1599</v>
      </c>
      <c r="H84" s="190">
        <v>1022</v>
      </c>
      <c r="I84" s="51" t="s">
        <v>305</v>
      </c>
      <c r="J84" s="51">
        <v>3</v>
      </c>
      <c r="K84" s="188" t="s">
        <v>213</v>
      </c>
      <c r="L84" s="51" t="s">
        <v>306</v>
      </c>
      <c r="M84" s="51" t="s">
        <v>60</v>
      </c>
      <c r="N84" s="51" t="s">
        <v>36</v>
      </c>
      <c r="O84" s="51" t="s">
        <v>307</v>
      </c>
      <c r="P84" s="54">
        <v>43698</v>
      </c>
      <c r="Q84" s="54"/>
      <c r="R84" s="54">
        <v>43698</v>
      </c>
      <c r="S84" s="54"/>
      <c r="T84" s="54"/>
      <c r="U84" s="54"/>
      <c r="V84" s="58"/>
      <c r="AA84" s="189"/>
      <c r="AB84" s="50"/>
      <c r="AC84" s="51"/>
      <c r="AD84" s="51"/>
      <c r="AE84" s="51"/>
      <c r="AF84" s="51"/>
      <c r="AG84" s="51"/>
      <c r="AH84" s="190"/>
      <c r="AI84" s="51"/>
      <c r="AJ84" s="51"/>
      <c r="AK84" s="188"/>
      <c r="AL84" s="51"/>
      <c r="AM84" s="51"/>
      <c r="AN84" s="51"/>
      <c r="AO84" s="51"/>
      <c r="AP84" s="54"/>
      <c r="AQ84" s="54"/>
      <c r="AR84" s="54"/>
      <c r="AS84" s="54"/>
      <c r="AT84" s="54"/>
      <c r="AU84" s="54"/>
      <c r="AV84" s="58"/>
    </row>
    <row r="85" spans="1:48" s="59" customFormat="1" ht="20.100000000000001" customHeight="1">
      <c r="A85" s="189">
        <v>84</v>
      </c>
      <c r="B85" s="50" t="s">
        <v>569</v>
      </c>
      <c r="C85" s="51" t="s">
        <v>82</v>
      </c>
      <c r="D85" s="51" t="s">
        <v>473</v>
      </c>
      <c r="E85" s="51">
        <v>94</v>
      </c>
      <c r="F85" s="51">
        <v>1565</v>
      </c>
      <c r="G85" s="51">
        <v>1599</v>
      </c>
      <c r="H85" s="190">
        <v>1022</v>
      </c>
      <c r="I85" s="51" t="s">
        <v>305</v>
      </c>
      <c r="J85" s="51">
        <v>4</v>
      </c>
      <c r="K85" s="188" t="s">
        <v>213</v>
      </c>
      <c r="L85" s="51" t="s">
        <v>306</v>
      </c>
      <c r="M85" s="51" t="s">
        <v>60</v>
      </c>
      <c r="N85" s="51" t="s">
        <v>36</v>
      </c>
      <c r="O85" s="51" t="s">
        <v>307</v>
      </c>
      <c r="P85" s="54">
        <v>43698</v>
      </c>
      <c r="Q85" s="54"/>
      <c r="R85" s="54"/>
      <c r="S85" s="54"/>
      <c r="T85" s="54"/>
      <c r="U85" s="54"/>
      <c r="V85" s="58"/>
      <c r="AA85" s="189"/>
      <c r="AB85" s="50"/>
      <c r="AC85" s="51"/>
      <c r="AD85" s="51"/>
      <c r="AE85" s="51"/>
      <c r="AF85" s="51"/>
      <c r="AG85" s="51"/>
      <c r="AH85" s="190"/>
      <c r="AI85" s="51"/>
      <c r="AJ85" s="51"/>
      <c r="AK85" s="188"/>
      <c r="AL85" s="51"/>
      <c r="AM85" s="51"/>
      <c r="AN85" s="51"/>
      <c r="AO85" s="51"/>
      <c r="AP85" s="54"/>
      <c r="AQ85" s="54"/>
      <c r="AR85" s="54"/>
      <c r="AS85" s="54"/>
      <c r="AT85" s="54"/>
      <c r="AU85" s="54"/>
      <c r="AV85" s="58"/>
    </row>
    <row r="86" spans="1:48" s="59" customFormat="1" ht="20.100000000000001" customHeight="1">
      <c r="A86" s="189">
        <v>85</v>
      </c>
      <c r="B86" s="50" t="s">
        <v>569</v>
      </c>
      <c r="C86" s="51" t="s">
        <v>82</v>
      </c>
      <c r="D86" s="51" t="s">
        <v>473</v>
      </c>
      <c r="E86" s="51">
        <v>94</v>
      </c>
      <c r="F86" s="51">
        <v>1565</v>
      </c>
      <c r="G86" s="51">
        <v>1599</v>
      </c>
      <c r="H86" s="190">
        <v>1022</v>
      </c>
      <c r="I86" s="51" t="s">
        <v>305</v>
      </c>
      <c r="J86" s="51">
        <v>5</v>
      </c>
      <c r="K86" s="188" t="s">
        <v>213</v>
      </c>
      <c r="L86" s="51" t="s">
        <v>306</v>
      </c>
      <c r="M86" s="51" t="s">
        <v>60</v>
      </c>
      <c r="N86" s="51" t="s">
        <v>36</v>
      </c>
      <c r="O86" s="51" t="s">
        <v>307</v>
      </c>
      <c r="P86" s="54">
        <v>43698</v>
      </c>
      <c r="Q86" s="54"/>
      <c r="R86" s="54"/>
      <c r="S86" s="54"/>
      <c r="T86" s="54"/>
      <c r="U86" s="54"/>
      <c r="V86" s="58"/>
      <c r="AA86" s="189"/>
      <c r="AB86" s="50"/>
      <c r="AC86" s="51"/>
      <c r="AD86" s="51"/>
      <c r="AE86" s="51"/>
      <c r="AF86" s="51"/>
      <c r="AG86" s="51"/>
      <c r="AH86" s="190"/>
      <c r="AI86" s="51"/>
      <c r="AJ86" s="51"/>
      <c r="AK86" s="188"/>
      <c r="AL86" s="51"/>
      <c r="AM86" s="51"/>
      <c r="AN86" s="51"/>
      <c r="AO86" s="51"/>
      <c r="AP86" s="54"/>
      <c r="AQ86" s="54"/>
      <c r="AR86" s="54"/>
      <c r="AS86" s="54"/>
      <c r="AT86" s="54"/>
      <c r="AU86" s="54"/>
      <c r="AV86" s="58"/>
    </row>
    <row r="87" spans="1:48" s="59" customFormat="1" ht="20.100000000000001" customHeight="1">
      <c r="A87" s="189">
        <v>86</v>
      </c>
      <c r="B87" s="50" t="s">
        <v>570</v>
      </c>
      <c r="C87" s="51" t="s">
        <v>82</v>
      </c>
      <c r="D87" s="51" t="s">
        <v>486</v>
      </c>
      <c r="E87" s="51">
        <v>122</v>
      </c>
      <c r="F87" s="51">
        <v>1565</v>
      </c>
      <c r="G87" s="51">
        <v>2125</v>
      </c>
      <c r="H87" s="190">
        <v>1358</v>
      </c>
      <c r="I87" s="51" t="s">
        <v>308</v>
      </c>
      <c r="J87" s="51">
        <v>3</v>
      </c>
      <c r="K87" s="188" t="s">
        <v>309</v>
      </c>
      <c r="L87" s="51" t="s">
        <v>310</v>
      </c>
      <c r="M87" s="51" t="s">
        <v>60</v>
      </c>
      <c r="N87" s="51" t="s">
        <v>36</v>
      </c>
      <c r="O87" s="51" t="s">
        <v>307</v>
      </c>
      <c r="P87" s="54">
        <v>43698</v>
      </c>
      <c r="Q87" s="54"/>
      <c r="R87" s="54">
        <v>43698</v>
      </c>
      <c r="S87" s="54"/>
      <c r="T87" s="54"/>
      <c r="U87" s="54"/>
      <c r="V87" s="58"/>
      <c r="AA87" s="189"/>
      <c r="AB87" s="50"/>
      <c r="AC87" s="51"/>
      <c r="AD87" s="51"/>
      <c r="AE87" s="51"/>
      <c r="AF87" s="51"/>
      <c r="AG87" s="51"/>
      <c r="AH87" s="190"/>
      <c r="AI87" s="51"/>
      <c r="AJ87" s="51"/>
      <c r="AK87" s="188"/>
      <c r="AL87" s="51"/>
      <c r="AM87" s="51"/>
      <c r="AN87" s="51"/>
      <c r="AO87" s="51"/>
      <c r="AP87" s="54"/>
      <c r="AQ87" s="54"/>
      <c r="AR87" s="54"/>
      <c r="AS87" s="54"/>
      <c r="AT87" s="54"/>
      <c r="AU87" s="54"/>
      <c r="AV87" s="58"/>
    </row>
    <row r="88" spans="1:48" s="59" customFormat="1" ht="20.100000000000001" customHeight="1">
      <c r="A88" s="189">
        <v>87</v>
      </c>
      <c r="B88" s="50" t="s">
        <v>570</v>
      </c>
      <c r="C88" s="51" t="s">
        <v>82</v>
      </c>
      <c r="D88" s="51" t="s">
        <v>486</v>
      </c>
      <c r="E88" s="51">
        <v>122</v>
      </c>
      <c r="F88" s="51">
        <v>1565</v>
      </c>
      <c r="G88" s="51">
        <v>2125</v>
      </c>
      <c r="H88" s="190">
        <v>1358</v>
      </c>
      <c r="I88" s="51" t="s">
        <v>308</v>
      </c>
      <c r="J88" s="51">
        <v>4</v>
      </c>
      <c r="K88" s="188" t="s">
        <v>309</v>
      </c>
      <c r="L88" s="51" t="s">
        <v>310</v>
      </c>
      <c r="M88" s="51" t="s">
        <v>60</v>
      </c>
      <c r="N88" s="51" t="s">
        <v>36</v>
      </c>
      <c r="O88" s="51" t="s">
        <v>307</v>
      </c>
      <c r="P88" s="54">
        <v>43698</v>
      </c>
      <c r="Q88" s="54"/>
      <c r="R88" s="54">
        <v>43698</v>
      </c>
      <c r="S88" s="54"/>
      <c r="T88" s="54"/>
      <c r="U88" s="54"/>
      <c r="V88" s="58"/>
      <c r="AA88" s="189"/>
      <c r="AB88" s="50"/>
      <c r="AC88" s="51"/>
      <c r="AD88" s="51"/>
      <c r="AE88" s="51"/>
      <c r="AF88" s="51"/>
      <c r="AG88" s="51"/>
      <c r="AH88" s="190"/>
      <c r="AI88" s="51"/>
      <c r="AJ88" s="51"/>
      <c r="AK88" s="188"/>
      <c r="AL88" s="51"/>
      <c r="AM88" s="51"/>
      <c r="AN88" s="51"/>
      <c r="AO88" s="51"/>
      <c r="AP88" s="54"/>
      <c r="AQ88" s="54"/>
      <c r="AR88" s="54"/>
      <c r="AS88" s="54"/>
      <c r="AT88" s="54"/>
      <c r="AU88" s="54"/>
      <c r="AV88" s="58"/>
    </row>
    <row r="89" spans="1:48" s="59" customFormat="1" ht="20.100000000000001" customHeight="1">
      <c r="A89" s="189">
        <v>88</v>
      </c>
      <c r="B89" s="50" t="s">
        <v>572</v>
      </c>
      <c r="C89" s="51" t="s">
        <v>84</v>
      </c>
      <c r="D89" s="51" t="s">
        <v>485</v>
      </c>
      <c r="E89" s="51" t="s">
        <v>1610</v>
      </c>
      <c r="F89" s="51" t="s">
        <v>1664</v>
      </c>
      <c r="G89" s="51" t="s">
        <v>1701</v>
      </c>
      <c r="H89" s="219" t="s">
        <v>1702</v>
      </c>
      <c r="I89" s="51" t="s">
        <v>312</v>
      </c>
      <c r="J89" s="51" t="s">
        <v>1001</v>
      </c>
      <c r="K89" s="219" t="s">
        <v>213</v>
      </c>
      <c r="L89" s="51" t="s">
        <v>263</v>
      </c>
      <c r="M89" s="51" t="s">
        <v>60</v>
      </c>
      <c r="N89" s="51" t="s">
        <v>38</v>
      </c>
      <c r="O89" s="51" t="s">
        <v>384</v>
      </c>
      <c r="P89" s="54">
        <v>44387</v>
      </c>
      <c r="Q89" s="54"/>
      <c r="R89" s="54"/>
      <c r="S89" s="54"/>
      <c r="T89" s="54">
        <v>44387</v>
      </c>
      <c r="U89" s="54"/>
      <c r="V89" s="58"/>
      <c r="AA89" s="189"/>
      <c r="AB89" s="50"/>
      <c r="AC89" s="51"/>
      <c r="AD89" s="51"/>
      <c r="AE89" s="51"/>
      <c r="AF89" s="51"/>
      <c r="AG89" s="51"/>
      <c r="AH89" s="219"/>
      <c r="AI89" s="51"/>
      <c r="AJ89" s="51"/>
      <c r="AK89" s="219"/>
      <c r="AL89" s="51"/>
      <c r="AM89" s="51"/>
      <c r="AN89" s="51"/>
      <c r="AO89" s="51"/>
      <c r="AP89" s="54"/>
      <c r="AQ89" s="54"/>
      <c r="AR89" s="54"/>
      <c r="AS89" s="54"/>
      <c r="AT89" s="54"/>
      <c r="AU89" s="54"/>
      <c r="AV89" s="58"/>
    </row>
    <row r="90" spans="1:48" s="59" customFormat="1" ht="20.100000000000001" customHeight="1">
      <c r="A90" s="189">
        <v>89</v>
      </c>
      <c r="B90" s="50" t="s">
        <v>573</v>
      </c>
      <c r="C90" s="51" t="s">
        <v>313</v>
      </c>
      <c r="D90" s="51" t="s">
        <v>478</v>
      </c>
      <c r="E90" s="51">
        <v>126</v>
      </c>
      <c r="F90" s="51">
        <v>1485</v>
      </c>
      <c r="G90" s="51">
        <v>1899</v>
      </c>
      <c r="H90" s="190">
        <v>1279</v>
      </c>
      <c r="I90" s="51" t="s">
        <v>314</v>
      </c>
      <c r="J90" s="51">
        <v>9</v>
      </c>
      <c r="K90" s="188" t="s">
        <v>315</v>
      </c>
      <c r="L90" s="51" t="s">
        <v>316</v>
      </c>
      <c r="M90" s="51" t="s">
        <v>60</v>
      </c>
      <c r="N90" s="51" t="s">
        <v>38</v>
      </c>
      <c r="O90" s="51" t="s">
        <v>300</v>
      </c>
      <c r="P90" s="54">
        <v>43990</v>
      </c>
      <c r="Q90" s="54"/>
      <c r="R90" s="54"/>
      <c r="S90" s="54"/>
      <c r="T90" s="54">
        <v>43990</v>
      </c>
      <c r="U90" s="54"/>
      <c r="V90" s="58"/>
      <c r="AA90" s="189"/>
      <c r="AB90" s="50"/>
      <c r="AC90" s="51"/>
      <c r="AD90" s="51"/>
      <c r="AE90" s="51"/>
      <c r="AF90" s="51"/>
      <c r="AG90" s="51"/>
      <c r="AH90" s="190"/>
      <c r="AI90" s="51"/>
      <c r="AJ90" s="51"/>
      <c r="AK90" s="188"/>
      <c r="AL90" s="51"/>
      <c r="AM90" s="51"/>
      <c r="AN90" s="51"/>
      <c r="AO90" s="51"/>
      <c r="AP90" s="54"/>
      <c r="AQ90" s="54"/>
      <c r="AR90" s="54"/>
      <c r="AS90" s="54"/>
      <c r="AT90" s="54"/>
      <c r="AU90" s="54"/>
      <c r="AV90" s="58"/>
    </row>
    <row r="91" spans="1:48" s="59" customFormat="1" ht="20.100000000000001" customHeight="1">
      <c r="A91" s="189">
        <v>90</v>
      </c>
      <c r="B91" s="50" t="s">
        <v>573</v>
      </c>
      <c r="C91" s="51" t="s">
        <v>313</v>
      </c>
      <c r="D91" s="51" t="s">
        <v>478</v>
      </c>
      <c r="E91" s="51">
        <v>126</v>
      </c>
      <c r="F91" s="51">
        <v>1485</v>
      </c>
      <c r="G91" s="51">
        <v>1899</v>
      </c>
      <c r="H91" s="190">
        <v>1279</v>
      </c>
      <c r="I91" s="51" t="s">
        <v>314</v>
      </c>
      <c r="J91" s="51">
        <v>10</v>
      </c>
      <c r="K91" s="188" t="s">
        <v>315</v>
      </c>
      <c r="L91" s="51" t="s">
        <v>316</v>
      </c>
      <c r="M91" s="51" t="s">
        <v>60</v>
      </c>
      <c r="N91" s="51" t="s">
        <v>36</v>
      </c>
      <c r="O91" s="51" t="s">
        <v>1034</v>
      </c>
      <c r="P91" s="54">
        <v>44160</v>
      </c>
      <c r="Q91" s="54"/>
      <c r="R91" s="54"/>
      <c r="S91" s="54">
        <v>44160</v>
      </c>
      <c r="T91" s="54"/>
      <c r="U91" s="54"/>
      <c r="V91" s="58"/>
      <c r="AA91" s="189"/>
      <c r="AB91" s="50"/>
      <c r="AC91" s="51"/>
      <c r="AD91" s="51"/>
      <c r="AE91" s="51"/>
      <c r="AF91" s="51"/>
      <c r="AG91" s="51"/>
      <c r="AH91" s="190"/>
      <c r="AI91" s="51"/>
      <c r="AJ91" s="51"/>
      <c r="AK91" s="188"/>
      <c r="AL91" s="51"/>
      <c r="AM91" s="51"/>
      <c r="AN91" s="51"/>
      <c r="AO91" s="51"/>
      <c r="AP91" s="54"/>
      <c r="AQ91" s="54"/>
      <c r="AR91" s="54"/>
      <c r="AS91" s="54"/>
      <c r="AT91" s="54"/>
      <c r="AU91" s="54"/>
      <c r="AV91" s="58"/>
    </row>
    <row r="92" spans="1:48" s="59" customFormat="1" ht="20.100000000000001" customHeight="1">
      <c r="A92" s="189">
        <v>91</v>
      </c>
      <c r="B92" s="50" t="s">
        <v>573</v>
      </c>
      <c r="C92" s="51" t="s">
        <v>313</v>
      </c>
      <c r="D92" s="51" t="s">
        <v>478</v>
      </c>
      <c r="E92" s="51">
        <v>126</v>
      </c>
      <c r="F92" s="51">
        <v>1485</v>
      </c>
      <c r="G92" s="51">
        <v>1899</v>
      </c>
      <c r="H92" s="190">
        <v>1279</v>
      </c>
      <c r="I92" s="51" t="s">
        <v>314</v>
      </c>
      <c r="J92" s="51">
        <v>11</v>
      </c>
      <c r="K92" s="188" t="s">
        <v>315</v>
      </c>
      <c r="L92" s="51" t="s">
        <v>316</v>
      </c>
      <c r="M92" s="51" t="s">
        <v>60</v>
      </c>
      <c r="N92" s="51" t="s">
        <v>36</v>
      </c>
      <c r="O92" s="51" t="s">
        <v>1034</v>
      </c>
      <c r="P92" s="54">
        <v>44160</v>
      </c>
      <c r="Q92" s="54"/>
      <c r="R92" s="54"/>
      <c r="S92" s="54">
        <v>44160</v>
      </c>
      <c r="T92" s="54"/>
      <c r="U92" s="54"/>
      <c r="V92" s="58"/>
      <c r="AA92" s="189"/>
      <c r="AB92" s="50"/>
      <c r="AC92" s="51"/>
      <c r="AD92" s="51"/>
      <c r="AE92" s="51"/>
      <c r="AF92" s="51"/>
      <c r="AG92" s="51"/>
      <c r="AH92" s="190"/>
      <c r="AI92" s="51"/>
      <c r="AJ92" s="51"/>
      <c r="AK92" s="188"/>
      <c r="AL92" s="51"/>
      <c r="AM92" s="51"/>
      <c r="AN92" s="51"/>
      <c r="AO92" s="51"/>
      <c r="AP92" s="54"/>
      <c r="AQ92" s="54"/>
      <c r="AR92" s="54"/>
      <c r="AS92" s="54"/>
      <c r="AT92" s="54"/>
      <c r="AU92" s="54"/>
      <c r="AV92" s="58"/>
    </row>
    <row r="93" spans="1:48" s="59" customFormat="1" ht="20.100000000000001" customHeight="1">
      <c r="A93" s="189">
        <v>92</v>
      </c>
      <c r="B93" s="50" t="s">
        <v>573</v>
      </c>
      <c r="C93" s="51" t="s">
        <v>313</v>
      </c>
      <c r="D93" s="51" t="s">
        <v>478</v>
      </c>
      <c r="E93" s="51">
        <v>126</v>
      </c>
      <c r="F93" s="51">
        <v>1485</v>
      </c>
      <c r="G93" s="51">
        <v>1899</v>
      </c>
      <c r="H93" s="190">
        <v>1279</v>
      </c>
      <c r="I93" s="51" t="s">
        <v>314</v>
      </c>
      <c r="J93" s="51">
        <v>12</v>
      </c>
      <c r="K93" s="188" t="s">
        <v>315</v>
      </c>
      <c r="L93" s="51" t="s">
        <v>316</v>
      </c>
      <c r="M93" s="51" t="s">
        <v>60</v>
      </c>
      <c r="N93" s="51" t="s">
        <v>36</v>
      </c>
      <c r="O93" s="51" t="s">
        <v>1034</v>
      </c>
      <c r="P93" s="54">
        <v>44160</v>
      </c>
      <c r="Q93" s="54"/>
      <c r="R93" s="54"/>
      <c r="S93" s="54">
        <v>44160</v>
      </c>
      <c r="T93" s="54"/>
      <c r="U93" s="54"/>
      <c r="V93" s="58"/>
      <c r="AA93" s="189"/>
      <c r="AB93" s="50"/>
      <c r="AC93" s="51"/>
      <c r="AD93" s="51"/>
      <c r="AE93" s="51"/>
      <c r="AF93" s="51"/>
      <c r="AG93" s="51"/>
      <c r="AH93" s="190"/>
      <c r="AI93" s="51"/>
      <c r="AJ93" s="51"/>
      <c r="AK93" s="188"/>
      <c r="AL93" s="51"/>
      <c r="AM93" s="51"/>
      <c r="AN93" s="51"/>
      <c r="AO93" s="51"/>
      <c r="AP93" s="54"/>
      <c r="AQ93" s="54"/>
      <c r="AR93" s="54"/>
      <c r="AS93" s="54"/>
      <c r="AT93" s="54"/>
      <c r="AU93" s="54"/>
      <c r="AV93" s="58"/>
    </row>
    <row r="94" spans="1:48" s="59" customFormat="1" ht="20.100000000000001" customHeight="1">
      <c r="A94" s="189">
        <v>93</v>
      </c>
      <c r="B94" s="50" t="s">
        <v>574</v>
      </c>
      <c r="C94" s="51" t="s">
        <v>83</v>
      </c>
      <c r="D94" s="51" t="s">
        <v>473</v>
      </c>
      <c r="E94" s="51">
        <v>92</v>
      </c>
      <c r="F94" s="51">
        <v>1565</v>
      </c>
      <c r="G94" s="51">
        <v>1756</v>
      </c>
      <c r="H94" s="190">
        <v>1122</v>
      </c>
      <c r="I94" s="51" t="s">
        <v>290</v>
      </c>
      <c r="J94" s="51">
        <v>33</v>
      </c>
      <c r="K94" s="188" t="s">
        <v>213</v>
      </c>
      <c r="L94" s="51" t="s">
        <v>248</v>
      </c>
      <c r="M94" s="51" t="s">
        <v>60</v>
      </c>
      <c r="N94" s="51" t="s">
        <v>37</v>
      </c>
      <c r="O94" s="51" t="s">
        <v>317</v>
      </c>
      <c r="P94" s="54">
        <v>44446</v>
      </c>
      <c r="Q94" s="54"/>
      <c r="R94" s="54"/>
      <c r="S94" s="54">
        <v>43715</v>
      </c>
      <c r="T94" s="54"/>
      <c r="U94" s="54"/>
      <c r="V94" s="58"/>
      <c r="AA94" s="189"/>
      <c r="AB94" s="50"/>
      <c r="AC94" s="51"/>
      <c r="AD94" s="51"/>
      <c r="AE94" s="51"/>
      <c r="AF94" s="51"/>
      <c r="AG94" s="51"/>
      <c r="AH94" s="190"/>
      <c r="AI94" s="51"/>
      <c r="AJ94" s="51"/>
      <c r="AK94" s="188"/>
      <c r="AL94" s="51"/>
      <c r="AM94" s="51"/>
      <c r="AN94" s="51"/>
      <c r="AO94" s="51"/>
      <c r="AP94" s="54"/>
      <c r="AQ94" s="54"/>
      <c r="AR94" s="54"/>
      <c r="AS94" s="54"/>
      <c r="AT94" s="54"/>
      <c r="AU94" s="54"/>
      <c r="AV94" s="58"/>
    </row>
    <row r="95" spans="1:48" s="59" customFormat="1" ht="20.100000000000001" customHeight="1">
      <c r="A95" s="189">
        <v>94</v>
      </c>
      <c r="B95" s="50" t="s">
        <v>575</v>
      </c>
      <c r="C95" s="51" t="s">
        <v>83</v>
      </c>
      <c r="D95" s="51" t="s">
        <v>474</v>
      </c>
      <c r="E95" s="51">
        <v>90</v>
      </c>
      <c r="F95" s="51">
        <v>1565</v>
      </c>
      <c r="G95" s="51">
        <v>1652</v>
      </c>
      <c r="H95" s="190">
        <v>1056</v>
      </c>
      <c r="I95" s="51" t="s">
        <v>291</v>
      </c>
      <c r="J95" s="51">
        <v>17</v>
      </c>
      <c r="K95" s="188" t="s">
        <v>213</v>
      </c>
      <c r="L95" s="51" t="s">
        <v>272</v>
      </c>
      <c r="M95" s="51" t="s">
        <v>60</v>
      </c>
      <c r="N95" s="51" t="s">
        <v>37</v>
      </c>
      <c r="O95" s="51" t="s">
        <v>317</v>
      </c>
      <c r="P95" s="54">
        <v>43715</v>
      </c>
      <c r="Q95" s="54"/>
      <c r="R95" s="54"/>
      <c r="S95" s="54">
        <v>43715</v>
      </c>
      <c r="T95" s="54"/>
      <c r="U95" s="54"/>
      <c r="V95" s="58"/>
      <c r="AA95" s="189"/>
      <c r="AB95" s="50"/>
      <c r="AC95" s="51"/>
      <c r="AD95" s="51"/>
      <c r="AE95" s="51"/>
      <c r="AF95" s="51"/>
      <c r="AG95" s="51"/>
      <c r="AH95" s="190"/>
      <c r="AI95" s="51"/>
      <c r="AJ95" s="51"/>
      <c r="AK95" s="188"/>
      <c r="AL95" s="51"/>
      <c r="AM95" s="51"/>
      <c r="AN95" s="51"/>
      <c r="AO95" s="51"/>
      <c r="AP95" s="54"/>
      <c r="AQ95" s="54"/>
      <c r="AR95" s="54"/>
      <c r="AS95" s="54"/>
      <c r="AT95" s="54"/>
      <c r="AU95" s="54"/>
      <c r="AV95" s="58"/>
    </row>
    <row r="96" spans="1:48" s="59" customFormat="1" ht="20.100000000000001" customHeight="1">
      <c r="A96" s="189">
        <v>95</v>
      </c>
      <c r="B96" s="50" t="s">
        <v>576</v>
      </c>
      <c r="C96" s="51" t="s">
        <v>84</v>
      </c>
      <c r="D96" s="51" t="s">
        <v>486</v>
      </c>
      <c r="E96" s="51">
        <v>94</v>
      </c>
      <c r="F96" s="51">
        <v>1490</v>
      </c>
      <c r="G96" s="51">
        <v>2044</v>
      </c>
      <c r="H96" s="190">
        <v>1372</v>
      </c>
      <c r="I96" s="51" t="s">
        <v>318</v>
      </c>
      <c r="J96" s="51" t="s">
        <v>994</v>
      </c>
      <c r="K96" s="188" t="s">
        <v>254</v>
      </c>
      <c r="L96" s="51" t="s">
        <v>217</v>
      </c>
      <c r="M96" s="51" t="s">
        <v>59</v>
      </c>
      <c r="N96" s="51" t="s">
        <v>38</v>
      </c>
      <c r="O96" s="51" t="s">
        <v>384</v>
      </c>
      <c r="P96" s="54">
        <v>44387</v>
      </c>
      <c r="Q96" s="54"/>
      <c r="R96" s="54"/>
      <c r="S96" s="54"/>
      <c r="T96" s="54">
        <v>44532</v>
      </c>
      <c r="U96" s="54"/>
      <c r="V96" s="58"/>
      <c r="AA96" s="189"/>
      <c r="AB96" s="50"/>
      <c r="AC96" s="51"/>
      <c r="AD96" s="51"/>
      <c r="AE96" s="51"/>
      <c r="AF96" s="51"/>
      <c r="AG96" s="51"/>
      <c r="AH96" s="190"/>
      <c r="AI96" s="51"/>
      <c r="AJ96" s="51"/>
      <c r="AK96" s="188"/>
      <c r="AL96" s="51"/>
      <c r="AM96" s="51"/>
      <c r="AN96" s="51"/>
      <c r="AO96" s="51"/>
      <c r="AP96" s="54"/>
      <c r="AQ96" s="54"/>
      <c r="AR96" s="54"/>
      <c r="AS96" s="54"/>
      <c r="AT96" s="54"/>
      <c r="AU96" s="54"/>
      <c r="AV96" s="58"/>
    </row>
    <row r="97" spans="1:48" s="59" customFormat="1" ht="20.100000000000001" customHeight="1">
      <c r="A97" s="189">
        <v>96</v>
      </c>
      <c r="B97" s="50" t="s">
        <v>577</v>
      </c>
      <c r="C97" s="51" t="s">
        <v>84</v>
      </c>
      <c r="D97" s="51" t="s">
        <v>486</v>
      </c>
      <c r="E97" s="51">
        <v>92</v>
      </c>
      <c r="F97" s="51">
        <v>1567</v>
      </c>
      <c r="G97" s="51">
        <v>2069</v>
      </c>
      <c r="H97" s="190">
        <v>1320</v>
      </c>
      <c r="I97" s="51" t="s">
        <v>319</v>
      </c>
      <c r="J97" s="51" t="s">
        <v>993</v>
      </c>
      <c r="K97" s="188" t="s">
        <v>256</v>
      </c>
      <c r="L97" s="51" t="s">
        <v>217</v>
      </c>
      <c r="M97" s="51" t="s">
        <v>59</v>
      </c>
      <c r="N97" s="51" t="s">
        <v>38</v>
      </c>
      <c r="O97" s="51" t="s">
        <v>384</v>
      </c>
      <c r="P97" s="54">
        <v>44278</v>
      </c>
      <c r="Q97" s="54"/>
      <c r="R97" s="54"/>
      <c r="S97" s="54">
        <v>44183</v>
      </c>
      <c r="T97" s="54">
        <v>44532</v>
      </c>
      <c r="U97" s="54"/>
      <c r="V97" s="58"/>
      <c r="AA97" s="189"/>
      <c r="AB97" s="50"/>
      <c r="AC97" s="51"/>
      <c r="AD97" s="51"/>
      <c r="AE97" s="51"/>
      <c r="AF97" s="51"/>
      <c r="AG97" s="51"/>
      <c r="AH97" s="190"/>
      <c r="AI97" s="51"/>
      <c r="AJ97" s="51"/>
      <c r="AK97" s="188"/>
      <c r="AL97" s="51"/>
      <c r="AM97" s="51"/>
      <c r="AN97" s="51"/>
      <c r="AO97" s="51"/>
      <c r="AP97" s="54"/>
      <c r="AQ97" s="54"/>
      <c r="AR97" s="54"/>
      <c r="AS97" s="54"/>
      <c r="AT97" s="54"/>
      <c r="AU97" s="54"/>
      <c r="AV97" s="58"/>
    </row>
    <row r="98" spans="1:48" s="59" customFormat="1" ht="20.100000000000001" customHeight="1">
      <c r="A98" s="189">
        <v>97</v>
      </c>
      <c r="B98" s="50" t="s">
        <v>578</v>
      </c>
      <c r="C98" s="51" t="s">
        <v>82</v>
      </c>
      <c r="D98" s="51" t="s">
        <v>474</v>
      </c>
      <c r="E98" s="51">
        <v>130</v>
      </c>
      <c r="F98" s="51">
        <v>1488</v>
      </c>
      <c r="G98" s="51">
        <v>2105</v>
      </c>
      <c r="H98" s="190">
        <v>1415</v>
      </c>
      <c r="I98" s="51" t="s">
        <v>320</v>
      </c>
      <c r="J98" s="51">
        <v>14</v>
      </c>
      <c r="K98" s="188" t="s">
        <v>321</v>
      </c>
      <c r="L98" s="51" t="s">
        <v>322</v>
      </c>
      <c r="M98" s="51" t="s">
        <v>60</v>
      </c>
      <c r="N98" s="51" t="s">
        <v>38</v>
      </c>
      <c r="O98" s="51" t="s">
        <v>323</v>
      </c>
      <c r="P98" s="54">
        <v>44217</v>
      </c>
      <c r="Q98" s="54"/>
      <c r="R98" s="54"/>
      <c r="S98" s="54"/>
      <c r="T98" s="54">
        <v>44217</v>
      </c>
      <c r="U98" s="54"/>
      <c r="V98" s="58"/>
      <c r="AA98" s="189"/>
      <c r="AB98" s="50"/>
      <c r="AC98" s="51"/>
      <c r="AD98" s="51"/>
      <c r="AE98" s="51"/>
      <c r="AF98" s="51"/>
      <c r="AG98" s="51"/>
      <c r="AH98" s="190"/>
      <c r="AI98" s="51"/>
      <c r="AJ98" s="51"/>
      <c r="AK98" s="188"/>
      <c r="AL98" s="51"/>
      <c r="AM98" s="51"/>
      <c r="AN98" s="51"/>
      <c r="AO98" s="51"/>
      <c r="AP98" s="54"/>
      <c r="AQ98" s="54"/>
      <c r="AR98" s="54"/>
      <c r="AS98" s="54"/>
      <c r="AT98" s="54"/>
      <c r="AU98" s="54"/>
      <c r="AV98" s="58"/>
    </row>
    <row r="99" spans="1:48" s="59" customFormat="1" ht="20.100000000000001" customHeight="1">
      <c r="A99" s="189">
        <v>98</v>
      </c>
      <c r="B99" s="50" t="s">
        <v>579</v>
      </c>
      <c r="C99" s="51" t="s">
        <v>82</v>
      </c>
      <c r="D99" s="51" t="s">
        <v>473</v>
      </c>
      <c r="E99" s="51">
        <v>98</v>
      </c>
      <c r="F99" s="51">
        <v>1480</v>
      </c>
      <c r="G99" s="51">
        <v>1690</v>
      </c>
      <c r="H99" s="190">
        <v>1142</v>
      </c>
      <c r="I99" s="51" t="s">
        <v>324</v>
      </c>
      <c r="J99" s="51">
        <v>13</v>
      </c>
      <c r="K99" s="188" t="s">
        <v>325</v>
      </c>
      <c r="L99" s="51" t="s">
        <v>322</v>
      </c>
      <c r="M99" s="51" t="s">
        <v>60</v>
      </c>
      <c r="N99" s="51" t="s">
        <v>38</v>
      </c>
      <c r="O99" s="51" t="s">
        <v>323</v>
      </c>
      <c r="P99" s="54">
        <v>44277</v>
      </c>
      <c r="Q99" s="54"/>
      <c r="R99" s="54"/>
      <c r="S99" s="54">
        <v>44153</v>
      </c>
      <c r="T99" s="54">
        <v>44277</v>
      </c>
      <c r="U99" s="54"/>
      <c r="V99" s="58"/>
      <c r="AA99" s="189"/>
      <c r="AB99" s="50"/>
      <c r="AC99" s="51"/>
      <c r="AD99" s="51"/>
      <c r="AE99" s="51"/>
      <c r="AF99" s="51"/>
      <c r="AG99" s="51"/>
      <c r="AH99" s="190"/>
      <c r="AI99" s="51"/>
      <c r="AJ99" s="51"/>
      <c r="AK99" s="188"/>
      <c r="AL99" s="51"/>
      <c r="AM99" s="51"/>
      <c r="AN99" s="51"/>
      <c r="AO99" s="51"/>
      <c r="AP99" s="54"/>
      <c r="AQ99" s="54"/>
      <c r="AR99" s="54"/>
      <c r="AS99" s="54"/>
      <c r="AT99" s="54"/>
      <c r="AU99" s="54"/>
      <c r="AV99" s="58"/>
    </row>
    <row r="100" spans="1:48" s="59" customFormat="1" ht="20.100000000000001" customHeight="1">
      <c r="A100" s="189">
        <v>99</v>
      </c>
      <c r="B100" s="50" t="s">
        <v>580</v>
      </c>
      <c r="C100" s="51" t="s">
        <v>313</v>
      </c>
      <c r="D100" s="51" t="s">
        <v>478</v>
      </c>
      <c r="E100" s="51">
        <v>126</v>
      </c>
      <c r="F100" s="51">
        <v>1485</v>
      </c>
      <c r="G100" s="51">
        <v>1923</v>
      </c>
      <c r="H100" s="190">
        <v>1295</v>
      </c>
      <c r="I100" s="51" t="s">
        <v>326</v>
      </c>
      <c r="J100" s="51">
        <v>4</v>
      </c>
      <c r="K100" s="188" t="s">
        <v>315</v>
      </c>
      <c r="L100" s="51" t="s">
        <v>316</v>
      </c>
      <c r="M100" s="51" t="s">
        <v>60</v>
      </c>
      <c r="N100" s="51" t="s">
        <v>38</v>
      </c>
      <c r="O100" s="51" t="s">
        <v>384</v>
      </c>
      <c r="P100" s="54">
        <v>44214</v>
      </c>
      <c r="Q100" s="54"/>
      <c r="R100" s="54"/>
      <c r="S100" s="54"/>
      <c r="T100" s="54" t="s">
        <v>1700</v>
      </c>
      <c r="U100" s="54"/>
      <c r="V100" s="58"/>
      <c r="AA100" s="189"/>
      <c r="AB100" s="50"/>
      <c r="AC100" s="51"/>
      <c r="AD100" s="51"/>
      <c r="AE100" s="51"/>
      <c r="AF100" s="51"/>
      <c r="AG100" s="51"/>
      <c r="AH100" s="190"/>
      <c r="AI100" s="51"/>
      <c r="AJ100" s="51"/>
      <c r="AK100" s="188"/>
      <c r="AL100" s="51"/>
      <c r="AM100" s="51"/>
      <c r="AN100" s="51"/>
      <c r="AO100" s="51"/>
      <c r="AP100" s="54"/>
      <c r="AQ100" s="54"/>
      <c r="AR100" s="54"/>
      <c r="AS100" s="54"/>
      <c r="AT100" s="54"/>
      <c r="AU100" s="54"/>
      <c r="AV100" s="58"/>
    </row>
    <row r="101" spans="1:48" s="59" customFormat="1" ht="20.100000000000001" customHeight="1">
      <c r="A101" s="189">
        <v>100</v>
      </c>
      <c r="B101" s="50" t="s">
        <v>581</v>
      </c>
      <c r="C101" s="51" t="s">
        <v>313</v>
      </c>
      <c r="D101" s="51" t="s">
        <v>484</v>
      </c>
      <c r="E101" s="51">
        <v>190</v>
      </c>
      <c r="F101" s="51">
        <v>1490</v>
      </c>
      <c r="G101" s="51">
        <v>3121</v>
      </c>
      <c r="H101" s="190">
        <v>2095</v>
      </c>
      <c r="I101" s="51" t="s">
        <v>327</v>
      </c>
      <c r="J101" s="51">
        <v>4</v>
      </c>
      <c r="K101" s="188" t="s">
        <v>298</v>
      </c>
      <c r="L101" s="51" t="s">
        <v>299</v>
      </c>
      <c r="M101" s="51" t="s">
        <v>60</v>
      </c>
      <c r="N101" s="51" t="s">
        <v>38</v>
      </c>
      <c r="O101" s="51" t="s">
        <v>384</v>
      </c>
      <c r="P101" s="54">
        <v>44387</v>
      </c>
      <c r="Q101" s="54"/>
      <c r="R101" s="54"/>
      <c r="S101" s="54"/>
      <c r="T101" s="54">
        <v>44387</v>
      </c>
      <c r="U101" s="54"/>
      <c r="V101" s="58"/>
      <c r="AA101" s="189"/>
      <c r="AB101" s="50"/>
      <c r="AC101" s="51"/>
      <c r="AD101" s="51"/>
      <c r="AE101" s="51"/>
      <c r="AF101" s="51"/>
      <c r="AG101" s="51"/>
      <c r="AH101" s="190"/>
      <c r="AI101" s="51"/>
      <c r="AJ101" s="51"/>
      <c r="AK101" s="188"/>
      <c r="AL101" s="51"/>
      <c r="AM101" s="51"/>
      <c r="AN101" s="51"/>
      <c r="AO101" s="51"/>
      <c r="AP101" s="54"/>
      <c r="AQ101" s="54"/>
      <c r="AR101" s="54"/>
      <c r="AS101" s="54"/>
      <c r="AT101" s="54"/>
      <c r="AU101" s="54"/>
      <c r="AV101" s="58"/>
    </row>
    <row r="102" spans="1:48" s="59" customFormat="1" ht="20.100000000000001" customHeight="1">
      <c r="A102" s="189">
        <v>101</v>
      </c>
      <c r="B102" s="50" t="s">
        <v>582</v>
      </c>
      <c r="C102" s="51" t="s">
        <v>82</v>
      </c>
      <c r="D102" s="51" t="s">
        <v>484</v>
      </c>
      <c r="E102" s="51">
        <v>188</v>
      </c>
      <c r="F102" s="51">
        <v>1482</v>
      </c>
      <c r="G102" s="51">
        <v>3196</v>
      </c>
      <c r="H102" s="190">
        <v>2157</v>
      </c>
      <c r="I102" s="51" t="s">
        <v>328</v>
      </c>
      <c r="J102" s="51">
        <v>12</v>
      </c>
      <c r="K102" s="188" t="s">
        <v>298</v>
      </c>
      <c r="L102" s="51" t="s">
        <v>329</v>
      </c>
      <c r="M102" s="51" t="s">
        <v>60</v>
      </c>
      <c r="N102" s="51" t="s">
        <v>38</v>
      </c>
      <c r="O102" s="51" t="s">
        <v>323</v>
      </c>
      <c r="P102" s="54">
        <v>44387</v>
      </c>
      <c r="Q102" s="54"/>
      <c r="R102" s="54"/>
      <c r="S102" s="54"/>
      <c r="T102" s="54">
        <v>44387</v>
      </c>
      <c r="U102" s="54"/>
      <c r="V102" s="58"/>
      <c r="AA102" s="189"/>
      <c r="AB102" s="50"/>
      <c r="AC102" s="51"/>
      <c r="AD102" s="51"/>
      <c r="AE102" s="51"/>
      <c r="AF102" s="51"/>
      <c r="AG102" s="51"/>
      <c r="AH102" s="190"/>
      <c r="AI102" s="51"/>
      <c r="AJ102" s="51"/>
      <c r="AK102" s="188"/>
      <c r="AL102" s="51"/>
      <c r="AM102" s="51"/>
      <c r="AN102" s="51"/>
      <c r="AO102" s="51"/>
      <c r="AP102" s="54"/>
      <c r="AQ102" s="54"/>
      <c r="AR102" s="54"/>
      <c r="AS102" s="54"/>
      <c r="AT102" s="54"/>
      <c r="AU102" s="54"/>
      <c r="AV102" s="58"/>
    </row>
    <row r="103" spans="1:48" s="59" customFormat="1" ht="20.100000000000001" customHeight="1">
      <c r="A103" s="189">
        <v>102</v>
      </c>
      <c r="B103" s="50" t="s">
        <v>1637</v>
      </c>
      <c r="C103" s="51" t="s">
        <v>68</v>
      </c>
      <c r="D103" s="51" t="s">
        <v>484</v>
      </c>
      <c r="E103" s="51" t="s">
        <v>1635</v>
      </c>
      <c r="F103" s="51" t="s">
        <v>1636</v>
      </c>
      <c r="G103" s="51" t="s">
        <v>1638</v>
      </c>
      <c r="H103" s="205" t="s">
        <v>1639</v>
      </c>
      <c r="I103" s="51" t="s">
        <v>328</v>
      </c>
      <c r="J103" s="51" t="s">
        <v>502</v>
      </c>
      <c r="K103" s="205" t="s">
        <v>298</v>
      </c>
      <c r="L103" s="51" t="s">
        <v>329</v>
      </c>
      <c r="M103" s="51" t="s">
        <v>60</v>
      </c>
      <c r="N103" s="51" t="s">
        <v>39</v>
      </c>
      <c r="O103" s="51" t="s">
        <v>27</v>
      </c>
      <c r="P103" s="54" t="s">
        <v>1628</v>
      </c>
      <c r="Q103" s="54" t="s">
        <v>1628</v>
      </c>
      <c r="R103" s="54" t="s">
        <v>648</v>
      </c>
      <c r="S103" s="54" t="s">
        <v>648</v>
      </c>
      <c r="T103" s="54">
        <v>44498</v>
      </c>
      <c r="U103" s="54" t="s">
        <v>648</v>
      </c>
      <c r="V103" s="58" t="s">
        <v>1640</v>
      </c>
      <c r="AA103" s="189"/>
      <c r="AB103" s="50"/>
      <c r="AC103" s="51"/>
      <c r="AD103" s="51"/>
      <c r="AE103" s="51"/>
      <c r="AF103" s="51"/>
      <c r="AG103" s="51"/>
      <c r="AH103" s="205"/>
      <c r="AI103" s="51"/>
      <c r="AJ103" s="51"/>
      <c r="AK103" s="205"/>
      <c r="AL103" s="51"/>
      <c r="AM103" s="51"/>
      <c r="AN103" s="51"/>
      <c r="AO103" s="51"/>
      <c r="AP103" s="54"/>
      <c r="AQ103" s="54"/>
      <c r="AR103" s="54"/>
      <c r="AS103" s="54"/>
      <c r="AT103" s="54"/>
      <c r="AU103" s="54"/>
      <c r="AV103" s="58"/>
    </row>
    <row r="104" spans="1:48" s="59" customFormat="1" ht="20.100000000000001" customHeight="1">
      <c r="A104" s="189">
        <v>103</v>
      </c>
      <c r="B104" s="50" t="s">
        <v>583</v>
      </c>
      <c r="C104" s="51" t="s">
        <v>82</v>
      </c>
      <c r="D104" s="51" t="s">
        <v>475</v>
      </c>
      <c r="E104" s="51">
        <v>130</v>
      </c>
      <c r="F104" s="51">
        <v>1488</v>
      </c>
      <c r="G104" s="51">
        <v>2514</v>
      </c>
      <c r="H104" s="190">
        <v>1690</v>
      </c>
      <c r="I104" s="51" t="s">
        <v>330</v>
      </c>
      <c r="J104" s="51">
        <v>12</v>
      </c>
      <c r="K104" s="188" t="s">
        <v>331</v>
      </c>
      <c r="L104" s="51" t="s">
        <v>329</v>
      </c>
      <c r="M104" s="51" t="s">
        <v>60</v>
      </c>
      <c r="N104" s="51" t="s">
        <v>38</v>
      </c>
      <c r="O104" s="51" t="s">
        <v>323</v>
      </c>
      <c r="P104" s="54">
        <v>44217</v>
      </c>
      <c r="Q104" s="54"/>
      <c r="R104" s="54"/>
      <c r="S104" s="54"/>
      <c r="T104" s="54">
        <v>44217</v>
      </c>
      <c r="U104" s="54"/>
      <c r="V104" s="58"/>
      <c r="AA104" s="189"/>
      <c r="AB104" s="50"/>
      <c r="AC104" s="51"/>
      <c r="AD104" s="51"/>
      <c r="AE104" s="51"/>
      <c r="AF104" s="51"/>
      <c r="AG104" s="51"/>
      <c r="AH104" s="190"/>
      <c r="AI104" s="51"/>
      <c r="AJ104" s="51"/>
      <c r="AK104" s="188"/>
      <c r="AL104" s="51"/>
      <c r="AM104" s="51"/>
      <c r="AN104" s="51"/>
      <c r="AO104" s="51"/>
      <c r="AP104" s="54"/>
      <c r="AQ104" s="54"/>
      <c r="AR104" s="54"/>
      <c r="AS104" s="54"/>
      <c r="AT104" s="54"/>
      <c r="AU104" s="54"/>
      <c r="AV104" s="58"/>
    </row>
    <row r="105" spans="1:48" s="59" customFormat="1" ht="20.100000000000001" customHeight="1">
      <c r="A105" s="189">
        <v>104</v>
      </c>
      <c r="B105" s="50" t="s">
        <v>584</v>
      </c>
      <c r="C105" s="51" t="s">
        <v>82</v>
      </c>
      <c r="D105" s="51" t="s">
        <v>483</v>
      </c>
      <c r="E105" s="51">
        <v>166</v>
      </c>
      <c r="F105" s="51">
        <v>1490</v>
      </c>
      <c r="G105" s="51">
        <v>2999</v>
      </c>
      <c r="H105" s="190">
        <v>2013</v>
      </c>
      <c r="I105" s="51" t="s">
        <v>332</v>
      </c>
      <c r="J105" s="51">
        <v>11</v>
      </c>
      <c r="K105" s="188" t="s">
        <v>333</v>
      </c>
      <c r="L105" s="51" t="s">
        <v>329</v>
      </c>
      <c r="M105" s="51" t="s">
        <v>60</v>
      </c>
      <c r="N105" s="51" t="s">
        <v>38</v>
      </c>
      <c r="O105" s="51" t="s">
        <v>323</v>
      </c>
      <c r="P105" s="54">
        <v>44229</v>
      </c>
      <c r="Q105" s="54"/>
      <c r="R105" s="54"/>
      <c r="S105" s="54"/>
      <c r="T105" s="54"/>
      <c r="U105" s="54"/>
      <c r="V105" s="58"/>
      <c r="AA105" s="189"/>
      <c r="AB105" s="50"/>
      <c r="AC105" s="51"/>
      <c r="AD105" s="51"/>
      <c r="AE105" s="51"/>
      <c r="AF105" s="51"/>
      <c r="AG105" s="51"/>
      <c r="AH105" s="190"/>
      <c r="AI105" s="51"/>
      <c r="AJ105" s="51"/>
      <c r="AK105" s="188"/>
      <c r="AL105" s="51"/>
      <c r="AM105" s="51"/>
      <c r="AN105" s="51"/>
      <c r="AO105" s="51"/>
      <c r="AP105" s="54"/>
      <c r="AQ105" s="54"/>
      <c r="AR105" s="54"/>
      <c r="AS105" s="54"/>
      <c r="AT105" s="54"/>
      <c r="AU105" s="54"/>
      <c r="AV105" s="58"/>
    </row>
    <row r="106" spans="1:48" s="59" customFormat="1" ht="20.100000000000001" customHeight="1">
      <c r="A106" s="189">
        <v>105</v>
      </c>
      <c r="B106" s="50" t="s">
        <v>586</v>
      </c>
      <c r="C106" s="51" t="s">
        <v>82</v>
      </c>
      <c r="D106" s="51" t="s">
        <v>487</v>
      </c>
      <c r="E106" s="51">
        <v>135</v>
      </c>
      <c r="F106" s="51">
        <v>1494</v>
      </c>
      <c r="G106" s="51">
        <v>2701</v>
      </c>
      <c r="H106" s="190">
        <v>1808</v>
      </c>
      <c r="I106" s="51" t="s">
        <v>335</v>
      </c>
      <c r="J106" s="51">
        <v>9</v>
      </c>
      <c r="K106" s="188" t="s">
        <v>336</v>
      </c>
      <c r="L106" s="51" t="s">
        <v>329</v>
      </c>
      <c r="M106" s="51" t="s">
        <v>60</v>
      </c>
      <c r="N106" s="51" t="s">
        <v>38</v>
      </c>
      <c r="O106" s="51" t="s">
        <v>323</v>
      </c>
      <c r="P106" s="54">
        <v>44229</v>
      </c>
      <c r="Q106" s="54"/>
      <c r="R106" s="54"/>
      <c r="S106" s="54"/>
      <c r="T106" s="54">
        <v>44229</v>
      </c>
      <c r="U106" s="54"/>
      <c r="V106" s="58"/>
      <c r="AA106" s="189"/>
      <c r="AB106" s="50"/>
      <c r="AC106" s="51"/>
      <c r="AD106" s="51"/>
      <c r="AE106" s="51"/>
      <c r="AF106" s="51"/>
      <c r="AG106" s="51"/>
      <c r="AH106" s="190"/>
      <c r="AI106" s="51"/>
      <c r="AJ106" s="51"/>
      <c r="AK106" s="188"/>
      <c r="AL106" s="51"/>
      <c r="AM106" s="51"/>
      <c r="AN106" s="51"/>
      <c r="AO106" s="51"/>
      <c r="AP106" s="54"/>
      <c r="AQ106" s="54"/>
      <c r="AR106" s="54"/>
      <c r="AS106" s="54"/>
      <c r="AT106" s="54"/>
      <c r="AU106" s="54"/>
      <c r="AV106" s="58"/>
    </row>
    <row r="107" spans="1:48" s="59" customFormat="1" ht="20.100000000000001" customHeight="1">
      <c r="A107" s="189">
        <v>106</v>
      </c>
      <c r="B107" s="50" t="s">
        <v>1804</v>
      </c>
      <c r="C107" s="51" t="s">
        <v>82</v>
      </c>
      <c r="D107" s="51" t="s">
        <v>488</v>
      </c>
      <c r="E107" s="51" t="s">
        <v>1805</v>
      </c>
      <c r="F107" s="51" t="s">
        <v>1664</v>
      </c>
      <c r="G107" s="51" t="s">
        <v>1806</v>
      </c>
      <c r="H107" s="190" t="s">
        <v>1807</v>
      </c>
      <c r="I107" s="51" t="s">
        <v>338</v>
      </c>
      <c r="J107" s="51" t="s">
        <v>994</v>
      </c>
      <c r="K107" s="188" t="s">
        <v>339</v>
      </c>
      <c r="L107" s="51" t="s">
        <v>329</v>
      </c>
      <c r="M107" s="51" t="s">
        <v>60</v>
      </c>
      <c r="N107" s="51" t="s">
        <v>38</v>
      </c>
      <c r="O107" s="51" t="s">
        <v>323</v>
      </c>
      <c r="P107" s="54" t="s">
        <v>1808</v>
      </c>
      <c r="Q107" s="54" t="s">
        <v>648</v>
      </c>
      <c r="R107" s="54" t="s">
        <v>1809</v>
      </c>
      <c r="S107" s="54" t="s">
        <v>1810</v>
      </c>
      <c r="T107" s="54" t="s">
        <v>1808</v>
      </c>
      <c r="U107" s="54" t="s">
        <v>648</v>
      </c>
      <c r="V107" s="58" t="s">
        <v>648</v>
      </c>
      <c r="AA107" s="189"/>
      <c r="AB107" s="50"/>
      <c r="AC107" s="51"/>
      <c r="AD107" s="51"/>
      <c r="AE107" s="51"/>
      <c r="AF107" s="51"/>
      <c r="AG107" s="51"/>
      <c r="AH107" s="190"/>
      <c r="AI107" s="51"/>
      <c r="AJ107" s="51"/>
      <c r="AK107" s="188"/>
      <c r="AL107" s="51"/>
      <c r="AM107" s="51"/>
      <c r="AN107" s="51"/>
      <c r="AO107" s="51"/>
      <c r="AP107" s="54"/>
      <c r="AQ107" s="54"/>
      <c r="AR107" s="54"/>
      <c r="AS107" s="54"/>
      <c r="AT107" s="54"/>
      <c r="AU107" s="54"/>
      <c r="AV107" s="58"/>
    </row>
    <row r="108" spans="1:48" s="59" customFormat="1" ht="20.100000000000001" customHeight="1">
      <c r="A108" s="189">
        <v>107</v>
      </c>
      <c r="B108" s="50" t="s">
        <v>587</v>
      </c>
      <c r="C108" s="51" t="s">
        <v>82</v>
      </c>
      <c r="D108" s="51" t="s">
        <v>489</v>
      </c>
      <c r="E108" s="51">
        <v>154</v>
      </c>
      <c r="F108" s="51">
        <v>1231</v>
      </c>
      <c r="G108" s="51">
        <v>1645</v>
      </c>
      <c r="H108" s="190">
        <v>1336</v>
      </c>
      <c r="I108" s="51" t="s">
        <v>341</v>
      </c>
      <c r="J108" s="51">
        <v>3</v>
      </c>
      <c r="K108" s="188" t="s">
        <v>342</v>
      </c>
      <c r="L108" s="51" t="s">
        <v>343</v>
      </c>
      <c r="M108" s="51" t="s">
        <v>60</v>
      </c>
      <c r="N108" s="51" t="s">
        <v>36</v>
      </c>
      <c r="O108" s="51" t="s">
        <v>344</v>
      </c>
      <c r="P108" s="54">
        <v>44070</v>
      </c>
      <c r="Q108" s="54"/>
      <c r="R108" s="54">
        <v>44070</v>
      </c>
      <c r="S108" s="54"/>
      <c r="T108" s="54"/>
      <c r="U108" s="54"/>
      <c r="V108" s="58"/>
      <c r="AA108" s="189"/>
      <c r="AB108" s="50"/>
      <c r="AC108" s="51"/>
      <c r="AD108" s="51"/>
      <c r="AE108" s="51"/>
      <c r="AF108" s="51"/>
      <c r="AG108" s="51"/>
      <c r="AH108" s="190"/>
      <c r="AI108" s="51"/>
      <c r="AJ108" s="51"/>
      <c r="AK108" s="188"/>
      <c r="AL108" s="51"/>
      <c r="AM108" s="51"/>
      <c r="AN108" s="51"/>
      <c r="AO108" s="51"/>
      <c r="AP108" s="54"/>
      <c r="AQ108" s="54"/>
      <c r="AR108" s="54"/>
      <c r="AS108" s="54"/>
      <c r="AT108" s="54"/>
      <c r="AU108" s="54"/>
      <c r="AV108" s="58"/>
    </row>
    <row r="109" spans="1:48" s="59" customFormat="1" ht="20.100000000000001" customHeight="1">
      <c r="A109" s="189">
        <v>108</v>
      </c>
      <c r="B109" s="50" t="s">
        <v>587</v>
      </c>
      <c r="C109" s="51" t="s">
        <v>82</v>
      </c>
      <c r="D109" s="51" t="s">
        <v>489</v>
      </c>
      <c r="E109" s="51">
        <v>154</v>
      </c>
      <c r="F109" s="51">
        <v>1231</v>
      </c>
      <c r="G109" s="51">
        <v>1645</v>
      </c>
      <c r="H109" s="190">
        <v>1336</v>
      </c>
      <c r="I109" s="51" t="s">
        <v>341</v>
      </c>
      <c r="J109" s="51">
        <v>4</v>
      </c>
      <c r="K109" s="188" t="s">
        <v>342</v>
      </c>
      <c r="L109" s="51" t="s">
        <v>343</v>
      </c>
      <c r="M109" s="51" t="s">
        <v>60</v>
      </c>
      <c r="N109" s="51" t="s">
        <v>36</v>
      </c>
      <c r="O109" s="51" t="s">
        <v>344</v>
      </c>
      <c r="P109" s="54">
        <v>44070</v>
      </c>
      <c r="Q109" s="54"/>
      <c r="R109" s="54">
        <v>44070</v>
      </c>
      <c r="S109" s="54"/>
      <c r="T109" s="54"/>
      <c r="U109" s="54"/>
      <c r="V109" s="58"/>
      <c r="AA109" s="189"/>
      <c r="AB109" s="50"/>
      <c r="AC109" s="51"/>
      <c r="AD109" s="51"/>
      <c r="AE109" s="51"/>
      <c r="AF109" s="51"/>
      <c r="AG109" s="51"/>
      <c r="AH109" s="190"/>
      <c r="AI109" s="51"/>
      <c r="AJ109" s="51"/>
      <c r="AK109" s="188"/>
      <c r="AL109" s="51"/>
      <c r="AM109" s="51"/>
      <c r="AN109" s="51"/>
      <c r="AO109" s="51"/>
      <c r="AP109" s="54"/>
      <c r="AQ109" s="54"/>
      <c r="AR109" s="54"/>
      <c r="AS109" s="54"/>
      <c r="AT109" s="54"/>
      <c r="AU109" s="54"/>
      <c r="AV109" s="58"/>
    </row>
    <row r="110" spans="1:48" s="59" customFormat="1" ht="20.100000000000001" customHeight="1">
      <c r="A110" s="189">
        <v>109</v>
      </c>
      <c r="B110" s="50" t="s">
        <v>587</v>
      </c>
      <c r="C110" s="51" t="s">
        <v>82</v>
      </c>
      <c r="D110" s="51" t="s">
        <v>489</v>
      </c>
      <c r="E110" s="51">
        <v>154</v>
      </c>
      <c r="F110" s="51">
        <v>1231</v>
      </c>
      <c r="G110" s="51">
        <v>1645</v>
      </c>
      <c r="H110" s="190">
        <v>1336</v>
      </c>
      <c r="I110" s="51" t="s">
        <v>341</v>
      </c>
      <c r="J110" s="51">
        <v>5</v>
      </c>
      <c r="K110" s="188" t="s">
        <v>342</v>
      </c>
      <c r="L110" s="51" t="s">
        <v>343</v>
      </c>
      <c r="M110" s="51" t="s">
        <v>60</v>
      </c>
      <c r="N110" s="51" t="s">
        <v>36</v>
      </c>
      <c r="O110" s="51" t="s">
        <v>344</v>
      </c>
      <c r="P110" s="54">
        <v>44070</v>
      </c>
      <c r="Q110" s="54"/>
      <c r="R110" s="54">
        <v>44070</v>
      </c>
      <c r="S110" s="54"/>
      <c r="T110" s="54"/>
      <c r="U110" s="54"/>
      <c r="V110" s="58"/>
      <c r="AA110" s="189"/>
      <c r="AB110" s="50"/>
      <c r="AC110" s="51"/>
      <c r="AD110" s="51"/>
      <c r="AE110" s="51"/>
      <c r="AF110" s="51"/>
      <c r="AG110" s="51"/>
      <c r="AH110" s="190"/>
      <c r="AI110" s="51"/>
      <c r="AJ110" s="51"/>
      <c r="AK110" s="188"/>
      <c r="AL110" s="51"/>
      <c r="AM110" s="51"/>
      <c r="AN110" s="51"/>
      <c r="AO110" s="51"/>
      <c r="AP110" s="54"/>
      <c r="AQ110" s="54"/>
      <c r="AR110" s="54"/>
      <c r="AS110" s="54"/>
      <c r="AT110" s="54"/>
      <c r="AU110" s="54"/>
      <c r="AV110" s="58"/>
    </row>
    <row r="111" spans="1:48" s="59" customFormat="1" ht="20.100000000000001" customHeight="1">
      <c r="A111" s="189">
        <v>110</v>
      </c>
      <c r="B111" s="50" t="s">
        <v>587</v>
      </c>
      <c r="C111" s="51" t="s">
        <v>82</v>
      </c>
      <c r="D111" s="51" t="s">
        <v>489</v>
      </c>
      <c r="E111" s="51">
        <v>154</v>
      </c>
      <c r="F111" s="51">
        <v>1231</v>
      </c>
      <c r="G111" s="51">
        <v>1645</v>
      </c>
      <c r="H111" s="190">
        <v>1336</v>
      </c>
      <c r="I111" s="51" t="s">
        <v>341</v>
      </c>
      <c r="J111" s="51">
        <v>6</v>
      </c>
      <c r="K111" s="188" t="s">
        <v>342</v>
      </c>
      <c r="L111" s="51" t="s">
        <v>343</v>
      </c>
      <c r="M111" s="51" t="s">
        <v>60</v>
      </c>
      <c r="N111" s="51" t="s">
        <v>36</v>
      </c>
      <c r="O111" s="51" t="s">
        <v>344</v>
      </c>
      <c r="P111" s="54">
        <v>44070</v>
      </c>
      <c r="Q111" s="54"/>
      <c r="R111" s="54">
        <v>44070</v>
      </c>
      <c r="S111" s="54"/>
      <c r="T111" s="54"/>
      <c r="U111" s="54"/>
      <c r="V111" s="58"/>
      <c r="AA111" s="189"/>
      <c r="AB111" s="50"/>
      <c r="AC111" s="51"/>
      <c r="AD111" s="51"/>
      <c r="AE111" s="51"/>
      <c r="AF111" s="51"/>
      <c r="AG111" s="51"/>
      <c r="AH111" s="190"/>
      <c r="AI111" s="51"/>
      <c r="AJ111" s="51"/>
      <c r="AK111" s="188"/>
      <c r="AL111" s="51"/>
      <c r="AM111" s="51"/>
      <c r="AN111" s="51"/>
      <c r="AO111" s="51"/>
      <c r="AP111" s="54"/>
      <c r="AQ111" s="54"/>
      <c r="AR111" s="54"/>
      <c r="AS111" s="54"/>
      <c r="AT111" s="54"/>
      <c r="AU111" s="54"/>
      <c r="AV111" s="58"/>
    </row>
    <row r="112" spans="1:48" s="59" customFormat="1" ht="20.100000000000001" customHeight="1">
      <c r="A112" s="189">
        <v>111</v>
      </c>
      <c r="B112" s="50" t="s">
        <v>587</v>
      </c>
      <c r="C112" s="51" t="s">
        <v>82</v>
      </c>
      <c r="D112" s="51" t="s">
        <v>489</v>
      </c>
      <c r="E112" s="51">
        <v>154</v>
      </c>
      <c r="F112" s="51">
        <v>1231</v>
      </c>
      <c r="G112" s="51">
        <v>1645</v>
      </c>
      <c r="H112" s="190">
        <v>1336</v>
      </c>
      <c r="I112" s="51" t="s">
        <v>341</v>
      </c>
      <c r="J112" s="51">
        <v>7</v>
      </c>
      <c r="K112" s="188" t="s">
        <v>342</v>
      </c>
      <c r="L112" s="51" t="s">
        <v>343</v>
      </c>
      <c r="M112" s="51" t="s">
        <v>60</v>
      </c>
      <c r="N112" s="51" t="s">
        <v>36</v>
      </c>
      <c r="O112" s="51" t="s">
        <v>344</v>
      </c>
      <c r="P112" s="54">
        <v>44070</v>
      </c>
      <c r="Q112" s="54"/>
      <c r="R112" s="54">
        <v>44070</v>
      </c>
      <c r="S112" s="54"/>
      <c r="T112" s="54"/>
      <c r="U112" s="54"/>
      <c r="V112" s="58"/>
      <c r="AA112" s="189"/>
      <c r="AB112" s="50"/>
      <c r="AC112" s="51"/>
      <c r="AD112" s="51"/>
      <c r="AE112" s="51"/>
      <c r="AF112" s="51"/>
      <c r="AG112" s="51"/>
      <c r="AH112" s="190"/>
      <c r="AI112" s="51"/>
      <c r="AJ112" s="51"/>
      <c r="AK112" s="188"/>
      <c r="AL112" s="51"/>
      <c r="AM112" s="51"/>
      <c r="AN112" s="51"/>
      <c r="AO112" s="51"/>
      <c r="AP112" s="54"/>
      <c r="AQ112" s="54"/>
      <c r="AR112" s="54"/>
      <c r="AS112" s="54"/>
      <c r="AT112" s="54"/>
      <c r="AU112" s="54"/>
      <c r="AV112" s="58"/>
    </row>
    <row r="113" spans="1:48" s="59" customFormat="1" ht="20.100000000000001" customHeight="1">
      <c r="A113" s="189">
        <v>112</v>
      </c>
      <c r="B113" s="50" t="s">
        <v>587</v>
      </c>
      <c r="C113" s="51" t="s">
        <v>82</v>
      </c>
      <c r="D113" s="51" t="s">
        <v>489</v>
      </c>
      <c r="E113" s="51">
        <v>154</v>
      </c>
      <c r="F113" s="51">
        <v>1231</v>
      </c>
      <c r="G113" s="51">
        <v>1645</v>
      </c>
      <c r="H113" s="191">
        <v>1336</v>
      </c>
      <c r="I113" s="51" t="s">
        <v>341</v>
      </c>
      <c r="J113" s="51">
        <v>9</v>
      </c>
      <c r="K113" s="191" t="s">
        <v>342</v>
      </c>
      <c r="L113" s="51" t="s">
        <v>343</v>
      </c>
      <c r="M113" s="51" t="s">
        <v>60</v>
      </c>
      <c r="N113" s="51" t="s">
        <v>37</v>
      </c>
      <c r="O113" s="51" t="s">
        <v>1035</v>
      </c>
      <c r="P113" s="54">
        <v>44420</v>
      </c>
      <c r="Q113" s="54"/>
      <c r="R113" s="54"/>
      <c r="S113" s="54">
        <v>44420</v>
      </c>
      <c r="T113" s="54"/>
      <c r="U113" s="54"/>
      <c r="V113" s="58"/>
      <c r="AA113" s="189"/>
      <c r="AB113" s="50"/>
      <c r="AC113" s="51"/>
      <c r="AD113" s="51"/>
      <c r="AE113" s="51"/>
      <c r="AF113" s="51"/>
      <c r="AG113" s="51"/>
      <c r="AH113" s="191"/>
      <c r="AI113" s="51"/>
      <c r="AJ113" s="51"/>
      <c r="AK113" s="191"/>
      <c r="AL113" s="51"/>
      <c r="AM113" s="51"/>
      <c r="AN113" s="51"/>
      <c r="AO113" s="51"/>
      <c r="AP113" s="54"/>
      <c r="AQ113" s="54"/>
      <c r="AR113" s="54"/>
      <c r="AS113" s="54"/>
      <c r="AT113" s="54"/>
      <c r="AU113" s="54"/>
      <c r="AV113" s="58"/>
    </row>
    <row r="114" spans="1:48" s="59" customFormat="1" ht="20.100000000000001" customHeight="1">
      <c r="A114" s="189">
        <v>113</v>
      </c>
      <c r="B114" s="50" t="s">
        <v>588</v>
      </c>
      <c r="C114" s="51" t="s">
        <v>84</v>
      </c>
      <c r="D114" s="51" t="s">
        <v>490</v>
      </c>
      <c r="E114" s="51">
        <v>164</v>
      </c>
      <c r="F114" s="51">
        <v>1226</v>
      </c>
      <c r="G114" s="51">
        <v>2028</v>
      </c>
      <c r="H114" s="190">
        <v>1654</v>
      </c>
      <c r="I114" s="51" t="s">
        <v>346</v>
      </c>
      <c r="J114" s="51">
        <v>3</v>
      </c>
      <c r="K114" s="188" t="s">
        <v>347</v>
      </c>
      <c r="L114" s="51" t="s">
        <v>343</v>
      </c>
      <c r="M114" s="51" t="s">
        <v>60</v>
      </c>
      <c r="N114" s="51" t="s">
        <v>36</v>
      </c>
      <c r="O114" s="51" t="s">
        <v>344</v>
      </c>
      <c r="P114" s="54">
        <v>44070</v>
      </c>
      <c r="Q114" s="54"/>
      <c r="R114" s="54">
        <v>44070</v>
      </c>
      <c r="S114" s="54"/>
      <c r="T114" s="54"/>
      <c r="U114" s="54"/>
      <c r="V114" s="58"/>
      <c r="AA114" s="189"/>
      <c r="AB114" s="50"/>
      <c r="AC114" s="51"/>
      <c r="AD114" s="51"/>
      <c r="AE114" s="51"/>
      <c r="AF114" s="51"/>
      <c r="AG114" s="51"/>
      <c r="AH114" s="190"/>
      <c r="AI114" s="51"/>
      <c r="AJ114" s="51"/>
      <c r="AK114" s="188"/>
      <c r="AL114" s="51"/>
      <c r="AM114" s="51"/>
      <c r="AN114" s="51"/>
      <c r="AO114" s="51"/>
      <c r="AP114" s="54"/>
      <c r="AQ114" s="54"/>
      <c r="AR114" s="54"/>
      <c r="AS114" s="54"/>
      <c r="AT114" s="54"/>
      <c r="AU114" s="54"/>
      <c r="AV114" s="58"/>
    </row>
    <row r="115" spans="1:48" s="59" customFormat="1" ht="20.100000000000001" customHeight="1">
      <c r="A115" s="189">
        <v>114</v>
      </c>
      <c r="B115" s="50" t="s">
        <v>588</v>
      </c>
      <c r="C115" s="51" t="s">
        <v>84</v>
      </c>
      <c r="D115" s="51" t="s">
        <v>490</v>
      </c>
      <c r="E115" s="51">
        <v>164</v>
      </c>
      <c r="F115" s="51">
        <v>1226</v>
      </c>
      <c r="G115" s="51">
        <v>2028</v>
      </c>
      <c r="H115" s="190">
        <v>1654</v>
      </c>
      <c r="I115" s="51" t="s">
        <v>346</v>
      </c>
      <c r="J115" s="51">
        <v>4</v>
      </c>
      <c r="K115" s="188" t="s">
        <v>347</v>
      </c>
      <c r="L115" s="51" t="s">
        <v>343</v>
      </c>
      <c r="M115" s="51" t="s">
        <v>60</v>
      </c>
      <c r="N115" s="51" t="s">
        <v>36</v>
      </c>
      <c r="O115" s="51" t="s">
        <v>344</v>
      </c>
      <c r="P115" s="54">
        <v>44070</v>
      </c>
      <c r="Q115" s="54"/>
      <c r="R115" s="54">
        <v>44070</v>
      </c>
      <c r="S115" s="54"/>
      <c r="T115" s="54"/>
      <c r="U115" s="54"/>
      <c r="V115" s="58"/>
      <c r="AA115" s="189"/>
      <c r="AB115" s="50"/>
      <c r="AC115" s="51"/>
      <c r="AD115" s="51"/>
      <c r="AE115" s="51"/>
      <c r="AF115" s="51"/>
      <c r="AG115" s="51"/>
      <c r="AH115" s="190"/>
      <c r="AI115" s="51"/>
      <c r="AJ115" s="51"/>
      <c r="AK115" s="188"/>
      <c r="AL115" s="51"/>
      <c r="AM115" s="51"/>
      <c r="AN115" s="51"/>
      <c r="AO115" s="51"/>
      <c r="AP115" s="54"/>
      <c r="AQ115" s="54"/>
      <c r="AR115" s="54"/>
      <c r="AS115" s="54"/>
      <c r="AT115" s="54"/>
      <c r="AU115" s="54"/>
      <c r="AV115" s="58"/>
    </row>
    <row r="116" spans="1:48" s="59" customFormat="1" ht="20.100000000000001" customHeight="1">
      <c r="A116" s="189">
        <v>115</v>
      </c>
      <c r="B116" s="50" t="s">
        <v>588</v>
      </c>
      <c r="C116" s="51" t="s">
        <v>84</v>
      </c>
      <c r="D116" s="51" t="s">
        <v>490</v>
      </c>
      <c r="E116" s="51">
        <v>164</v>
      </c>
      <c r="F116" s="51">
        <v>1226</v>
      </c>
      <c r="G116" s="51">
        <v>2028</v>
      </c>
      <c r="H116" s="190">
        <v>1654</v>
      </c>
      <c r="I116" s="51" t="s">
        <v>346</v>
      </c>
      <c r="J116" s="51">
        <v>5</v>
      </c>
      <c r="K116" s="188" t="s">
        <v>347</v>
      </c>
      <c r="L116" s="51" t="s">
        <v>343</v>
      </c>
      <c r="M116" s="51" t="s">
        <v>60</v>
      </c>
      <c r="N116" s="51" t="s">
        <v>36</v>
      </c>
      <c r="O116" s="51" t="s">
        <v>344</v>
      </c>
      <c r="P116" s="54">
        <v>44070</v>
      </c>
      <c r="Q116" s="54"/>
      <c r="R116" s="54">
        <v>44070</v>
      </c>
      <c r="S116" s="54"/>
      <c r="T116" s="54"/>
      <c r="U116" s="54"/>
      <c r="V116" s="58"/>
      <c r="AA116" s="189"/>
      <c r="AB116" s="50"/>
      <c r="AC116" s="51"/>
      <c r="AD116" s="51"/>
      <c r="AE116" s="51"/>
      <c r="AF116" s="51"/>
      <c r="AG116" s="51"/>
      <c r="AH116" s="190"/>
      <c r="AI116" s="51"/>
      <c r="AJ116" s="51"/>
      <c r="AK116" s="188"/>
      <c r="AL116" s="51"/>
      <c r="AM116" s="51"/>
      <c r="AN116" s="51"/>
      <c r="AO116" s="51"/>
      <c r="AP116" s="54"/>
      <c r="AQ116" s="54"/>
      <c r="AR116" s="54"/>
      <c r="AS116" s="54"/>
      <c r="AT116" s="54"/>
      <c r="AU116" s="54"/>
      <c r="AV116" s="58"/>
    </row>
    <row r="117" spans="1:48" s="59" customFormat="1" ht="20.100000000000001" customHeight="1">
      <c r="A117" s="189">
        <v>116</v>
      </c>
      <c r="B117" s="50" t="s">
        <v>588</v>
      </c>
      <c r="C117" s="51" t="s">
        <v>84</v>
      </c>
      <c r="D117" s="51" t="s">
        <v>490</v>
      </c>
      <c r="E117" s="51">
        <v>164</v>
      </c>
      <c r="F117" s="51">
        <v>1226</v>
      </c>
      <c r="G117" s="51">
        <v>2028</v>
      </c>
      <c r="H117" s="190">
        <v>1654</v>
      </c>
      <c r="I117" s="51" t="s">
        <v>346</v>
      </c>
      <c r="J117" s="51">
        <v>6</v>
      </c>
      <c r="K117" s="188" t="s">
        <v>347</v>
      </c>
      <c r="L117" s="51" t="s">
        <v>343</v>
      </c>
      <c r="M117" s="51" t="s">
        <v>60</v>
      </c>
      <c r="N117" s="51" t="s">
        <v>36</v>
      </c>
      <c r="O117" s="51" t="s">
        <v>344</v>
      </c>
      <c r="P117" s="54">
        <v>44070</v>
      </c>
      <c r="Q117" s="54"/>
      <c r="R117" s="54">
        <v>44070</v>
      </c>
      <c r="S117" s="54"/>
      <c r="T117" s="54"/>
      <c r="U117" s="54"/>
      <c r="V117" s="58"/>
      <c r="AA117" s="189"/>
      <c r="AB117" s="50"/>
      <c r="AC117" s="51"/>
      <c r="AD117" s="51"/>
      <c r="AE117" s="51"/>
      <c r="AF117" s="51"/>
      <c r="AG117" s="51"/>
      <c r="AH117" s="190"/>
      <c r="AI117" s="51"/>
      <c r="AJ117" s="51"/>
      <c r="AK117" s="188"/>
      <c r="AL117" s="51"/>
      <c r="AM117" s="51"/>
      <c r="AN117" s="51"/>
      <c r="AO117" s="51"/>
      <c r="AP117" s="54"/>
      <c r="AQ117" s="54"/>
      <c r="AR117" s="54"/>
      <c r="AS117" s="54"/>
      <c r="AT117" s="54"/>
      <c r="AU117" s="54"/>
      <c r="AV117" s="58"/>
    </row>
    <row r="118" spans="1:48" s="59" customFormat="1" ht="20.100000000000001" customHeight="1">
      <c r="A118" s="189">
        <v>117</v>
      </c>
      <c r="B118" s="50" t="s">
        <v>588</v>
      </c>
      <c r="C118" s="51" t="s">
        <v>84</v>
      </c>
      <c r="D118" s="51" t="s">
        <v>490</v>
      </c>
      <c r="E118" s="51">
        <v>164</v>
      </c>
      <c r="F118" s="51">
        <v>1226</v>
      </c>
      <c r="G118" s="51">
        <v>2028</v>
      </c>
      <c r="H118" s="191">
        <v>1654</v>
      </c>
      <c r="I118" s="51" t="s">
        <v>346</v>
      </c>
      <c r="J118" s="51">
        <v>7</v>
      </c>
      <c r="K118" s="191" t="s">
        <v>347</v>
      </c>
      <c r="L118" s="51" t="s">
        <v>343</v>
      </c>
      <c r="M118" s="51" t="s">
        <v>60</v>
      </c>
      <c r="N118" s="51" t="s">
        <v>36</v>
      </c>
      <c r="O118" s="51" t="s">
        <v>344</v>
      </c>
      <c r="P118" s="54">
        <v>44070</v>
      </c>
      <c r="Q118" s="54"/>
      <c r="R118" s="54">
        <v>44070</v>
      </c>
      <c r="S118" s="54"/>
      <c r="T118" s="54"/>
      <c r="U118" s="54"/>
      <c r="V118" s="58"/>
      <c r="AA118" s="189"/>
      <c r="AB118" s="50"/>
      <c r="AC118" s="51"/>
      <c r="AD118" s="51"/>
      <c r="AE118" s="51"/>
      <c r="AF118" s="51"/>
      <c r="AG118" s="51"/>
      <c r="AH118" s="191"/>
      <c r="AI118" s="51"/>
      <c r="AJ118" s="51"/>
      <c r="AK118" s="191"/>
      <c r="AL118" s="51"/>
      <c r="AM118" s="51"/>
      <c r="AN118" s="51"/>
      <c r="AO118" s="51"/>
      <c r="AP118" s="54"/>
      <c r="AQ118" s="54"/>
      <c r="AR118" s="54"/>
      <c r="AS118" s="54"/>
      <c r="AT118" s="54"/>
      <c r="AU118" s="54"/>
      <c r="AV118" s="58"/>
    </row>
    <row r="119" spans="1:48" s="59" customFormat="1" ht="20.100000000000001" customHeight="1">
      <c r="A119" s="189">
        <v>118</v>
      </c>
      <c r="B119" s="50" t="s">
        <v>588</v>
      </c>
      <c r="C119" s="51" t="s">
        <v>84</v>
      </c>
      <c r="D119" s="51" t="s">
        <v>490</v>
      </c>
      <c r="E119" s="51">
        <v>164</v>
      </c>
      <c r="F119" s="51">
        <v>1226</v>
      </c>
      <c r="G119" s="51">
        <v>2028</v>
      </c>
      <c r="H119" s="190">
        <v>1654</v>
      </c>
      <c r="I119" s="51" t="s">
        <v>346</v>
      </c>
      <c r="J119" s="51">
        <v>9</v>
      </c>
      <c r="K119" s="188" t="s">
        <v>347</v>
      </c>
      <c r="L119" s="51" t="s">
        <v>343</v>
      </c>
      <c r="M119" s="51" t="s">
        <v>60</v>
      </c>
      <c r="N119" s="51" t="s">
        <v>37</v>
      </c>
      <c r="O119" s="51" t="s">
        <v>1035</v>
      </c>
      <c r="P119" s="54">
        <v>44420</v>
      </c>
      <c r="Q119" s="54"/>
      <c r="R119" s="54"/>
      <c r="S119" s="54">
        <v>44420</v>
      </c>
      <c r="T119" s="54"/>
      <c r="U119" s="54"/>
      <c r="V119" s="58"/>
      <c r="AA119" s="189"/>
      <c r="AB119" s="50"/>
      <c r="AC119" s="51"/>
      <c r="AD119" s="51"/>
      <c r="AE119" s="51"/>
      <c r="AF119" s="51"/>
      <c r="AG119" s="51"/>
      <c r="AH119" s="190"/>
      <c r="AI119" s="51"/>
      <c r="AJ119" s="51"/>
      <c r="AK119" s="188"/>
      <c r="AL119" s="51"/>
      <c r="AM119" s="51"/>
      <c r="AN119" s="51"/>
      <c r="AO119" s="51"/>
      <c r="AP119" s="54"/>
      <c r="AQ119" s="54"/>
      <c r="AR119" s="54"/>
      <c r="AS119" s="54"/>
      <c r="AT119" s="54"/>
      <c r="AU119" s="54"/>
      <c r="AV119" s="58"/>
    </row>
    <row r="120" spans="1:48" s="59" customFormat="1" ht="20.100000000000001" customHeight="1">
      <c r="A120" s="189">
        <v>119</v>
      </c>
      <c r="B120" s="50" t="s">
        <v>589</v>
      </c>
      <c r="C120" s="51" t="s">
        <v>82</v>
      </c>
      <c r="D120" s="51" t="s">
        <v>490</v>
      </c>
      <c r="E120" s="51">
        <v>168</v>
      </c>
      <c r="F120" s="51">
        <v>1495</v>
      </c>
      <c r="G120" s="51">
        <v>2989</v>
      </c>
      <c r="H120" s="190">
        <v>1999</v>
      </c>
      <c r="I120" s="51" t="s">
        <v>349</v>
      </c>
      <c r="J120" s="51">
        <v>11</v>
      </c>
      <c r="K120" s="188" t="s">
        <v>350</v>
      </c>
      <c r="L120" s="51" t="s">
        <v>329</v>
      </c>
      <c r="M120" s="51" t="s">
        <v>60</v>
      </c>
      <c r="N120" s="51" t="s">
        <v>38</v>
      </c>
      <c r="O120" s="51" t="s">
        <v>323</v>
      </c>
      <c r="P120" s="54">
        <v>44387</v>
      </c>
      <c r="Q120" s="54"/>
      <c r="R120" s="54"/>
      <c r="S120" s="54"/>
      <c r="T120" s="54">
        <v>44387</v>
      </c>
      <c r="U120" s="54"/>
      <c r="V120" s="58"/>
      <c r="AA120" s="189"/>
      <c r="AB120" s="50"/>
      <c r="AC120" s="51"/>
      <c r="AD120" s="51"/>
      <c r="AE120" s="51"/>
      <c r="AF120" s="51"/>
      <c r="AG120" s="51"/>
      <c r="AH120" s="190"/>
      <c r="AI120" s="51"/>
      <c r="AJ120" s="51"/>
      <c r="AK120" s="188"/>
      <c r="AL120" s="51"/>
      <c r="AM120" s="51"/>
      <c r="AN120" s="51"/>
      <c r="AO120" s="51"/>
      <c r="AP120" s="54"/>
      <c r="AQ120" s="54"/>
      <c r="AR120" s="54"/>
      <c r="AS120" s="54"/>
      <c r="AT120" s="54"/>
      <c r="AU120" s="54"/>
      <c r="AV120" s="58"/>
    </row>
    <row r="121" spans="1:48" s="59" customFormat="1" ht="20.100000000000001" customHeight="1">
      <c r="A121" s="189">
        <v>120</v>
      </c>
      <c r="B121" s="50" t="s">
        <v>590</v>
      </c>
      <c r="C121" s="51" t="s">
        <v>82</v>
      </c>
      <c r="D121" s="51" t="s">
        <v>489</v>
      </c>
      <c r="E121" s="51">
        <v>150</v>
      </c>
      <c r="F121" s="51">
        <v>1488</v>
      </c>
      <c r="G121" s="51">
        <v>2693</v>
      </c>
      <c r="H121" s="188">
        <v>1810</v>
      </c>
      <c r="I121" s="51" t="s">
        <v>352</v>
      </c>
      <c r="J121" s="51">
        <v>13</v>
      </c>
      <c r="K121" s="188" t="s">
        <v>353</v>
      </c>
      <c r="L121" s="51" t="s">
        <v>329</v>
      </c>
      <c r="M121" s="51" t="s">
        <v>60</v>
      </c>
      <c r="N121" s="51" t="s">
        <v>38</v>
      </c>
      <c r="O121" s="51" t="s">
        <v>323</v>
      </c>
      <c r="P121" s="54">
        <v>44387</v>
      </c>
      <c r="Q121" s="54"/>
      <c r="R121" s="54"/>
      <c r="S121" s="54"/>
      <c r="T121" s="54">
        <v>44387</v>
      </c>
      <c r="U121" s="54"/>
      <c r="V121" s="58"/>
      <c r="AA121" s="189"/>
      <c r="AB121" s="50"/>
      <c r="AC121" s="51"/>
      <c r="AD121" s="51"/>
      <c r="AE121" s="51"/>
      <c r="AF121" s="51"/>
      <c r="AG121" s="51"/>
      <c r="AH121" s="188"/>
      <c r="AI121" s="51"/>
      <c r="AJ121" s="51"/>
      <c r="AK121" s="188"/>
      <c r="AL121" s="51"/>
      <c r="AM121" s="51"/>
      <c r="AN121" s="51"/>
      <c r="AO121" s="51"/>
      <c r="AP121" s="54"/>
      <c r="AQ121" s="54"/>
      <c r="AR121" s="54"/>
      <c r="AS121" s="54"/>
      <c r="AT121" s="54"/>
      <c r="AU121" s="54"/>
      <c r="AV121" s="58"/>
    </row>
    <row r="122" spans="1:48" s="59" customFormat="1" ht="20.100000000000001" customHeight="1">
      <c r="A122" s="189">
        <v>121</v>
      </c>
      <c r="B122" s="50" t="s">
        <v>591</v>
      </c>
      <c r="C122" s="51" t="s">
        <v>82</v>
      </c>
      <c r="D122" s="51" t="s">
        <v>478</v>
      </c>
      <c r="E122" s="51">
        <v>120</v>
      </c>
      <c r="F122" s="51">
        <v>1470</v>
      </c>
      <c r="G122" s="51">
        <v>1735</v>
      </c>
      <c r="H122" s="190">
        <v>1180</v>
      </c>
      <c r="I122" s="51" t="s">
        <v>355</v>
      </c>
      <c r="J122" s="51">
        <v>17</v>
      </c>
      <c r="K122" s="188" t="s">
        <v>356</v>
      </c>
      <c r="L122" s="51" t="s">
        <v>322</v>
      </c>
      <c r="M122" s="51" t="s">
        <v>60</v>
      </c>
      <c r="N122" s="51" t="s">
        <v>38</v>
      </c>
      <c r="O122" s="51" t="s">
        <v>323</v>
      </c>
      <c r="P122" s="54">
        <v>44252</v>
      </c>
      <c r="Q122" s="54"/>
      <c r="R122" s="54"/>
      <c r="S122" s="54">
        <v>44301</v>
      </c>
      <c r="T122" s="54">
        <v>44252</v>
      </c>
      <c r="U122" s="54"/>
      <c r="V122" s="58"/>
      <c r="AA122" s="189"/>
      <c r="AB122" s="50"/>
      <c r="AC122" s="51"/>
      <c r="AD122" s="51"/>
      <c r="AE122" s="51"/>
      <c r="AF122" s="51"/>
      <c r="AG122" s="51"/>
      <c r="AH122" s="190"/>
      <c r="AI122" s="51"/>
      <c r="AJ122" s="51"/>
      <c r="AK122" s="188"/>
      <c r="AL122" s="51"/>
      <c r="AM122" s="51"/>
      <c r="AN122" s="51"/>
      <c r="AO122" s="51"/>
      <c r="AP122" s="54"/>
      <c r="AQ122" s="54"/>
      <c r="AR122" s="54"/>
      <c r="AS122" s="54"/>
      <c r="AT122" s="54"/>
      <c r="AU122" s="54"/>
      <c r="AV122" s="58"/>
    </row>
    <row r="123" spans="1:48" s="214" customFormat="1" ht="20.100000000000001" customHeight="1">
      <c r="A123" s="189">
        <v>122</v>
      </c>
      <c r="B123" s="215" t="s">
        <v>1467</v>
      </c>
      <c r="C123" s="216" t="s">
        <v>83</v>
      </c>
      <c r="D123" s="216" t="s">
        <v>486</v>
      </c>
      <c r="E123" s="217" t="s">
        <v>996</v>
      </c>
      <c r="F123" s="217" t="s">
        <v>986</v>
      </c>
      <c r="G123" s="217" t="s">
        <v>997</v>
      </c>
      <c r="H123" s="217" t="s">
        <v>998</v>
      </c>
      <c r="I123" s="215" t="s">
        <v>308</v>
      </c>
      <c r="J123" s="217" t="s">
        <v>990</v>
      </c>
      <c r="K123" s="215" t="s">
        <v>309</v>
      </c>
      <c r="L123" s="215" t="s">
        <v>310</v>
      </c>
      <c r="M123" s="215" t="s">
        <v>60</v>
      </c>
      <c r="N123" s="215" t="s">
        <v>36</v>
      </c>
      <c r="O123" s="215" t="s">
        <v>358</v>
      </c>
      <c r="P123" s="218" t="s">
        <v>991</v>
      </c>
      <c r="Q123" s="218" t="s">
        <v>648</v>
      </c>
      <c r="R123" s="218" t="s">
        <v>648</v>
      </c>
      <c r="S123" s="218" t="s">
        <v>648</v>
      </c>
      <c r="T123" s="218" t="s">
        <v>648</v>
      </c>
      <c r="U123" s="218" t="s">
        <v>992</v>
      </c>
      <c r="V123" s="245" t="s">
        <v>1002</v>
      </c>
      <c r="AA123" s="243"/>
      <c r="AB123" s="215"/>
      <c r="AC123" s="216"/>
      <c r="AD123" s="216"/>
      <c r="AE123" s="217"/>
      <c r="AF123" s="217"/>
      <c r="AG123" s="217"/>
      <c r="AH123" s="217"/>
      <c r="AI123" s="215"/>
      <c r="AJ123" s="217"/>
      <c r="AK123" s="215"/>
      <c r="AL123" s="215"/>
      <c r="AM123" s="215"/>
      <c r="AN123" s="215"/>
      <c r="AO123" s="215"/>
      <c r="AP123" s="218"/>
      <c r="AQ123" s="218"/>
      <c r="AR123" s="218"/>
      <c r="AS123" s="218"/>
      <c r="AT123" s="218"/>
      <c r="AU123" s="218"/>
      <c r="AV123" s="245"/>
    </row>
    <row r="124" spans="1:48" s="214" customFormat="1" ht="20.100000000000001" customHeight="1">
      <c r="A124" s="189">
        <v>123</v>
      </c>
      <c r="B124" s="215" t="s">
        <v>1467</v>
      </c>
      <c r="C124" s="216" t="s">
        <v>83</v>
      </c>
      <c r="D124" s="216" t="s">
        <v>486</v>
      </c>
      <c r="E124" s="217" t="s">
        <v>996</v>
      </c>
      <c r="F124" s="217" t="s">
        <v>986</v>
      </c>
      <c r="G124" s="217" t="s">
        <v>997</v>
      </c>
      <c r="H124" s="217" t="s">
        <v>998</v>
      </c>
      <c r="I124" s="215" t="s">
        <v>308</v>
      </c>
      <c r="J124" s="217" t="s">
        <v>993</v>
      </c>
      <c r="K124" s="215" t="s">
        <v>309</v>
      </c>
      <c r="L124" s="215" t="s">
        <v>310</v>
      </c>
      <c r="M124" s="215" t="s">
        <v>60</v>
      </c>
      <c r="N124" s="215" t="s">
        <v>36</v>
      </c>
      <c r="O124" s="215" t="s">
        <v>358</v>
      </c>
      <c r="P124" s="218" t="s">
        <v>999</v>
      </c>
      <c r="Q124" s="218" t="s">
        <v>648</v>
      </c>
      <c r="R124" s="218" t="s">
        <v>648</v>
      </c>
      <c r="S124" s="218" t="s">
        <v>648</v>
      </c>
      <c r="T124" s="218" t="s">
        <v>648</v>
      </c>
      <c r="U124" s="218" t="s">
        <v>992</v>
      </c>
      <c r="V124" s="245" t="s">
        <v>1002</v>
      </c>
      <c r="AA124" s="243"/>
      <c r="AB124" s="215"/>
      <c r="AC124" s="216"/>
      <c r="AD124" s="216"/>
      <c r="AE124" s="217"/>
      <c r="AF124" s="217"/>
      <c r="AG124" s="217"/>
      <c r="AH124" s="217"/>
      <c r="AI124" s="215"/>
      <c r="AJ124" s="217"/>
      <c r="AK124" s="215"/>
      <c r="AL124" s="215"/>
      <c r="AM124" s="215"/>
      <c r="AN124" s="215"/>
      <c r="AO124" s="215"/>
      <c r="AP124" s="218"/>
      <c r="AQ124" s="218"/>
      <c r="AR124" s="218"/>
      <c r="AS124" s="218"/>
      <c r="AT124" s="218"/>
      <c r="AU124" s="218"/>
      <c r="AV124" s="245"/>
    </row>
    <row r="125" spans="1:48" s="214" customFormat="1" ht="20.100000000000001" customHeight="1">
      <c r="A125" s="189">
        <v>124</v>
      </c>
      <c r="B125" s="215" t="s">
        <v>1467</v>
      </c>
      <c r="C125" s="216" t="s">
        <v>83</v>
      </c>
      <c r="D125" s="216" t="s">
        <v>486</v>
      </c>
      <c r="E125" s="217" t="s">
        <v>996</v>
      </c>
      <c r="F125" s="217" t="s">
        <v>986</v>
      </c>
      <c r="G125" s="217" t="s">
        <v>997</v>
      </c>
      <c r="H125" s="217" t="s">
        <v>998</v>
      </c>
      <c r="I125" s="215" t="s">
        <v>308</v>
      </c>
      <c r="J125" s="217" t="s">
        <v>994</v>
      </c>
      <c r="K125" s="215" t="s">
        <v>309</v>
      </c>
      <c r="L125" s="215" t="s">
        <v>310</v>
      </c>
      <c r="M125" s="215" t="s">
        <v>60</v>
      </c>
      <c r="N125" s="215" t="s">
        <v>36</v>
      </c>
      <c r="O125" s="215" t="s">
        <v>358</v>
      </c>
      <c r="P125" s="218" t="s">
        <v>999</v>
      </c>
      <c r="Q125" s="218" t="s">
        <v>648</v>
      </c>
      <c r="R125" s="218" t="s">
        <v>648</v>
      </c>
      <c r="S125" s="218" t="s">
        <v>648</v>
      </c>
      <c r="T125" s="218" t="s">
        <v>648</v>
      </c>
      <c r="U125" s="218" t="s">
        <v>992</v>
      </c>
      <c r="V125" s="245" t="s">
        <v>1002</v>
      </c>
      <c r="AA125" s="243"/>
      <c r="AB125" s="215"/>
      <c r="AC125" s="216"/>
      <c r="AD125" s="216"/>
      <c r="AE125" s="217"/>
      <c r="AF125" s="217"/>
      <c r="AG125" s="217"/>
      <c r="AH125" s="217"/>
      <c r="AI125" s="215"/>
      <c r="AJ125" s="217"/>
      <c r="AK125" s="215"/>
      <c r="AL125" s="215"/>
      <c r="AM125" s="215"/>
      <c r="AN125" s="215"/>
      <c r="AO125" s="215"/>
      <c r="AP125" s="218"/>
      <c r="AQ125" s="218"/>
      <c r="AR125" s="218"/>
      <c r="AS125" s="218"/>
      <c r="AT125" s="218"/>
      <c r="AU125" s="218"/>
      <c r="AV125" s="245"/>
    </row>
    <row r="126" spans="1:48" s="214" customFormat="1" ht="20.100000000000001" customHeight="1">
      <c r="A126" s="189">
        <v>125</v>
      </c>
      <c r="B126" s="215" t="s">
        <v>1467</v>
      </c>
      <c r="C126" s="216" t="s">
        <v>83</v>
      </c>
      <c r="D126" s="216" t="s">
        <v>486</v>
      </c>
      <c r="E126" s="217" t="s">
        <v>996</v>
      </c>
      <c r="F126" s="217" t="s">
        <v>986</v>
      </c>
      <c r="G126" s="217" t="s">
        <v>997</v>
      </c>
      <c r="H126" s="217" t="s">
        <v>998</v>
      </c>
      <c r="I126" s="215" t="s">
        <v>308</v>
      </c>
      <c r="J126" s="217" t="s">
        <v>1001</v>
      </c>
      <c r="K126" s="215" t="s">
        <v>309</v>
      </c>
      <c r="L126" s="215" t="s">
        <v>310</v>
      </c>
      <c r="M126" s="215" t="s">
        <v>60</v>
      </c>
      <c r="N126" s="215" t="s">
        <v>36</v>
      </c>
      <c r="O126" s="215" t="s">
        <v>358</v>
      </c>
      <c r="P126" s="218" t="s">
        <v>999</v>
      </c>
      <c r="Q126" s="218" t="s">
        <v>648</v>
      </c>
      <c r="R126" s="218" t="s">
        <v>648</v>
      </c>
      <c r="S126" s="218" t="s">
        <v>648</v>
      </c>
      <c r="T126" s="218" t="s">
        <v>648</v>
      </c>
      <c r="U126" s="218" t="s">
        <v>992</v>
      </c>
      <c r="V126" s="245" t="s">
        <v>1002</v>
      </c>
      <c r="AA126" s="243"/>
      <c r="AB126" s="215"/>
      <c r="AC126" s="216"/>
      <c r="AD126" s="216"/>
      <c r="AE126" s="217"/>
      <c r="AF126" s="217"/>
      <c r="AG126" s="217"/>
      <c r="AH126" s="217"/>
      <c r="AI126" s="215"/>
      <c r="AJ126" s="217"/>
      <c r="AK126" s="215"/>
      <c r="AL126" s="215"/>
      <c r="AM126" s="215"/>
      <c r="AN126" s="215"/>
      <c r="AO126" s="215"/>
      <c r="AP126" s="218"/>
      <c r="AQ126" s="218"/>
      <c r="AR126" s="218"/>
      <c r="AS126" s="218"/>
      <c r="AT126" s="218"/>
      <c r="AU126" s="218"/>
      <c r="AV126" s="245"/>
    </row>
    <row r="127" spans="1:48" s="59" customFormat="1" ht="20.100000000000001" customHeight="1">
      <c r="A127" s="189">
        <v>126</v>
      </c>
      <c r="B127" s="50" t="s">
        <v>1819</v>
      </c>
      <c r="C127" s="51" t="s">
        <v>83</v>
      </c>
      <c r="D127" s="51" t="s">
        <v>486</v>
      </c>
      <c r="E127" s="51" t="s">
        <v>996</v>
      </c>
      <c r="F127" s="51" t="s">
        <v>986</v>
      </c>
      <c r="G127" s="51" t="s">
        <v>997</v>
      </c>
      <c r="H127" s="190" t="s">
        <v>998</v>
      </c>
      <c r="I127" s="51" t="s">
        <v>1026</v>
      </c>
      <c r="J127" s="51" t="s">
        <v>1469</v>
      </c>
      <c r="K127" s="188" t="s">
        <v>309</v>
      </c>
      <c r="L127" s="51" t="s">
        <v>310</v>
      </c>
      <c r="M127" s="51" t="s">
        <v>60</v>
      </c>
      <c r="N127" s="51" t="s">
        <v>38</v>
      </c>
      <c r="O127" s="51" t="s">
        <v>358</v>
      </c>
      <c r="P127" s="54" t="s">
        <v>1820</v>
      </c>
      <c r="Q127" s="54" t="s">
        <v>648</v>
      </c>
      <c r="R127" s="54" t="s">
        <v>648</v>
      </c>
      <c r="S127" s="54" t="s">
        <v>648</v>
      </c>
      <c r="T127" s="54" t="s">
        <v>648</v>
      </c>
      <c r="U127" s="54" t="s">
        <v>648</v>
      </c>
      <c r="V127" s="58" t="s">
        <v>648</v>
      </c>
      <c r="AA127" s="189"/>
      <c r="AB127" s="50"/>
      <c r="AC127" s="51"/>
      <c r="AD127" s="51"/>
      <c r="AE127" s="51"/>
      <c r="AF127" s="51"/>
      <c r="AG127" s="51"/>
      <c r="AH127" s="190"/>
      <c r="AI127" s="51"/>
      <c r="AJ127" s="51"/>
      <c r="AK127" s="188"/>
      <c r="AL127" s="51"/>
      <c r="AM127" s="51"/>
      <c r="AN127" s="51"/>
      <c r="AO127" s="51"/>
      <c r="AP127" s="54"/>
      <c r="AQ127" s="54"/>
      <c r="AR127" s="54"/>
      <c r="AS127" s="54"/>
      <c r="AT127" s="54"/>
      <c r="AU127" s="54"/>
      <c r="AV127" s="58"/>
    </row>
    <row r="128" spans="1:48" s="59" customFormat="1" ht="20.100000000000001" customHeight="1">
      <c r="A128" s="189">
        <v>127</v>
      </c>
      <c r="B128" s="50" t="s">
        <v>1819</v>
      </c>
      <c r="C128" s="51" t="s">
        <v>83</v>
      </c>
      <c r="D128" s="51" t="s">
        <v>486</v>
      </c>
      <c r="E128" s="51" t="s">
        <v>996</v>
      </c>
      <c r="F128" s="51" t="s">
        <v>986</v>
      </c>
      <c r="G128" s="51" t="s">
        <v>997</v>
      </c>
      <c r="H128" s="190" t="s">
        <v>998</v>
      </c>
      <c r="I128" s="51" t="s">
        <v>1026</v>
      </c>
      <c r="J128" s="51" t="s">
        <v>1469</v>
      </c>
      <c r="K128" s="188" t="s">
        <v>309</v>
      </c>
      <c r="L128" s="51" t="s">
        <v>310</v>
      </c>
      <c r="M128" s="51" t="s">
        <v>60</v>
      </c>
      <c r="N128" s="51" t="s">
        <v>38</v>
      </c>
      <c r="O128" s="51" t="s">
        <v>358</v>
      </c>
      <c r="P128" s="54" t="s">
        <v>1820</v>
      </c>
      <c r="Q128" s="54" t="s">
        <v>648</v>
      </c>
      <c r="R128" s="54" t="s">
        <v>648</v>
      </c>
      <c r="S128" s="54" t="s">
        <v>648</v>
      </c>
      <c r="T128" s="54" t="s">
        <v>648</v>
      </c>
      <c r="U128" s="54" t="s">
        <v>648</v>
      </c>
      <c r="V128" s="58" t="s">
        <v>648</v>
      </c>
      <c r="AA128" s="189"/>
      <c r="AB128" s="50"/>
      <c r="AC128" s="51"/>
      <c r="AD128" s="51"/>
      <c r="AE128" s="51"/>
      <c r="AF128" s="51"/>
      <c r="AG128" s="51"/>
      <c r="AH128" s="190"/>
      <c r="AI128" s="51"/>
      <c r="AJ128" s="51"/>
      <c r="AK128" s="188"/>
      <c r="AL128" s="51"/>
      <c r="AM128" s="51"/>
      <c r="AN128" s="51"/>
      <c r="AO128" s="51"/>
      <c r="AP128" s="54"/>
      <c r="AQ128" s="54"/>
      <c r="AR128" s="54"/>
      <c r="AS128" s="54"/>
      <c r="AT128" s="54"/>
      <c r="AU128" s="54"/>
      <c r="AV128" s="58"/>
    </row>
    <row r="129" spans="1:48" s="214" customFormat="1" ht="20.100000000000001" customHeight="1">
      <c r="A129" s="189">
        <v>128</v>
      </c>
      <c r="B129" s="215" t="s">
        <v>1468</v>
      </c>
      <c r="C129" s="216" t="s">
        <v>82</v>
      </c>
      <c r="D129" s="216" t="s">
        <v>473</v>
      </c>
      <c r="E129" s="217" t="s">
        <v>985</v>
      </c>
      <c r="F129" s="217" t="s">
        <v>986</v>
      </c>
      <c r="G129" s="217" t="s">
        <v>987</v>
      </c>
      <c r="H129" s="217" t="s">
        <v>988</v>
      </c>
      <c r="I129" s="215" t="s">
        <v>305</v>
      </c>
      <c r="J129" s="217" t="s">
        <v>503</v>
      </c>
      <c r="K129" s="215" t="s">
        <v>213</v>
      </c>
      <c r="L129" s="215" t="s">
        <v>306</v>
      </c>
      <c r="M129" s="215" t="s">
        <v>60</v>
      </c>
      <c r="N129" s="215" t="s">
        <v>36</v>
      </c>
      <c r="O129" s="215" t="s">
        <v>358</v>
      </c>
      <c r="P129" s="218" t="s">
        <v>989</v>
      </c>
      <c r="Q129" s="218" t="s">
        <v>648</v>
      </c>
      <c r="R129" s="218" t="s">
        <v>648</v>
      </c>
      <c r="S129" s="218" t="s">
        <v>648</v>
      </c>
      <c r="T129" s="218" t="s">
        <v>648</v>
      </c>
      <c r="U129" s="218">
        <v>44463</v>
      </c>
      <c r="V129" s="245" t="s">
        <v>1003</v>
      </c>
      <c r="AA129" s="243"/>
      <c r="AB129" s="215"/>
      <c r="AC129" s="216"/>
      <c r="AD129" s="216"/>
      <c r="AE129" s="217"/>
      <c r="AF129" s="217"/>
      <c r="AG129" s="217"/>
      <c r="AH129" s="217"/>
      <c r="AI129" s="215"/>
      <c r="AJ129" s="217"/>
      <c r="AK129" s="215"/>
      <c r="AL129" s="215"/>
      <c r="AM129" s="215"/>
      <c r="AN129" s="215"/>
      <c r="AO129" s="215"/>
      <c r="AP129" s="218"/>
      <c r="AQ129" s="218"/>
      <c r="AR129" s="218"/>
      <c r="AS129" s="218"/>
      <c r="AT129" s="218"/>
      <c r="AU129" s="218"/>
      <c r="AV129" s="245"/>
    </row>
    <row r="130" spans="1:48" s="214" customFormat="1" ht="20.100000000000001" customHeight="1">
      <c r="A130" s="189">
        <v>129</v>
      </c>
      <c r="B130" s="215" t="s">
        <v>1468</v>
      </c>
      <c r="C130" s="216" t="s">
        <v>82</v>
      </c>
      <c r="D130" s="216" t="s">
        <v>473</v>
      </c>
      <c r="E130" s="217" t="s">
        <v>985</v>
      </c>
      <c r="F130" s="217" t="s">
        <v>986</v>
      </c>
      <c r="G130" s="217" t="s">
        <v>987</v>
      </c>
      <c r="H130" s="217" t="s">
        <v>988</v>
      </c>
      <c r="I130" s="215" t="s">
        <v>305</v>
      </c>
      <c r="J130" s="217" t="s">
        <v>990</v>
      </c>
      <c r="K130" s="215" t="s">
        <v>213</v>
      </c>
      <c r="L130" s="215" t="s">
        <v>306</v>
      </c>
      <c r="M130" s="215" t="s">
        <v>60</v>
      </c>
      <c r="N130" s="215" t="s">
        <v>36</v>
      </c>
      <c r="O130" s="215" t="s">
        <v>358</v>
      </c>
      <c r="P130" s="218" t="s">
        <v>991</v>
      </c>
      <c r="Q130" s="218" t="s">
        <v>648</v>
      </c>
      <c r="R130" s="218" t="s">
        <v>648</v>
      </c>
      <c r="S130" s="218" t="s">
        <v>648</v>
      </c>
      <c r="T130" s="218" t="s">
        <v>648</v>
      </c>
      <c r="U130" s="218" t="s">
        <v>992</v>
      </c>
      <c r="V130" s="245" t="s">
        <v>1003</v>
      </c>
      <c r="AA130" s="243"/>
      <c r="AB130" s="215"/>
      <c r="AC130" s="216"/>
      <c r="AD130" s="216"/>
      <c r="AE130" s="217"/>
      <c r="AF130" s="217"/>
      <c r="AG130" s="217"/>
      <c r="AH130" s="217"/>
      <c r="AI130" s="215"/>
      <c r="AJ130" s="217"/>
      <c r="AK130" s="215"/>
      <c r="AL130" s="215"/>
      <c r="AM130" s="215"/>
      <c r="AN130" s="215"/>
      <c r="AO130" s="215"/>
      <c r="AP130" s="218"/>
      <c r="AQ130" s="218"/>
      <c r="AR130" s="218"/>
      <c r="AS130" s="218"/>
      <c r="AT130" s="218"/>
      <c r="AU130" s="218"/>
      <c r="AV130" s="245"/>
    </row>
    <row r="131" spans="1:48" s="214" customFormat="1" ht="20.100000000000001" customHeight="1">
      <c r="A131" s="189">
        <v>130</v>
      </c>
      <c r="B131" s="215" t="s">
        <v>1468</v>
      </c>
      <c r="C131" s="216" t="s">
        <v>82</v>
      </c>
      <c r="D131" s="216" t="s">
        <v>473</v>
      </c>
      <c r="E131" s="217" t="s">
        <v>985</v>
      </c>
      <c r="F131" s="217" t="s">
        <v>986</v>
      </c>
      <c r="G131" s="217" t="s">
        <v>987</v>
      </c>
      <c r="H131" s="217" t="s">
        <v>988</v>
      </c>
      <c r="I131" s="215" t="s">
        <v>305</v>
      </c>
      <c r="J131" s="217" t="s">
        <v>993</v>
      </c>
      <c r="K131" s="215" t="s">
        <v>213</v>
      </c>
      <c r="L131" s="215" t="s">
        <v>306</v>
      </c>
      <c r="M131" s="215" t="s">
        <v>60</v>
      </c>
      <c r="N131" s="215" t="s">
        <v>36</v>
      </c>
      <c r="O131" s="215" t="s">
        <v>358</v>
      </c>
      <c r="P131" s="218" t="s">
        <v>991</v>
      </c>
      <c r="Q131" s="218" t="s">
        <v>648</v>
      </c>
      <c r="R131" s="218" t="s">
        <v>648</v>
      </c>
      <c r="S131" s="218" t="s">
        <v>648</v>
      </c>
      <c r="T131" s="218" t="s">
        <v>648</v>
      </c>
      <c r="U131" s="218" t="s">
        <v>992</v>
      </c>
      <c r="V131" s="245" t="s">
        <v>1003</v>
      </c>
      <c r="AA131" s="243"/>
      <c r="AB131" s="215"/>
      <c r="AC131" s="216"/>
      <c r="AD131" s="216"/>
      <c r="AE131" s="217"/>
      <c r="AF131" s="217"/>
      <c r="AG131" s="217"/>
      <c r="AH131" s="217"/>
      <c r="AI131" s="215"/>
      <c r="AJ131" s="217"/>
      <c r="AK131" s="215"/>
      <c r="AL131" s="215"/>
      <c r="AM131" s="215"/>
      <c r="AN131" s="215"/>
      <c r="AO131" s="215"/>
      <c r="AP131" s="218"/>
      <c r="AQ131" s="218"/>
      <c r="AR131" s="218"/>
      <c r="AS131" s="218"/>
      <c r="AT131" s="218"/>
      <c r="AU131" s="218"/>
      <c r="AV131" s="245"/>
    </row>
    <row r="132" spans="1:48" s="59" customFormat="1" ht="20.100000000000001" customHeight="1">
      <c r="A132" s="189">
        <v>131</v>
      </c>
      <c r="B132" s="215" t="s">
        <v>1468</v>
      </c>
      <c r="C132" s="216" t="s">
        <v>82</v>
      </c>
      <c r="D132" s="216" t="s">
        <v>473</v>
      </c>
      <c r="E132" s="217" t="s">
        <v>985</v>
      </c>
      <c r="F132" s="217" t="s">
        <v>986</v>
      </c>
      <c r="G132" s="217" t="s">
        <v>987</v>
      </c>
      <c r="H132" s="217" t="s">
        <v>988</v>
      </c>
      <c r="I132" s="215" t="s">
        <v>305</v>
      </c>
      <c r="J132" s="217" t="s">
        <v>994</v>
      </c>
      <c r="K132" s="215" t="s">
        <v>213</v>
      </c>
      <c r="L132" s="215" t="s">
        <v>306</v>
      </c>
      <c r="M132" s="215" t="s">
        <v>60</v>
      </c>
      <c r="N132" s="215" t="s">
        <v>36</v>
      </c>
      <c r="O132" s="215" t="s">
        <v>358</v>
      </c>
      <c r="P132" s="218" t="s">
        <v>995</v>
      </c>
      <c r="Q132" s="218" t="s">
        <v>648</v>
      </c>
      <c r="R132" s="218" t="s">
        <v>648</v>
      </c>
      <c r="S132" s="218" t="s">
        <v>648</v>
      </c>
      <c r="T132" s="218" t="s">
        <v>648</v>
      </c>
      <c r="U132" s="218" t="s">
        <v>992</v>
      </c>
      <c r="V132" s="245" t="s">
        <v>1003</v>
      </c>
      <c r="AA132" s="243"/>
      <c r="AB132" s="215"/>
      <c r="AC132" s="216"/>
      <c r="AD132" s="216"/>
      <c r="AE132" s="217"/>
      <c r="AF132" s="217"/>
      <c r="AG132" s="217"/>
      <c r="AH132" s="217"/>
      <c r="AI132" s="215"/>
      <c r="AJ132" s="217"/>
      <c r="AK132" s="215"/>
      <c r="AL132" s="215"/>
      <c r="AM132" s="215"/>
      <c r="AN132" s="215"/>
      <c r="AO132" s="215"/>
      <c r="AP132" s="218"/>
      <c r="AQ132" s="218"/>
      <c r="AR132" s="218"/>
      <c r="AS132" s="218"/>
      <c r="AT132" s="218"/>
      <c r="AU132" s="218"/>
      <c r="AV132" s="245"/>
    </row>
    <row r="133" spans="1:48" s="59" customFormat="1" ht="20.100000000000001" customHeight="1">
      <c r="A133" s="189">
        <v>132</v>
      </c>
      <c r="B133" s="50" t="s">
        <v>1468</v>
      </c>
      <c r="C133" s="51" t="s">
        <v>82</v>
      </c>
      <c r="D133" s="51" t="s">
        <v>473</v>
      </c>
      <c r="E133" s="51" t="s">
        <v>985</v>
      </c>
      <c r="F133" s="51" t="s">
        <v>986</v>
      </c>
      <c r="G133" s="51" t="s">
        <v>1766</v>
      </c>
      <c r="H133" s="188" t="s">
        <v>1767</v>
      </c>
      <c r="I133" s="51" t="s">
        <v>1027</v>
      </c>
      <c r="J133" s="51" t="s">
        <v>1469</v>
      </c>
      <c r="K133" s="188" t="s">
        <v>213</v>
      </c>
      <c r="L133" s="51" t="s">
        <v>306</v>
      </c>
      <c r="M133" s="51" t="s">
        <v>60</v>
      </c>
      <c r="N133" s="51" t="s">
        <v>38</v>
      </c>
      <c r="O133" s="51" t="s">
        <v>358</v>
      </c>
      <c r="P133" s="54">
        <v>44463</v>
      </c>
      <c r="Q133" s="54"/>
      <c r="R133" s="54"/>
      <c r="S133" s="54">
        <v>44463</v>
      </c>
      <c r="T133" s="54">
        <v>44511</v>
      </c>
      <c r="U133" s="54"/>
      <c r="V133" s="58"/>
      <c r="AA133" s="189"/>
      <c r="AB133" s="50"/>
      <c r="AC133" s="51"/>
      <c r="AD133" s="51"/>
      <c r="AE133" s="51"/>
      <c r="AF133" s="51"/>
      <c r="AG133" s="51"/>
      <c r="AH133" s="188"/>
      <c r="AI133" s="51"/>
      <c r="AJ133" s="51"/>
      <c r="AK133" s="188"/>
      <c r="AL133" s="51"/>
      <c r="AM133" s="51"/>
      <c r="AN133" s="51"/>
      <c r="AO133" s="51"/>
      <c r="AP133" s="54"/>
      <c r="AQ133" s="54"/>
      <c r="AR133" s="54"/>
      <c r="AS133" s="54"/>
      <c r="AT133" s="54"/>
      <c r="AU133" s="54"/>
      <c r="AV133" s="58"/>
    </row>
    <row r="134" spans="1:48" s="59" customFormat="1" ht="20.100000000000001" customHeight="1">
      <c r="A134" s="189">
        <v>133</v>
      </c>
      <c r="B134" s="50" t="s">
        <v>592</v>
      </c>
      <c r="C134" s="51" t="s">
        <v>361</v>
      </c>
      <c r="D134" s="51" t="s">
        <v>490</v>
      </c>
      <c r="E134" s="51">
        <v>150</v>
      </c>
      <c r="F134" s="51">
        <v>1220</v>
      </c>
      <c r="G134" s="51">
        <v>1938</v>
      </c>
      <c r="H134" s="188" t="s">
        <v>1768</v>
      </c>
      <c r="I134" s="51" t="s">
        <v>362</v>
      </c>
      <c r="J134" s="51">
        <v>2</v>
      </c>
      <c r="K134" s="188" t="s">
        <v>342</v>
      </c>
      <c r="L134" s="51" t="s">
        <v>363</v>
      </c>
      <c r="M134" s="51" t="s">
        <v>60</v>
      </c>
      <c r="N134" s="51" t="s">
        <v>36</v>
      </c>
      <c r="O134" s="51" t="s">
        <v>364</v>
      </c>
      <c r="P134" s="54">
        <v>44530</v>
      </c>
      <c r="Q134" s="54"/>
      <c r="R134" s="54"/>
      <c r="S134" s="54"/>
      <c r="T134" s="54"/>
      <c r="U134" s="54"/>
      <c r="V134" s="58"/>
      <c r="AA134" s="189"/>
      <c r="AB134" s="50"/>
      <c r="AC134" s="51"/>
      <c r="AD134" s="51"/>
      <c r="AE134" s="51"/>
      <c r="AF134" s="51"/>
      <c r="AG134" s="51"/>
      <c r="AH134" s="188"/>
      <c r="AI134" s="51"/>
      <c r="AJ134" s="51"/>
      <c r="AK134" s="188"/>
      <c r="AL134" s="51"/>
      <c r="AM134" s="51"/>
      <c r="AN134" s="51"/>
      <c r="AO134" s="51"/>
      <c r="AP134" s="54"/>
      <c r="AQ134" s="54"/>
      <c r="AR134" s="54"/>
      <c r="AS134" s="54"/>
      <c r="AT134" s="54"/>
      <c r="AU134" s="54"/>
      <c r="AV134" s="58"/>
    </row>
    <row r="135" spans="1:48" s="59" customFormat="1" ht="20.100000000000001" customHeight="1">
      <c r="A135" s="189">
        <v>134</v>
      </c>
      <c r="B135" s="50" t="s">
        <v>593</v>
      </c>
      <c r="C135" s="51" t="s">
        <v>361</v>
      </c>
      <c r="D135" s="51" t="s">
        <v>491</v>
      </c>
      <c r="E135" s="51">
        <v>195</v>
      </c>
      <c r="F135" s="51">
        <v>1230</v>
      </c>
      <c r="G135" s="51">
        <v>3120</v>
      </c>
      <c r="H135" s="188" t="s">
        <v>1769</v>
      </c>
      <c r="I135" s="51" t="s">
        <v>366</v>
      </c>
      <c r="J135" s="51">
        <v>2</v>
      </c>
      <c r="K135" s="188" t="s">
        <v>367</v>
      </c>
      <c r="L135" s="51" t="s">
        <v>363</v>
      </c>
      <c r="M135" s="51" t="s">
        <v>60</v>
      </c>
      <c r="N135" s="51" t="s">
        <v>36</v>
      </c>
      <c r="O135" s="51" t="s">
        <v>364</v>
      </c>
      <c r="P135" s="54">
        <v>44530</v>
      </c>
      <c r="Q135" s="54"/>
      <c r="R135" s="54"/>
      <c r="S135" s="54"/>
      <c r="T135" s="54"/>
      <c r="U135" s="54"/>
      <c r="V135" s="58"/>
      <c r="AA135" s="189"/>
      <c r="AB135" s="50"/>
      <c r="AC135" s="51"/>
      <c r="AD135" s="51"/>
      <c r="AE135" s="51"/>
      <c r="AF135" s="51"/>
      <c r="AG135" s="51"/>
      <c r="AH135" s="188"/>
      <c r="AI135" s="51"/>
      <c r="AJ135" s="51"/>
      <c r="AK135" s="188"/>
      <c r="AL135" s="51"/>
      <c r="AM135" s="51"/>
      <c r="AN135" s="51"/>
      <c r="AO135" s="51"/>
      <c r="AP135" s="54"/>
      <c r="AQ135" s="54"/>
      <c r="AR135" s="54"/>
      <c r="AS135" s="54"/>
      <c r="AT135" s="54"/>
      <c r="AU135" s="54"/>
      <c r="AV135" s="58"/>
    </row>
    <row r="136" spans="1:48" s="59" customFormat="1" ht="20.100000000000001" customHeight="1">
      <c r="A136" s="189">
        <v>135</v>
      </c>
      <c r="B136" s="50" t="s">
        <v>594</v>
      </c>
      <c r="C136" s="51" t="s">
        <v>87</v>
      </c>
      <c r="D136" s="51" t="s">
        <v>475</v>
      </c>
      <c r="E136" s="51">
        <v>130</v>
      </c>
      <c r="F136" s="51">
        <v>1488</v>
      </c>
      <c r="G136" s="51">
        <v>2343</v>
      </c>
      <c r="H136" s="188" t="s">
        <v>1770</v>
      </c>
      <c r="I136" s="51" t="s">
        <v>369</v>
      </c>
      <c r="J136" s="51">
        <v>5</v>
      </c>
      <c r="K136" s="188" t="s">
        <v>331</v>
      </c>
      <c r="L136" s="51" t="s">
        <v>370</v>
      </c>
      <c r="M136" s="51" t="s">
        <v>60</v>
      </c>
      <c r="N136" s="51" t="s">
        <v>38</v>
      </c>
      <c r="O136" s="51" t="s">
        <v>1030</v>
      </c>
      <c r="P136" s="54">
        <v>44431</v>
      </c>
      <c r="Q136" s="54"/>
      <c r="R136" s="54"/>
      <c r="S136" s="54"/>
      <c r="T136" s="54">
        <v>44431</v>
      </c>
      <c r="U136" s="54"/>
      <c r="V136" s="58"/>
      <c r="AA136" s="189"/>
      <c r="AB136" s="50"/>
      <c r="AC136" s="51"/>
      <c r="AD136" s="51"/>
      <c r="AE136" s="51"/>
      <c r="AF136" s="51"/>
      <c r="AG136" s="51"/>
      <c r="AH136" s="188"/>
      <c r="AI136" s="51"/>
      <c r="AJ136" s="51"/>
      <c r="AK136" s="188"/>
      <c r="AL136" s="51"/>
      <c r="AM136" s="51"/>
      <c r="AN136" s="51"/>
      <c r="AO136" s="51"/>
      <c r="AP136" s="54"/>
      <c r="AQ136" s="54"/>
      <c r="AR136" s="54"/>
      <c r="AS136" s="54"/>
      <c r="AT136" s="54"/>
      <c r="AU136" s="54"/>
      <c r="AV136" s="58"/>
    </row>
    <row r="137" spans="1:48" s="59" customFormat="1" ht="20.100000000000001" customHeight="1">
      <c r="A137" s="189">
        <v>136</v>
      </c>
      <c r="B137" s="50" t="s">
        <v>1771</v>
      </c>
      <c r="C137" s="51" t="s">
        <v>87</v>
      </c>
      <c r="D137" s="51" t="s">
        <v>475</v>
      </c>
      <c r="E137" s="51" t="s">
        <v>1604</v>
      </c>
      <c r="F137" s="51" t="s">
        <v>1605</v>
      </c>
      <c r="G137" s="51" t="s">
        <v>1606</v>
      </c>
      <c r="H137" s="205" t="s">
        <v>1607</v>
      </c>
      <c r="I137" s="51" t="s">
        <v>369</v>
      </c>
      <c r="J137" s="51" t="s">
        <v>503</v>
      </c>
      <c r="K137" s="205" t="s">
        <v>331</v>
      </c>
      <c r="L137" s="51" t="s">
        <v>370</v>
      </c>
      <c r="M137" s="51" t="s">
        <v>60</v>
      </c>
      <c r="N137" s="51" t="s">
        <v>38</v>
      </c>
      <c r="O137" s="51" t="s">
        <v>1030</v>
      </c>
      <c r="P137" s="54" t="s">
        <v>1608</v>
      </c>
      <c r="Q137" s="54"/>
      <c r="R137" s="54"/>
      <c r="S137" s="54"/>
      <c r="T137" s="54" t="s">
        <v>1608</v>
      </c>
      <c r="U137" s="54"/>
      <c r="V137" s="58" t="s">
        <v>1609</v>
      </c>
      <c r="AA137" s="189"/>
      <c r="AB137" s="50"/>
      <c r="AC137" s="51"/>
      <c r="AD137" s="51"/>
      <c r="AE137" s="51"/>
      <c r="AF137" s="51"/>
      <c r="AG137" s="51"/>
      <c r="AH137" s="205"/>
      <c r="AI137" s="51"/>
      <c r="AJ137" s="51"/>
      <c r="AK137" s="205"/>
      <c r="AL137" s="51"/>
      <c r="AM137" s="51"/>
      <c r="AN137" s="51"/>
      <c r="AO137" s="51"/>
      <c r="AP137" s="54"/>
      <c r="AQ137" s="54"/>
      <c r="AR137" s="54"/>
      <c r="AS137" s="54"/>
      <c r="AT137" s="54"/>
      <c r="AU137" s="54"/>
      <c r="AV137" s="58"/>
    </row>
    <row r="138" spans="1:48" s="59" customFormat="1" ht="20.100000000000001" customHeight="1">
      <c r="A138" s="189">
        <v>137</v>
      </c>
      <c r="B138" s="50" t="s">
        <v>595</v>
      </c>
      <c r="C138" s="51" t="s">
        <v>82</v>
      </c>
      <c r="D138" s="51" t="s">
        <v>477</v>
      </c>
      <c r="E138" s="51">
        <v>106</v>
      </c>
      <c r="F138" s="51">
        <v>900</v>
      </c>
      <c r="G138" s="51">
        <v>1618</v>
      </c>
      <c r="H138" s="190">
        <v>1798</v>
      </c>
      <c r="I138" s="51" t="s">
        <v>232</v>
      </c>
      <c r="J138" s="51">
        <v>16</v>
      </c>
      <c r="K138" s="188" t="s">
        <v>219</v>
      </c>
      <c r="L138" s="51" t="s">
        <v>226</v>
      </c>
      <c r="M138" s="51" t="s">
        <v>60</v>
      </c>
      <c r="N138" s="51" t="s">
        <v>36</v>
      </c>
      <c r="O138" s="51" t="s">
        <v>233</v>
      </c>
      <c r="P138" s="54">
        <v>44022</v>
      </c>
      <c r="Q138" s="54"/>
      <c r="R138" s="54"/>
      <c r="S138" s="54"/>
      <c r="T138" s="54"/>
      <c r="U138" s="54"/>
      <c r="V138" s="58"/>
      <c r="AA138" s="189"/>
      <c r="AB138" s="50"/>
      <c r="AC138" s="51"/>
      <c r="AD138" s="51"/>
      <c r="AE138" s="51"/>
      <c r="AF138" s="51"/>
      <c r="AG138" s="51"/>
      <c r="AH138" s="190"/>
      <c r="AI138" s="51"/>
      <c r="AJ138" s="51"/>
      <c r="AK138" s="188"/>
      <c r="AL138" s="51"/>
      <c r="AM138" s="51"/>
      <c r="AN138" s="51"/>
      <c r="AO138" s="51"/>
      <c r="AP138" s="54"/>
      <c r="AQ138" s="54"/>
      <c r="AR138" s="54"/>
      <c r="AS138" s="54"/>
      <c r="AT138" s="54"/>
      <c r="AU138" s="54"/>
      <c r="AV138" s="58"/>
    </row>
    <row r="139" spans="1:48" s="59" customFormat="1" ht="20.100000000000001" customHeight="1">
      <c r="A139" s="189">
        <v>138</v>
      </c>
      <c r="B139" s="50" t="s">
        <v>596</v>
      </c>
      <c r="C139" s="51" t="s">
        <v>83</v>
      </c>
      <c r="D139" s="51" t="s">
        <v>477</v>
      </c>
      <c r="E139" s="51">
        <v>106</v>
      </c>
      <c r="F139" s="51">
        <v>900</v>
      </c>
      <c r="G139" s="51">
        <v>1632</v>
      </c>
      <c r="H139" s="190">
        <v>1813</v>
      </c>
      <c r="I139" s="51" t="s">
        <v>232</v>
      </c>
      <c r="J139" s="51">
        <v>17</v>
      </c>
      <c r="K139" s="188" t="s">
        <v>219</v>
      </c>
      <c r="L139" s="51" t="s">
        <v>226</v>
      </c>
      <c r="M139" s="51" t="s">
        <v>60</v>
      </c>
      <c r="N139" s="51" t="s">
        <v>36</v>
      </c>
      <c r="O139" s="51" t="s">
        <v>233</v>
      </c>
      <c r="P139" s="54">
        <v>44022</v>
      </c>
      <c r="Q139" s="54"/>
      <c r="R139" s="54"/>
      <c r="S139" s="54"/>
      <c r="T139" s="54"/>
      <c r="U139" s="54"/>
      <c r="V139" s="58"/>
      <c r="AA139" s="189"/>
      <c r="AB139" s="50"/>
      <c r="AC139" s="51"/>
      <c r="AD139" s="51"/>
      <c r="AE139" s="51"/>
      <c r="AF139" s="51"/>
      <c r="AG139" s="51"/>
      <c r="AH139" s="190"/>
      <c r="AI139" s="51"/>
      <c r="AJ139" s="51"/>
      <c r="AK139" s="188"/>
      <c r="AL139" s="51"/>
      <c r="AM139" s="51"/>
      <c r="AN139" s="51"/>
      <c r="AO139" s="51"/>
      <c r="AP139" s="54"/>
      <c r="AQ139" s="54"/>
      <c r="AR139" s="54"/>
      <c r="AS139" s="54"/>
      <c r="AT139" s="54"/>
      <c r="AU139" s="54"/>
      <c r="AV139" s="58"/>
    </row>
    <row r="140" spans="1:48" s="59" customFormat="1" ht="20.100000000000001" customHeight="1">
      <c r="A140" s="189">
        <v>139</v>
      </c>
      <c r="B140" s="50" t="s">
        <v>597</v>
      </c>
      <c r="C140" s="51" t="s">
        <v>87</v>
      </c>
      <c r="D140" s="51" t="s">
        <v>480</v>
      </c>
      <c r="E140" s="51">
        <v>110</v>
      </c>
      <c r="F140" s="51">
        <v>1065</v>
      </c>
      <c r="G140" s="51">
        <v>1550</v>
      </c>
      <c r="H140" s="190">
        <v>1455</v>
      </c>
      <c r="I140" s="51" t="s">
        <v>375</v>
      </c>
      <c r="J140" s="51">
        <v>15</v>
      </c>
      <c r="K140" s="188" t="s">
        <v>266</v>
      </c>
      <c r="L140" s="51" t="s">
        <v>221</v>
      </c>
      <c r="M140" s="51" t="s">
        <v>60</v>
      </c>
      <c r="N140" s="51" t="s">
        <v>38</v>
      </c>
      <c r="O140" s="51" t="s">
        <v>270</v>
      </c>
      <c r="P140" s="54">
        <v>44454</v>
      </c>
      <c r="Q140" s="54"/>
      <c r="R140" s="54"/>
      <c r="S140" s="54"/>
      <c r="T140" s="54">
        <v>44454</v>
      </c>
      <c r="U140" s="54"/>
      <c r="V140" s="58"/>
      <c r="AA140" s="189"/>
      <c r="AB140" s="50"/>
      <c r="AC140" s="51"/>
      <c r="AD140" s="51"/>
      <c r="AE140" s="51"/>
      <c r="AF140" s="51"/>
      <c r="AG140" s="51"/>
      <c r="AH140" s="190"/>
      <c r="AI140" s="51"/>
      <c r="AJ140" s="51"/>
      <c r="AK140" s="188"/>
      <c r="AL140" s="51"/>
      <c r="AM140" s="51"/>
      <c r="AN140" s="51"/>
      <c r="AO140" s="51"/>
      <c r="AP140" s="54"/>
      <c r="AQ140" s="54"/>
      <c r="AR140" s="54"/>
      <c r="AS140" s="54"/>
      <c r="AT140" s="54"/>
      <c r="AU140" s="54"/>
      <c r="AV140" s="58"/>
    </row>
    <row r="141" spans="1:48" s="59" customFormat="1" ht="20.100000000000001" customHeight="1">
      <c r="A141" s="189">
        <v>140</v>
      </c>
      <c r="B141" s="50" t="s">
        <v>598</v>
      </c>
      <c r="C141" s="51" t="s">
        <v>83</v>
      </c>
      <c r="D141" s="51" t="s">
        <v>480</v>
      </c>
      <c r="E141" s="51">
        <v>112</v>
      </c>
      <c r="F141" s="51">
        <v>1060</v>
      </c>
      <c r="G141" s="51">
        <v>1441</v>
      </c>
      <c r="H141" s="190">
        <v>1359</v>
      </c>
      <c r="I141" s="51" t="s">
        <v>267</v>
      </c>
      <c r="J141" s="51">
        <v>28</v>
      </c>
      <c r="K141" s="188" t="s">
        <v>266</v>
      </c>
      <c r="L141" s="51" t="s">
        <v>226</v>
      </c>
      <c r="M141" s="51" t="s">
        <v>60</v>
      </c>
      <c r="N141" s="51" t="s">
        <v>36</v>
      </c>
      <c r="O141" s="51" t="s">
        <v>268</v>
      </c>
      <c r="P141" s="54">
        <v>44040</v>
      </c>
      <c r="Q141" s="54"/>
      <c r="R141" s="54"/>
      <c r="S141" s="54"/>
      <c r="T141" s="54"/>
      <c r="U141" s="54"/>
      <c r="V141" s="58"/>
      <c r="AA141" s="189"/>
      <c r="AB141" s="50"/>
      <c r="AC141" s="51"/>
      <c r="AD141" s="51"/>
      <c r="AE141" s="51"/>
      <c r="AF141" s="51"/>
      <c r="AG141" s="51"/>
      <c r="AH141" s="190"/>
      <c r="AI141" s="51"/>
      <c r="AJ141" s="51"/>
      <c r="AK141" s="188"/>
      <c r="AL141" s="51"/>
      <c r="AM141" s="51"/>
      <c r="AN141" s="51"/>
      <c r="AO141" s="51"/>
      <c r="AP141" s="54"/>
      <c r="AQ141" s="54"/>
      <c r="AR141" s="54"/>
      <c r="AS141" s="54"/>
      <c r="AT141" s="54"/>
      <c r="AU141" s="54"/>
      <c r="AV141" s="58"/>
    </row>
    <row r="142" spans="1:48" s="59" customFormat="1" ht="20.100000000000001" customHeight="1">
      <c r="A142" s="189">
        <v>141</v>
      </c>
      <c r="B142" s="50" t="s">
        <v>984</v>
      </c>
      <c r="C142" s="51" t="s">
        <v>82</v>
      </c>
      <c r="D142" s="51" t="s">
        <v>480</v>
      </c>
      <c r="E142" s="51">
        <v>112</v>
      </c>
      <c r="F142" s="51">
        <v>1060</v>
      </c>
      <c r="G142" s="51">
        <v>1458</v>
      </c>
      <c r="H142" s="190">
        <v>1375</v>
      </c>
      <c r="I142" s="51" t="s">
        <v>267</v>
      </c>
      <c r="J142" s="51">
        <v>29</v>
      </c>
      <c r="K142" s="188" t="s">
        <v>266</v>
      </c>
      <c r="L142" s="51" t="s">
        <v>226</v>
      </c>
      <c r="M142" s="51" t="s">
        <v>60</v>
      </c>
      <c r="N142" s="51" t="s">
        <v>36</v>
      </c>
      <c r="O142" s="51" t="s">
        <v>268</v>
      </c>
      <c r="P142" s="54">
        <v>44054</v>
      </c>
      <c r="Q142" s="54"/>
      <c r="R142" s="54"/>
      <c r="S142" s="54"/>
      <c r="T142" s="54"/>
      <c r="U142" s="54"/>
      <c r="V142" s="58"/>
      <c r="AA142" s="189"/>
      <c r="AB142" s="50"/>
      <c r="AC142" s="51"/>
      <c r="AD142" s="51"/>
      <c r="AE142" s="51"/>
      <c r="AF142" s="51"/>
      <c r="AG142" s="51"/>
      <c r="AH142" s="190"/>
      <c r="AI142" s="51"/>
      <c r="AJ142" s="51"/>
      <c r="AK142" s="188"/>
      <c r="AL142" s="51"/>
      <c r="AM142" s="51"/>
      <c r="AN142" s="51"/>
      <c r="AO142" s="51"/>
      <c r="AP142" s="54"/>
      <c r="AQ142" s="54"/>
      <c r="AR142" s="54"/>
      <c r="AS142" s="54"/>
      <c r="AT142" s="54"/>
      <c r="AU142" s="54"/>
      <c r="AV142" s="58"/>
    </row>
    <row r="143" spans="1:48" s="59" customFormat="1" ht="20.100000000000001" customHeight="1">
      <c r="A143" s="189">
        <v>142</v>
      </c>
      <c r="B143" s="50" t="s">
        <v>984</v>
      </c>
      <c r="C143" s="51" t="s">
        <v>82</v>
      </c>
      <c r="D143" s="51" t="s">
        <v>480</v>
      </c>
      <c r="E143" s="51">
        <v>112</v>
      </c>
      <c r="F143" s="51">
        <v>1060</v>
      </c>
      <c r="G143" s="51">
        <v>1458</v>
      </c>
      <c r="H143" s="190">
        <v>1375</v>
      </c>
      <c r="I143" s="51" t="s">
        <v>267</v>
      </c>
      <c r="J143" s="51">
        <v>32</v>
      </c>
      <c r="K143" s="188" t="s">
        <v>266</v>
      </c>
      <c r="L143" s="51" t="s">
        <v>226</v>
      </c>
      <c r="M143" s="51" t="s">
        <v>60</v>
      </c>
      <c r="N143" s="51" t="s">
        <v>36</v>
      </c>
      <c r="O143" s="51" t="s">
        <v>268</v>
      </c>
      <c r="P143" s="54">
        <v>44054</v>
      </c>
      <c r="Q143" s="54"/>
      <c r="R143" s="54"/>
      <c r="S143" s="54"/>
      <c r="T143" s="54"/>
      <c r="U143" s="54"/>
      <c r="V143" s="58"/>
      <c r="AA143" s="189"/>
      <c r="AB143" s="50"/>
      <c r="AC143" s="51"/>
      <c r="AD143" s="51"/>
      <c r="AE143" s="51"/>
      <c r="AF143" s="51"/>
      <c r="AG143" s="51"/>
      <c r="AH143" s="190"/>
      <c r="AI143" s="51"/>
      <c r="AJ143" s="51"/>
      <c r="AK143" s="188"/>
      <c r="AL143" s="51"/>
      <c r="AM143" s="51"/>
      <c r="AN143" s="51"/>
      <c r="AO143" s="51"/>
      <c r="AP143" s="54"/>
      <c r="AQ143" s="54"/>
      <c r="AR143" s="54"/>
      <c r="AS143" s="54"/>
      <c r="AT143" s="54"/>
      <c r="AU143" s="54"/>
      <c r="AV143" s="58"/>
    </row>
    <row r="144" spans="1:48" s="59" customFormat="1" ht="20.100000000000001" customHeight="1">
      <c r="A144" s="189">
        <v>143</v>
      </c>
      <c r="B144" s="50" t="s">
        <v>984</v>
      </c>
      <c r="C144" s="51" t="s">
        <v>82</v>
      </c>
      <c r="D144" s="51" t="s">
        <v>480</v>
      </c>
      <c r="E144" s="51">
        <v>112</v>
      </c>
      <c r="F144" s="51">
        <v>1060</v>
      </c>
      <c r="G144" s="51">
        <v>1458</v>
      </c>
      <c r="H144" s="190">
        <v>1375</v>
      </c>
      <c r="I144" s="51" t="s">
        <v>267</v>
      </c>
      <c r="J144" s="51">
        <v>33</v>
      </c>
      <c r="K144" s="188" t="s">
        <v>266</v>
      </c>
      <c r="L144" s="51" t="s">
        <v>226</v>
      </c>
      <c r="M144" s="51" t="s">
        <v>60</v>
      </c>
      <c r="N144" s="51" t="s">
        <v>36</v>
      </c>
      <c r="O144" s="51" t="s">
        <v>268</v>
      </c>
      <c r="P144" s="54">
        <v>44054</v>
      </c>
      <c r="Q144" s="54"/>
      <c r="R144" s="54"/>
      <c r="S144" s="54"/>
      <c r="T144" s="54"/>
      <c r="U144" s="54"/>
      <c r="V144" s="58"/>
      <c r="AA144" s="189"/>
      <c r="AB144" s="50"/>
      <c r="AC144" s="51"/>
      <c r="AD144" s="51"/>
      <c r="AE144" s="51"/>
      <c r="AF144" s="51"/>
      <c r="AG144" s="51"/>
      <c r="AH144" s="190"/>
      <c r="AI144" s="51"/>
      <c r="AJ144" s="51"/>
      <c r="AK144" s="188"/>
      <c r="AL144" s="51"/>
      <c r="AM144" s="51"/>
      <c r="AN144" s="51"/>
      <c r="AO144" s="51"/>
      <c r="AP144" s="54"/>
      <c r="AQ144" s="54"/>
      <c r="AR144" s="54"/>
      <c r="AS144" s="54"/>
      <c r="AT144" s="54"/>
      <c r="AU144" s="54"/>
      <c r="AV144" s="58"/>
    </row>
    <row r="145" spans="1:48" s="59" customFormat="1" ht="20.100000000000001" customHeight="1">
      <c r="A145" s="189">
        <v>144</v>
      </c>
      <c r="B145" s="50" t="s">
        <v>984</v>
      </c>
      <c r="C145" s="51" t="s">
        <v>82</v>
      </c>
      <c r="D145" s="51" t="s">
        <v>480</v>
      </c>
      <c r="E145" s="51">
        <v>112</v>
      </c>
      <c r="F145" s="51">
        <v>1060</v>
      </c>
      <c r="G145" s="51">
        <v>1458</v>
      </c>
      <c r="H145" s="190">
        <v>1375</v>
      </c>
      <c r="I145" s="51" t="s">
        <v>267</v>
      </c>
      <c r="J145" s="51">
        <v>34</v>
      </c>
      <c r="K145" s="188" t="s">
        <v>266</v>
      </c>
      <c r="L145" s="51" t="s">
        <v>226</v>
      </c>
      <c r="M145" s="51" t="s">
        <v>60</v>
      </c>
      <c r="N145" s="51" t="s">
        <v>36</v>
      </c>
      <c r="O145" s="51" t="s">
        <v>268</v>
      </c>
      <c r="P145" s="54">
        <v>44054</v>
      </c>
      <c r="Q145" s="54"/>
      <c r="R145" s="54"/>
      <c r="S145" s="54"/>
      <c r="T145" s="54"/>
      <c r="U145" s="54"/>
      <c r="V145" s="58"/>
      <c r="AA145" s="189"/>
      <c r="AB145" s="50"/>
      <c r="AC145" s="51"/>
      <c r="AD145" s="51"/>
      <c r="AE145" s="51"/>
      <c r="AF145" s="51"/>
      <c r="AG145" s="51"/>
      <c r="AH145" s="190"/>
      <c r="AI145" s="51"/>
      <c r="AJ145" s="51"/>
      <c r="AK145" s="188"/>
      <c r="AL145" s="51"/>
      <c r="AM145" s="51"/>
      <c r="AN145" s="51"/>
      <c r="AO145" s="51"/>
      <c r="AP145" s="54"/>
      <c r="AQ145" s="54"/>
      <c r="AR145" s="54"/>
      <c r="AS145" s="54"/>
      <c r="AT145" s="54"/>
      <c r="AU145" s="54"/>
      <c r="AV145" s="58"/>
    </row>
    <row r="146" spans="1:48" s="59" customFormat="1" ht="20.100000000000001" customHeight="1">
      <c r="A146" s="189">
        <v>145</v>
      </c>
      <c r="B146" s="50" t="s">
        <v>984</v>
      </c>
      <c r="C146" s="51" t="s">
        <v>82</v>
      </c>
      <c r="D146" s="51" t="s">
        <v>480</v>
      </c>
      <c r="E146" s="51">
        <v>112</v>
      </c>
      <c r="F146" s="51">
        <v>1060</v>
      </c>
      <c r="G146" s="51">
        <v>1458</v>
      </c>
      <c r="H146" s="190">
        <v>1375</v>
      </c>
      <c r="I146" s="51" t="s">
        <v>267</v>
      </c>
      <c r="J146" s="51">
        <v>35</v>
      </c>
      <c r="K146" s="188" t="s">
        <v>266</v>
      </c>
      <c r="L146" s="51" t="s">
        <v>226</v>
      </c>
      <c r="M146" s="51" t="s">
        <v>60</v>
      </c>
      <c r="N146" s="51" t="s">
        <v>36</v>
      </c>
      <c r="O146" s="51" t="s">
        <v>268</v>
      </c>
      <c r="P146" s="54">
        <v>44054</v>
      </c>
      <c r="Q146" s="54"/>
      <c r="R146" s="54"/>
      <c r="S146" s="54"/>
      <c r="T146" s="54"/>
      <c r="U146" s="54"/>
      <c r="V146" s="58"/>
      <c r="AA146" s="189"/>
      <c r="AB146" s="50"/>
      <c r="AC146" s="51"/>
      <c r="AD146" s="51"/>
      <c r="AE146" s="51"/>
      <c r="AF146" s="51"/>
      <c r="AG146" s="51"/>
      <c r="AH146" s="190"/>
      <c r="AI146" s="51"/>
      <c r="AJ146" s="51"/>
      <c r="AK146" s="188"/>
      <c r="AL146" s="51"/>
      <c r="AM146" s="51"/>
      <c r="AN146" s="51"/>
      <c r="AO146" s="51"/>
      <c r="AP146" s="54"/>
      <c r="AQ146" s="54"/>
      <c r="AR146" s="54"/>
      <c r="AS146" s="54"/>
      <c r="AT146" s="54"/>
      <c r="AU146" s="54"/>
      <c r="AV146" s="58"/>
    </row>
    <row r="147" spans="1:48" s="59" customFormat="1" ht="20.100000000000001" customHeight="1">
      <c r="A147" s="189">
        <v>146</v>
      </c>
      <c r="B147" s="50" t="s">
        <v>984</v>
      </c>
      <c r="C147" s="51" t="s">
        <v>82</v>
      </c>
      <c r="D147" s="51" t="s">
        <v>480</v>
      </c>
      <c r="E147" s="51">
        <v>112</v>
      </c>
      <c r="F147" s="51">
        <v>1060</v>
      </c>
      <c r="G147" s="51">
        <v>1458</v>
      </c>
      <c r="H147" s="190">
        <v>1375</v>
      </c>
      <c r="I147" s="51" t="s">
        <v>267</v>
      </c>
      <c r="J147" s="51">
        <v>38</v>
      </c>
      <c r="K147" s="188" t="s">
        <v>266</v>
      </c>
      <c r="L147" s="51" t="s">
        <v>226</v>
      </c>
      <c r="M147" s="51" t="s">
        <v>60</v>
      </c>
      <c r="N147" s="51" t="s">
        <v>36</v>
      </c>
      <c r="O147" s="51" t="s">
        <v>268</v>
      </c>
      <c r="P147" s="54">
        <v>44067</v>
      </c>
      <c r="Q147" s="54"/>
      <c r="R147" s="54"/>
      <c r="S147" s="54"/>
      <c r="T147" s="54"/>
      <c r="U147" s="54"/>
      <c r="V147" s="58"/>
      <c r="AA147" s="189"/>
      <c r="AB147" s="50"/>
      <c r="AC147" s="51"/>
      <c r="AD147" s="51"/>
      <c r="AE147" s="51"/>
      <c r="AF147" s="51"/>
      <c r="AG147" s="51"/>
      <c r="AH147" s="190"/>
      <c r="AI147" s="51"/>
      <c r="AJ147" s="51"/>
      <c r="AK147" s="188"/>
      <c r="AL147" s="51"/>
      <c r="AM147" s="51"/>
      <c r="AN147" s="51"/>
      <c r="AO147" s="51"/>
      <c r="AP147" s="54"/>
      <c r="AQ147" s="54"/>
      <c r="AR147" s="54"/>
      <c r="AS147" s="54"/>
      <c r="AT147" s="54"/>
      <c r="AU147" s="54"/>
      <c r="AV147" s="58"/>
    </row>
    <row r="148" spans="1:48" s="59" customFormat="1" ht="20.100000000000001" customHeight="1">
      <c r="A148" s="189">
        <v>147</v>
      </c>
      <c r="B148" s="50" t="s">
        <v>984</v>
      </c>
      <c r="C148" s="51" t="s">
        <v>82</v>
      </c>
      <c r="D148" s="51" t="s">
        <v>480</v>
      </c>
      <c r="E148" s="51">
        <v>112</v>
      </c>
      <c r="F148" s="51">
        <v>1060</v>
      </c>
      <c r="G148" s="51">
        <v>1458</v>
      </c>
      <c r="H148" s="190">
        <v>1375</v>
      </c>
      <c r="I148" s="51" t="s">
        <v>267</v>
      </c>
      <c r="J148" s="51">
        <v>39</v>
      </c>
      <c r="K148" s="188" t="s">
        <v>266</v>
      </c>
      <c r="L148" s="51" t="s">
        <v>226</v>
      </c>
      <c r="M148" s="51" t="s">
        <v>60</v>
      </c>
      <c r="N148" s="51" t="s">
        <v>36</v>
      </c>
      <c r="O148" s="51" t="s">
        <v>268</v>
      </c>
      <c r="P148" s="54">
        <v>44067</v>
      </c>
      <c r="Q148" s="54"/>
      <c r="R148" s="54"/>
      <c r="S148" s="54"/>
      <c r="T148" s="54"/>
      <c r="U148" s="54"/>
      <c r="V148" s="58"/>
      <c r="AA148" s="189"/>
      <c r="AB148" s="50"/>
      <c r="AC148" s="51"/>
      <c r="AD148" s="51"/>
      <c r="AE148" s="51"/>
      <c r="AF148" s="51"/>
      <c r="AG148" s="51"/>
      <c r="AH148" s="190"/>
      <c r="AI148" s="51"/>
      <c r="AJ148" s="51"/>
      <c r="AK148" s="188"/>
      <c r="AL148" s="51"/>
      <c r="AM148" s="51"/>
      <c r="AN148" s="51"/>
      <c r="AO148" s="51"/>
      <c r="AP148" s="54"/>
      <c r="AQ148" s="54"/>
      <c r="AR148" s="54"/>
      <c r="AS148" s="54"/>
      <c r="AT148" s="54"/>
      <c r="AU148" s="54"/>
      <c r="AV148" s="58"/>
    </row>
    <row r="149" spans="1:48" s="59" customFormat="1" ht="20.100000000000001" customHeight="1">
      <c r="A149" s="189">
        <v>148</v>
      </c>
      <c r="B149" s="50" t="s">
        <v>984</v>
      </c>
      <c r="C149" s="51" t="s">
        <v>82</v>
      </c>
      <c r="D149" s="51" t="s">
        <v>480</v>
      </c>
      <c r="E149" s="51">
        <v>112</v>
      </c>
      <c r="F149" s="51">
        <v>1060</v>
      </c>
      <c r="G149" s="51">
        <v>1458</v>
      </c>
      <c r="H149" s="190">
        <v>1375</v>
      </c>
      <c r="I149" s="51" t="s">
        <v>267</v>
      </c>
      <c r="J149" s="51" t="s">
        <v>1765</v>
      </c>
      <c r="K149" s="188" t="s">
        <v>266</v>
      </c>
      <c r="L149" s="51" t="s">
        <v>226</v>
      </c>
      <c r="M149" s="51" t="s">
        <v>60</v>
      </c>
      <c r="N149" s="51" t="s">
        <v>36</v>
      </c>
      <c r="O149" s="51" t="s">
        <v>268</v>
      </c>
      <c r="P149" s="54">
        <v>44413</v>
      </c>
      <c r="Q149" s="54"/>
      <c r="R149" s="54"/>
      <c r="S149" s="54"/>
      <c r="T149" s="54"/>
      <c r="U149" s="54"/>
      <c r="V149" s="58"/>
      <c r="AA149" s="189"/>
      <c r="AB149" s="50"/>
      <c r="AC149" s="51"/>
      <c r="AD149" s="51"/>
      <c r="AE149" s="51"/>
      <c r="AF149" s="51"/>
      <c r="AG149" s="51"/>
      <c r="AH149" s="190"/>
      <c r="AI149" s="51"/>
      <c r="AJ149" s="51"/>
      <c r="AK149" s="188"/>
      <c r="AL149" s="51"/>
      <c r="AM149" s="51"/>
      <c r="AN149" s="51"/>
      <c r="AO149" s="51"/>
      <c r="AP149" s="54"/>
      <c r="AQ149" s="54"/>
      <c r="AR149" s="54"/>
      <c r="AS149" s="54"/>
      <c r="AT149" s="54"/>
      <c r="AU149" s="54"/>
      <c r="AV149" s="58"/>
    </row>
    <row r="150" spans="1:48" s="59" customFormat="1" ht="20.100000000000001" customHeight="1">
      <c r="A150" s="189">
        <v>149</v>
      </c>
      <c r="B150" s="50" t="s">
        <v>1811</v>
      </c>
      <c r="C150" s="51" t="s">
        <v>87</v>
      </c>
      <c r="D150" s="51" t="s">
        <v>489</v>
      </c>
      <c r="E150" s="51" t="s">
        <v>1574</v>
      </c>
      <c r="F150" s="51" t="s">
        <v>1630</v>
      </c>
      <c r="G150" s="51" t="s">
        <v>1631</v>
      </c>
      <c r="H150" s="190" t="s">
        <v>1632</v>
      </c>
      <c r="I150" s="51" t="s">
        <v>379</v>
      </c>
      <c r="J150" s="51" t="s">
        <v>503</v>
      </c>
      <c r="K150" s="188" t="s">
        <v>353</v>
      </c>
      <c r="L150" s="51" t="s">
        <v>370</v>
      </c>
      <c r="M150" s="51" t="s">
        <v>60</v>
      </c>
      <c r="N150" s="51" t="s">
        <v>38</v>
      </c>
      <c r="O150" s="51" t="s">
        <v>1030</v>
      </c>
      <c r="P150" s="54" t="s">
        <v>1812</v>
      </c>
      <c r="Q150" s="54" t="s">
        <v>1813</v>
      </c>
      <c r="R150" s="54" t="s">
        <v>1812</v>
      </c>
      <c r="S150" s="54" t="s">
        <v>1814</v>
      </c>
      <c r="T150" s="54" t="s">
        <v>1815</v>
      </c>
      <c r="U150" s="54" t="s">
        <v>648</v>
      </c>
      <c r="V150" s="58" t="s">
        <v>648</v>
      </c>
      <c r="AA150" s="189"/>
      <c r="AB150" s="50"/>
      <c r="AC150" s="51"/>
      <c r="AD150" s="51"/>
      <c r="AE150" s="51"/>
      <c r="AF150" s="51"/>
      <c r="AG150" s="51"/>
      <c r="AH150" s="190"/>
      <c r="AI150" s="51"/>
      <c r="AJ150" s="51"/>
      <c r="AK150" s="188"/>
      <c r="AL150" s="51"/>
      <c r="AM150" s="51"/>
      <c r="AN150" s="51"/>
      <c r="AO150" s="51"/>
      <c r="AP150" s="54"/>
      <c r="AQ150" s="54"/>
      <c r="AR150" s="54"/>
      <c r="AS150" s="54"/>
      <c r="AT150" s="54"/>
      <c r="AU150" s="54"/>
      <c r="AV150" s="58"/>
    </row>
    <row r="151" spans="1:48" s="59" customFormat="1" ht="20.100000000000001" customHeight="1">
      <c r="A151" s="189">
        <v>150</v>
      </c>
      <c r="B151" s="50" t="s">
        <v>1629</v>
      </c>
      <c r="C151" s="51" t="s">
        <v>87</v>
      </c>
      <c r="D151" s="51" t="s">
        <v>489</v>
      </c>
      <c r="E151" s="51" t="s">
        <v>1574</v>
      </c>
      <c r="F151" s="51" t="s">
        <v>1630</v>
      </c>
      <c r="G151" s="51" t="s">
        <v>1631</v>
      </c>
      <c r="H151" s="205" t="s">
        <v>1632</v>
      </c>
      <c r="I151" s="51" t="s">
        <v>379</v>
      </c>
      <c r="J151" s="51" t="s">
        <v>1485</v>
      </c>
      <c r="K151" s="205" t="s">
        <v>353</v>
      </c>
      <c r="L151" s="51" t="s">
        <v>370</v>
      </c>
      <c r="M151" s="51" t="s">
        <v>60</v>
      </c>
      <c r="N151" s="51" t="s">
        <v>37</v>
      </c>
      <c r="O151" s="51" t="s">
        <v>1030</v>
      </c>
      <c r="P151" s="54" t="s">
        <v>1633</v>
      </c>
      <c r="Q151" s="54" t="s">
        <v>1633</v>
      </c>
      <c r="R151" s="54"/>
      <c r="S151" s="54"/>
      <c r="T151" s="54"/>
      <c r="U151" s="54"/>
      <c r="V151" s="58" t="s">
        <v>1634</v>
      </c>
      <c r="AA151" s="189"/>
      <c r="AB151" s="50"/>
      <c r="AC151" s="51"/>
      <c r="AD151" s="51"/>
      <c r="AE151" s="51"/>
      <c r="AF151" s="51"/>
      <c r="AG151" s="51"/>
      <c r="AH151" s="205"/>
      <c r="AI151" s="51"/>
      <c r="AJ151" s="51"/>
      <c r="AK151" s="205"/>
      <c r="AL151" s="51"/>
      <c r="AM151" s="51"/>
      <c r="AN151" s="51"/>
      <c r="AO151" s="51"/>
      <c r="AP151" s="54"/>
      <c r="AQ151" s="54"/>
      <c r="AR151" s="54"/>
      <c r="AS151" s="54"/>
      <c r="AT151" s="54"/>
      <c r="AU151" s="54"/>
      <c r="AV151" s="58"/>
    </row>
    <row r="152" spans="1:48" s="59" customFormat="1" ht="20.100000000000001" customHeight="1">
      <c r="A152" s="189">
        <v>151</v>
      </c>
      <c r="B152" s="50" t="s">
        <v>599</v>
      </c>
      <c r="C152" s="51" t="s">
        <v>87</v>
      </c>
      <c r="D152" s="51" t="s">
        <v>488</v>
      </c>
      <c r="E152" s="51" t="s">
        <v>1004</v>
      </c>
      <c r="F152" s="51" t="s">
        <v>986</v>
      </c>
      <c r="G152" s="51" t="s">
        <v>1643</v>
      </c>
      <c r="H152" s="190" t="s">
        <v>1644</v>
      </c>
      <c r="I152" s="51" t="s">
        <v>381</v>
      </c>
      <c r="J152" s="51" t="s">
        <v>1485</v>
      </c>
      <c r="K152" s="188" t="s">
        <v>339</v>
      </c>
      <c r="L152" s="51" t="s">
        <v>370</v>
      </c>
      <c r="M152" s="51" t="s">
        <v>60</v>
      </c>
      <c r="N152" s="51" t="s">
        <v>38</v>
      </c>
      <c r="O152" s="51" t="s">
        <v>1030</v>
      </c>
      <c r="P152" s="54" t="s">
        <v>1645</v>
      </c>
      <c r="Q152" s="54" t="s">
        <v>1645</v>
      </c>
      <c r="R152" s="54" t="s">
        <v>648</v>
      </c>
      <c r="S152" s="54" t="s">
        <v>1646</v>
      </c>
      <c r="T152" s="54">
        <v>44522</v>
      </c>
      <c r="U152" s="54" t="s">
        <v>648</v>
      </c>
      <c r="V152" s="58" t="s">
        <v>648</v>
      </c>
      <c r="AA152" s="189"/>
      <c r="AB152" s="50"/>
      <c r="AC152" s="51"/>
      <c r="AD152" s="51"/>
      <c r="AE152" s="51"/>
      <c r="AF152" s="51"/>
      <c r="AG152" s="51"/>
      <c r="AH152" s="190"/>
      <c r="AI152" s="51"/>
      <c r="AJ152" s="51"/>
      <c r="AK152" s="188"/>
      <c r="AL152" s="51"/>
      <c r="AM152" s="51"/>
      <c r="AN152" s="51"/>
      <c r="AO152" s="51"/>
      <c r="AP152" s="54"/>
      <c r="AQ152" s="54"/>
      <c r="AR152" s="54"/>
      <c r="AS152" s="54"/>
      <c r="AT152" s="54"/>
      <c r="AU152" s="54"/>
      <c r="AV152" s="58"/>
    </row>
    <row r="153" spans="1:48" s="59" customFormat="1" ht="20.100000000000001" customHeight="1">
      <c r="A153" s="189">
        <v>152</v>
      </c>
      <c r="B153" s="50" t="s">
        <v>1764</v>
      </c>
      <c r="C153" s="51" t="s">
        <v>1029</v>
      </c>
      <c r="D153" s="51" t="s">
        <v>484</v>
      </c>
      <c r="E153" s="51">
        <v>195</v>
      </c>
      <c r="F153" s="51">
        <v>1490</v>
      </c>
      <c r="G153" s="51">
        <v>3098</v>
      </c>
      <c r="H153" s="190">
        <v>2079</v>
      </c>
      <c r="I153" s="51" t="s">
        <v>297</v>
      </c>
      <c r="J153" s="51">
        <v>10</v>
      </c>
      <c r="K153" s="188" t="s">
        <v>298</v>
      </c>
      <c r="L153" s="51" t="s">
        <v>299</v>
      </c>
      <c r="M153" s="51" t="s">
        <v>60</v>
      </c>
      <c r="N153" s="51" t="s">
        <v>37</v>
      </c>
      <c r="O153" s="51" t="s">
        <v>300</v>
      </c>
      <c r="P153" s="54">
        <v>44154</v>
      </c>
      <c r="Q153" s="54"/>
      <c r="R153" s="54"/>
      <c r="S153" s="54"/>
      <c r="T153" s="54"/>
      <c r="U153" s="54"/>
      <c r="V153" s="58"/>
      <c r="AA153" s="189"/>
      <c r="AB153" s="50"/>
      <c r="AC153" s="51"/>
      <c r="AD153" s="51"/>
      <c r="AE153" s="51"/>
      <c r="AF153" s="51"/>
      <c r="AG153" s="51"/>
      <c r="AH153" s="190"/>
      <c r="AI153" s="51"/>
      <c r="AJ153" s="51"/>
      <c r="AK153" s="188"/>
      <c r="AL153" s="51"/>
      <c r="AM153" s="51"/>
      <c r="AN153" s="51"/>
      <c r="AO153" s="51"/>
      <c r="AP153" s="54"/>
      <c r="AQ153" s="54"/>
      <c r="AR153" s="54"/>
      <c r="AS153" s="54"/>
      <c r="AT153" s="54"/>
      <c r="AU153" s="54"/>
      <c r="AV153" s="58"/>
    </row>
    <row r="154" spans="1:48" s="59" customFormat="1" ht="20.100000000000001" customHeight="1">
      <c r="A154" s="189">
        <v>153</v>
      </c>
      <c r="B154" s="50" t="s">
        <v>600</v>
      </c>
      <c r="C154" s="51" t="s">
        <v>84</v>
      </c>
      <c r="D154" s="51" t="s">
        <v>492</v>
      </c>
      <c r="E154" s="51">
        <v>106</v>
      </c>
      <c r="F154" s="51">
        <v>900</v>
      </c>
      <c r="G154" s="51">
        <v>1501</v>
      </c>
      <c r="H154" s="188" t="s">
        <v>1763</v>
      </c>
      <c r="I154" s="51" t="s">
        <v>225</v>
      </c>
      <c r="J154" s="51">
        <v>17</v>
      </c>
      <c r="K154" s="188" t="s">
        <v>219</v>
      </c>
      <c r="L154" s="51" t="s">
        <v>226</v>
      </c>
      <c r="M154" s="51" t="s">
        <v>60</v>
      </c>
      <c r="N154" s="51" t="s">
        <v>36</v>
      </c>
      <c r="O154" s="51" t="s">
        <v>384</v>
      </c>
      <c r="P154" s="54">
        <v>44124</v>
      </c>
      <c r="Q154" s="54"/>
      <c r="R154" s="54"/>
      <c r="S154" s="54"/>
      <c r="T154" s="54"/>
      <c r="U154" s="54"/>
      <c r="V154" s="58"/>
      <c r="AA154" s="189"/>
      <c r="AB154" s="50"/>
      <c r="AC154" s="51"/>
      <c r="AD154" s="51"/>
      <c r="AE154" s="51"/>
      <c r="AF154" s="51"/>
      <c r="AG154" s="51"/>
      <c r="AH154" s="188"/>
      <c r="AI154" s="51"/>
      <c r="AJ154" s="51"/>
      <c r="AK154" s="188"/>
      <c r="AL154" s="51"/>
      <c r="AM154" s="51"/>
      <c r="AN154" s="51"/>
      <c r="AO154" s="51"/>
      <c r="AP154" s="54"/>
      <c r="AQ154" s="54"/>
      <c r="AR154" s="54"/>
      <c r="AS154" s="54"/>
      <c r="AT154" s="54"/>
      <c r="AU154" s="54"/>
      <c r="AV154" s="58"/>
    </row>
    <row r="155" spans="1:48" s="59" customFormat="1" ht="20.100000000000001" customHeight="1">
      <c r="A155" s="189">
        <v>154</v>
      </c>
      <c r="B155" s="50" t="s">
        <v>601</v>
      </c>
      <c r="C155" s="51" t="s">
        <v>82</v>
      </c>
      <c r="D155" s="51" t="s">
        <v>481</v>
      </c>
      <c r="E155" s="51" t="s">
        <v>1574</v>
      </c>
      <c r="F155" s="51" t="s">
        <v>1575</v>
      </c>
      <c r="G155" s="51" t="s">
        <v>1576</v>
      </c>
      <c r="H155" s="190" t="s">
        <v>1577</v>
      </c>
      <c r="I155" s="51" t="s">
        <v>386</v>
      </c>
      <c r="J155" s="51" t="s">
        <v>503</v>
      </c>
      <c r="K155" s="188" t="s">
        <v>387</v>
      </c>
      <c r="L155" s="51" t="s">
        <v>388</v>
      </c>
      <c r="M155" s="51" t="s">
        <v>59</v>
      </c>
      <c r="N155" s="51" t="s">
        <v>38</v>
      </c>
      <c r="O155" s="51" t="s">
        <v>389</v>
      </c>
      <c r="P155" s="54" t="s">
        <v>1578</v>
      </c>
      <c r="Q155" s="54">
        <v>44321</v>
      </c>
      <c r="R155" s="54">
        <v>44476</v>
      </c>
      <c r="S155" s="54" t="s">
        <v>1579</v>
      </c>
      <c r="T155" s="54">
        <v>44513</v>
      </c>
      <c r="U155" s="54" t="s">
        <v>648</v>
      </c>
      <c r="V155" s="58" t="s">
        <v>648</v>
      </c>
      <c r="AA155" s="189"/>
      <c r="AB155" s="50"/>
      <c r="AC155" s="51"/>
      <c r="AD155" s="51"/>
      <c r="AE155" s="51"/>
      <c r="AF155" s="51"/>
      <c r="AG155" s="51"/>
      <c r="AH155" s="190"/>
      <c r="AI155" s="51"/>
      <c r="AJ155" s="51"/>
      <c r="AK155" s="188"/>
      <c r="AL155" s="51"/>
      <c r="AM155" s="51"/>
      <c r="AN155" s="51"/>
      <c r="AO155" s="51"/>
      <c r="AP155" s="54"/>
      <c r="AQ155" s="54"/>
      <c r="AR155" s="54"/>
      <c r="AS155" s="54"/>
      <c r="AT155" s="54"/>
      <c r="AU155" s="54"/>
      <c r="AV155" s="58"/>
    </row>
    <row r="156" spans="1:48" s="59" customFormat="1" ht="20.100000000000001" customHeight="1">
      <c r="A156" s="189">
        <v>155</v>
      </c>
      <c r="B156" s="50" t="s">
        <v>602</v>
      </c>
      <c r="C156" s="51" t="s">
        <v>82</v>
      </c>
      <c r="D156" s="51" t="s">
        <v>478</v>
      </c>
      <c r="E156" s="51">
        <v>110</v>
      </c>
      <c r="F156" s="51">
        <v>1645</v>
      </c>
      <c r="G156" s="51">
        <v>1945</v>
      </c>
      <c r="H156" s="190">
        <v>1182</v>
      </c>
      <c r="I156" s="51" t="s">
        <v>391</v>
      </c>
      <c r="J156" s="51" t="s">
        <v>503</v>
      </c>
      <c r="K156" s="188" t="s">
        <v>392</v>
      </c>
      <c r="L156" s="51" t="s">
        <v>322</v>
      </c>
      <c r="M156" s="51" t="s">
        <v>59</v>
      </c>
      <c r="N156" s="51" t="s">
        <v>38</v>
      </c>
      <c r="O156" s="51" t="s">
        <v>389</v>
      </c>
      <c r="P156" s="54">
        <v>44321</v>
      </c>
      <c r="Q156" s="54">
        <v>44321</v>
      </c>
      <c r="R156" s="54" t="s">
        <v>1699</v>
      </c>
      <c r="S156" s="54">
        <v>44476</v>
      </c>
      <c r="T156" s="54">
        <v>44915</v>
      </c>
      <c r="U156" s="54"/>
      <c r="V156" s="58"/>
      <c r="AA156" s="189"/>
      <c r="AB156" s="50"/>
      <c r="AC156" s="51"/>
      <c r="AD156" s="51"/>
      <c r="AE156" s="51"/>
      <c r="AF156" s="51"/>
      <c r="AG156" s="51"/>
      <c r="AH156" s="190"/>
      <c r="AI156" s="51"/>
      <c r="AJ156" s="51"/>
      <c r="AK156" s="188"/>
      <c r="AL156" s="51"/>
      <c r="AM156" s="51"/>
      <c r="AN156" s="51"/>
      <c r="AO156" s="51"/>
      <c r="AP156" s="54"/>
      <c r="AQ156" s="54"/>
      <c r="AR156" s="54"/>
      <c r="AS156" s="54"/>
      <c r="AT156" s="54"/>
      <c r="AU156" s="54"/>
      <c r="AV156" s="58"/>
    </row>
    <row r="157" spans="1:48" s="253" customFormat="1" ht="20.100000000000001" customHeight="1">
      <c r="A157" s="189">
        <v>156</v>
      </c>
      <c r="B157" s="50" t="s">
        <v>603</v>
      </c>
      <c r="C157" s="51" t="s">
        <v>87</v>
      </c>
      <c r="D157" s="51" t="s">
        <v>478</v>
      </c>
      <c r="E157" s="51">
        <v>112</v>
      </c>
      <c r="F157" s="51">
        <v>1640</v>
      </c>
      <c r="G157" s="51">
        <v>1751</v>
      </c>
      <c r="H157" s="188" t="s">
        <v>1694</v>
      </c>
      <c r="I157" s="51" t="s">
        <v>394</v>
      </c>
      <c r="J157" s="51" t="s">
        <v>1642</v>
      </c>
      <c r="K157" s="188" t="s">
        <v>392</v>
      </c>
      <c r="L157" s="51" t="s">
        <v>395</v>
      </c>
      <c r="M157" s="51" t="s">
        <v>59</v>
      </c>
      <c r="N157" s="51" t="s">
        <v>37</v>
      </c>
      <c r="O157" s="51" t="s">
        <v>396</v>
      </c>
      <c r="P157" s="54">
        <v>44342</v>
      </c>
      <c r="Q157" s="54">
        <v>44342</v>
      </c>
      <c r="R157" s="54">
        <v>44342</v>
      </c>
      <c r="S157" s="54">
        <v>44476</v>
      </c>
      <c r="T157" s="54">
        <v>44915</v>
      </c>
      <c r="U157" s="54"/>
      <c r="V157" s="58"/>
      <c r="AA157" s="189"/>
      <c r="AB157" s="50"/>
      <c r="AC157" s="51"/>
      <c r="AD157" s="51"/>
      <c r="AE157" s="51"/>
      <c r="AF157" s="51"/>
      <c r="AG157" s="51"/>
      <c r="AH157" s="188"/>
      <c r="AI157" s="51"/>
      <c r="AJ157" s="51"/>
      <c r="AK157" s="188"/>
      <c r="AL157" s="51"/>
      <c r="AM157" s="51"/>
      <c r="AN157" s="51"/>
      <c r="AO157" s="51"/>
      <c r="AP157" s="54"/>
      <c r="AQ157" s="54"/>
      <c r="AR157" s="54"/>
      <c r="AS157" s="54"/>
      <c r="AT157" s="54"/>
      <c r="AU157" s="54"/>
      <c r="AV157" s="58"/>
    </row>
    <row r="158" spans="1:48" s="59" customFormat="1" ht="20.100000000000001" customHeight="1">
      <c r="A158" s="189">
        <v>157</v>
      </c>
      <c r="B158" s="50" t="s">
        <v>604</v>
      </c>
      <c r="C158" s="51" t="s">
        <v>84</v>
      </c>
      <c r="D158" s="51" t="s">
        <v>480</v>
      </c>
      <c r="E158" s="51">
        <v>114</v>
      </c>
      <c r="F158" s="51">
        <v>1060</v>
      </c>
      <c r="G158" s="51">
        <v>1336</v>
      </c>
      <c r="H158" s="190">
        <v>1260</v>
      </c>
      <c r="I158" s="51" t="s">
        <v>398</v>
      </c>
      <c r="J158" s="51">
        <v>3</v>
      </c>
      <c r="K158" s="188" t="s">
        <v>266</v>
      </c>
      <c r="L158" s="51" t="s">
        <v>275</v>
      </c>
      <c r="M158" s="51" t="s">
        <v>60</v>
      </c>
      <c r="N158" s="51" t="s">
        <v>38</v>
      </c>
      <c r="O158" s="51" t="s">
        <v>78</v>
      </c>
      <c r="P158" s="54">
        <v>44431</v>
      </c>
      <c r="Q158" s="54" t="s">
        <v>384</v>
      </c>
      <c r="R158" s="54" t="s">
        <v>384</v>
      </c>
      <c r="S158" s="54" t="s">
        <v>384</v>
      </c>
      <c r="T158" s="54">
        <v>44431</v>
      </c>
      <c r="U158" s="54"/>
      <c r="V158" s="58"/>
      <c r="AA158" s="189"/>
      <c r="AB158" s="50"/>
      <c r="AC158" s="51"/>
      <c r="AD158" s="51"/>
      <c r="AE158" s="51"/>
      <c r="AF158" s="51"/>
      <c r="AG158" s="51"/>
      <c r="AH158" s="190"/>
      <c r="AI158" s="51"/>
      <c r="AJ158" s="51"/>
      <c r="AK158" s="188"/>
      <c r="AL158" s="51"/>
      <c r="AM158" s="51"/>
      <c r="AN158" s="51"/>
      <c r="AO158" s="51"/>
      <c r="AP158" s="54"/>
      <c r="AQ158" s="54"/>
      <c r="AR158" s="54"/>
      <c r="AS158" s="54"/>
      <c r="AT158" s="54"/>
      <c r="AU158" s="54"/>
      <c r="AV158" s="58"/>
    </row>
    <row r="159" spans="1:48" s="253" customFormat="1" ht="20.100000000000001" customHeight="1">
      <c r="A159" s="189">
        <v>158</v>
      </c>
      <c r="B159" s="247" t="s">
        <v>605</v>
      </c>
      <c r="C159" s="248" t="s">
        <v>84</v>
      </c>
      <c r="D159" s="248" t="s">
        <v>81</v>
      </c>
      <c r="E159" s="248">
        <v>145</v>
      </c>
      <c r="F159" s="248">
        <v>885</v>
      </c>
      <c r="G159" s="248">
        <v>1724</v>
      </c>
      <c r="H159" s="249">
        <v>1948</v>
      </c>
      <c r="I159" s="248" t="s">
        <v>400</v>
      </c>
      <c r="J159" s="248">
        <v>3</v>
      </c>
      <c r="K159" s="250" t="s">
        <v>76</v>
      </c>
      <c r="L159" s="248" t="s">
        <v>284</v>
      </c>
      <c r="M159" s="248" t="s">
        <v>60</v>
      </c>
      <c r="N159" s="248" t="s">
        <v>38</v>
      </c>
      <c r="O159" s="248" t="s">
        <v>78</v>
      </c>
      <c r="P159" s="251">
        <v>44431</v>
      </c>
      <c r="Q159" s="251" t="s">
        <v>384</v>
      </c>
      <c r="R159" s="251" t="s">
        <v>384</v>
      </c>
      <c r="S159" s="251">
        <v>44166</v>
      </c>
      <c r="T159" s="251">
        <v>44431</v>
      </c>
      <c r="U159" s="251"/>
      <c r="V159" s="252"/>
      <c r="AA159" s="246"/>
      <c r="AB159" s="247"/>
      <c r="AC159" s="248"/>
      <c r="AD159" s="248"/>
      <c r="AE159" s="248"/>
      <c r="AF159" s="248"/>
      <c r="AG159" s="248"/>
      <c r="AH159" s="249"/>
      <c r="AI159" s="248"/>
      <c r="AJ159" s="248"/>
      <c r="AK159" s="250"/>
      <c r="AL159" s="248"/>
      <c r="AM159" s="248"/>
      <c r="AN159" s="248"/>
      <c r="AO159" s="248"/>
      <c r="AP159" s="251"/>
      <c r="AQ159" s="251"/>
      <c r="AR159" s="251"/>
      <c r="AS159" s="251"/>
      <c r="AT159" s="251"/>
      <c r="AU159" s="251"/>
      <c r="AV159" s="252"/>
    </row>
    <row r="160" spans="1:48" s="242" customFormat="1" ht="21" customHeight="1">
      <c r="A160" s="189">
        <v>159</v>
      </c>
      <c r="B160" s="53" t="s">
        <v>1821</v>
      </c>
      <c r="C160" s="188" t="s">
        <v>84</v>
      </c>
      <c r="D160" s="188" t="s">
        <v>81</v>
      </c>
      <c r="E160" s="188">
        <v>145</v>
      </c>
      <c r="F160" s="188">
        <v>885</v>
      </c>
      <c r="G160" s="188">
        <v>1724</v>
      </c>
      <c r="H160" s="188">
        <v>1948</v>
      </c>
      <c r="I160" s="188" t="s">
        <v>400</v>
      </c>
      <c r="J160" s="188" t="s">
        <v>1469</v>
      </c>
      <c r="K160" s="188" t="s">
        <v>76</v>
      </c>
      <c r="L160" s="188" t="s">
        <v>284</v>
      </c>
      <c r="M160" s="188" t="s">
        <v>60</v>
      </c>
      <c r="N160" s="188" t="s">
        <v>38</v>
      </c>
      <c r="O160" s="188" t="s">
        <v>78</v>
      </c>
      <c r="P160" s="237">
        <v>44551</v>
      </c>
      <c r="Q160" s="237" t="s">
        <v>384</v>
      </c>
      <c r="R160" s="237" t="s">
        <v>384</v>
      </c>
      <c r="S160" s="237"/>
      <c r="T160" s="237"/>
      <c r="U160" s="237"/>
      <c r="V160" s="262"/>
      <c r="AA160" s="239"/>
      <c r="AB160" s="53"/>
      <c r="AC160" s="188"/>
      <c r="AD160" s="188"/>
      <c r="AE160" s="188"/>
      <c r="AF160" s="188"/>
      <c r="AG160" s="188"/>
      <c r="AH160" s="188"/>
      <c r="AI160" s="188"/>
      <c r="AJ160" s="188"/>
      <c r="AK160" s="188"/>
      <c r="AL160" s="188"/>
      <c r="AM160" s="188"/>
      <c r="AN160" s="188"/>
      <c r="AO160" s="188"/>
      <c r="AP160" s="237"/>
      <c r="AQ160" s="237"/>
      <c r="AR160" s="237"/>
      <c r="AS160" s="237"/>
      <c r="AT160" s="237"/>
      <c r="AU160" s="237"/>
      <c r="AV160" s="262"/>
    </row>
    <row r="161" spans="1:48" s="59" customFormat="1" ht="20.100000000000001" customHeight="1">
      <c r="A161" s="189">
        <v>160</v>
      </c>
      <c r="B161" s="50" t="s">
        <v>1761</v>
      </c>
      <c r="C161" s="51" t="s">
        <v>84</v>
      </c>
      <c r="D161" s="51" t="s">
        <v>480</v>
      </c>
      <c r="E161" s="51">
        <v>114</v>
      </c>
      <c r="F161" s="51">
        <v>1060</v>
      </c>
      <c r="G161" s="51">
        <v>1468</v>
      </c>
      <c r="H161" s="188" t="s">
        <v>1762</v>
      </c>
      <c r="I161" s="51" t="s">
        <v>402</v>
      </c>
      <c r="J161" s="51">
        <v>3</v>
      </c>
      <c r="K161" s="188" t="s">
        <v>266</v>
      </c>
      <c r="L161" s="51" t="s">
        <v>261</v>
      </c>
      <c r="M161" s="51" t="s">
        <v>60</v>
      </c>
      <c r="N161" s="51" t="s">
        <v>38</v>
      </c>
      <c r="O161" s="51" t="s">
        <v>78</v>
      </c>
      <c r="P161" s="54">
        <v>44431</v>
      </c>
      <c r="Q161" s="54" t="s">
        <v>384</v>
      </c>
      <c r="R161" s="54" t="s">
        <v>384</v>
      </c>
      <c r="S161" s="54">
        <v>44373</v>
      </c>
      <c r="T161" s="54">
        <v>44431</v>
      </c>
      <c r="U161" s="54"/>
      <c r="V161" s="58"/>
      <c r="AA161" s="189"/>
      <c r="AB161" s="50"/>
      <c r="AC161" s="51"/>
      <c r="AD161" s="51"/>
      <c r="AE161" s="51"/>
      <c r="AF161" s="51"/>
      <c r="AG161" s="51"/>
      <c r="AH161" s="188"/>
      <c r="AI161" s="51"/>
      <c r="AJ161" s="51"/>
      <c r="AK161" s="188"/>
      <c r="AL161" s="51"/>
      <c r="AM161" s="51"/>
      <c r="AN161" s="51"/>
      <c r="AO161" s="51"/>
      <c r="AP161" s="54"/>
      <c r="AQ161" s="54"/>
      <c r="AR161" s="54"/>
      <c r="AS161" s="54"/>
      <c r="AT161" s="54"/>
      <c r="AU161" s="54"/>
      <c r="AV161" s="58"/>
    </row>
    <row r="162" spans="1:48" s="227" customFormat="1" ht="20.100000000000001" customHeight="1">
      <c r="A162" s="189">
        <v>161</v>
      </c>
      <c r="B162" s="247" t="s">
        <v>606</v>
      </c>
      <c r="C162" s="248" t="s">
        <v>84</v>
      </c>
      <c r="D162" s="248" t="s">
        <v>81</v>
      </c>
      <c r="E162" s="248">
        <v>136</v>
      </c>
      <c r="F162" s="248">
        <v>885</v>
      </c>
      <c r="G162" s="248">
        <v>1814</v>
      </c>
      <c r="H162" s="250" t="s">
        <v>1760</v>
      </c>
      <c r="I162" s="248" t="s">
        <v>80</v>
      </c>
      <c r="J162" s="248">
        <v>3</v>
      </c>
      <c r="K162" s="250" t="s">
        <v>76</v>
      </c>
      <c r="L162" s="248" t="s">
        <v>77</v>
      </c>
      <c r="M162" s="248" t="s">
        <v>60</v>
      </c>
      <c r="N162" s="248" t="s">
        <v>38</v>
      </c>
      <c r="O162" s="248" t="s">
        <v>78</v>
      </c>
      <c r="P162" s="251">
        <v>44428</v>
      </c>
      <c r="Q162" s="251" t="s">
        <v>384</v>
      </c>
      <c r="R162" s="251" t="s">
        <v>384</v>
      </c>
      <c r="S162" s="251">
        <v>44376</v>
      </c>
      <c r="T162" s="251"/>
      <c r="U162" s="251"/>
      <c r="V162" s="252"/>
      <c r="AA162" s="246"/>
      <c r="AB162" s="247"/>
      <c r="AC162" s="248"/>
      <c r="AD162" s="248"/>
      <c r="AE162" s="248"/>
      <c r="AF162" s="248"/>
      <c r="AG162" s="248"/>
      <c r="AH162" s="250"/>
      <c r="AI162" s="248"/>
      <c r="AJ162" s="248"/>
      <c r="AK162" s="250"/>
      <c r="AL162" s="248"/>
      <c r="AM162" s="248"/>
      <c r="AN162" s="248"/>
      <c r="AO162" s="248"/>
      <c r="AP162" s="251"/>
      <c r="AQ162" s="251"/>
      <c r="AR162" s="251"/>
      <c r="AS162" s="251"/>
      <c r="AT162" s="251"/>
      <c r="AU162" s="251"/>
      <c r="AV162" s="252"/>
    </row>
    <row r="163" spans="1:48" s="59" customFormat="1" ht="20.100000000000001" customHeight="1">
      <c r="A163" s="189">
        <v>162</v>
      </c>
      <c r="B163" s="50" t="s">
        <v>1759</v>
      </c>
      <c r="C163" s="51" t="s">
        <v>84</v>
      </c>
      <c r="D163" s="51" t="s">
        <v>81</v>
      </c>
      <c r="E163" s="51">
        <v>136</v>
      </c>
      <c r="F163" s="51">
        <v>885</v>
      </c>
      <c r="G163" s="51">
        <v>1814</v>
      </c>
      <c r="H163" s="188" t="s">
        <v>1760</v>
      </c>
      <c r="I163" s="51" t="s">
        <v>80</v>
      </c>
      <c r="J163" s="51">
        <v>3</v>
      </c>
      <c r="K163" s="188" t="s">
        <v>76</v>
      </c>
      <c r="L163" s="51" t="s">
        <v>77</v>
      </c>
      <c r="M163" s="51" t="s">
        <v>60</v>
      </c>
      <c r="N163" s="51" t="s">
        <v>39</v>
      </c>
      <c r="O163" s="51" t="s">
        <v>78</v>
      </c>
      <c r="P163" s="54">
        <v>44554</v>
      </c>
      <c r="Q163" s="54">
        <v>44554</v>
      </c>
      <c r="R163" s="54">
        <v>44554</v>
      </c>
      <c r="S163" s="54">
        <v>44376</v>
      </c>
      <c r="T163" s="54"/>
      <c r="U163" s="54"/>
      <c r="V163" s="58"/>
      <c r="AA163" s="189"/>
      <c r="AB163" s="50"/>
      <c r="AC163" s="51"/>
      <c r="AD163" s="51"/>
      <c r="AE163" s="51"/>
      <c r="AF163" s="51"/>
      <c r="AG163" s="51"/>
      <c r="AH163" s="188"/>
      <c r="AI163" s="51"/>
      <c r="AJ163" s="51"/>
      <c r="AK163" s="188"/>
      <c r="AL163" s="51"/>
      <c r="AM163" s="51"/>
      <c r="AN163" s="51"/>
      <c r="AO163" s="51"/>
      <c r="AP163" s="54"/>
      <c r="AQ163" s="54"/>
      <c r="AR163" s="54"/>
      <c r="AS163" s="54"/>
      <c r="AT163" s="54"/>
      <c r="AU163" s="54"/>
      <c r="AV163" s="58"/>
    </row>
    <row r="164" spans="1:48" s="59" customFormat="1" ht="20.100000000000001" customHeight="1">
      <c r="A164" s="189">
        <v>163</v>
      </c>
      <c r="B164" s="50" t="s">
        <v>607</v>
      </c>
      <c r="C164" s="51" t="s">
        <v>404</v>
      </c>
      <c r="D164" s="51" t="s">
        <v>475</v>
      </c>
      <c r="E164" s="51">
        <v>118</v>
      </c>
      <c r="F164" s="51">
        <v>902</v>
      </c>
      <c r="G164" s="51">
        <v>1458</v>
      </c>
      <c r="H164" s="190">
        <v>1616</v>
      </c>
      <c r="I164" s="51" t="s">
        <v>405</v>
      </c>
      <c r="J164" s="51">
        <v>5</v>
      </c>
      <c r="K164" s="188" t="s">
        <v>406</v>
      </c>
      <c r="L164" s="51" t="s">
        <v>226</v>
      </c>
      <c r="M164" s="51" t="s">
        <v>60</v>
      </c>
      <c r="N164" s="51" t="s">
        <v>37</v>
      </c>
      <c r="O164" s="51" t="s">
        <v>27</v>
      </c>
      <c r="P164" s="54">
        <v>44405</v>
      </c>
      <c r="Q164" s="54">
        <v>44405</v>
      </c>
      <c r="R164" s="54" t="s">
        <v>384</v>
      </c>
      <c r="S164" s="54">
        <v>44405</v>
      </c>
      <c r="T164" s="54"/>
      <c r="U164" s="54"/>
      <c r="V164" s="58"/>
      <c r="AA164" s="189"/>
      <c r="AB164" s="50"/>
      <c r="AC164" s="51"/>
      <c r="AD164" s="51"/>
      <c r="AE164" s="51"/>
      <c r="AF164" s="51"/>
      <c r="AG164" s="51"/>
      <c r="AH164" s="190"/>
      <c r="AI164" s="51"/>
      <c r="AJ164" s="51"/>
      <c r="AK164" s="188"/>
      <c r="AL164" s="51"/>
      <c r="AM164" s="51"/>
      <c r="AN164" s="51"/>
      <c r="AO164" s="51"/>
      <c r="AP164" s="54"/>
      <c r="AQ164" s="54"/>
      <c r="AR164" s="54"/>
      <c r="AS164" s="54"/>
      <c r="AT164" s="54"/>
      <c r="AU164" s="54"/>
      <c r="AV164" s="58"/>
    </row>
    <row r="165" spans="1:48" s="59" customFormat="1" ht="20.100000000000001" customHeight="1">
      <c r="A165" s="189">
        <v>164</v>
      </c>
      <c r="B165" s="50" t="s">
        <v>607</v>
      </c>
      <c r="C165" s="51" t="s">
        <v>404</v>
      </c>
      <c r="D165" s="51" t="s">
        <v>475</v>
      </c>
      <c r="E165" s="51" t="s">
        <v>1472</v>
      </c>
      <c r="F165" s="51" t="s">
        <v>1473</v>
      </c>
      <c r="G165" s="51" t="s">
        <v>1474</v>
      </c>
      <c r="H165" s="199" t="s">
        <v>1475</v>
      </c>
      <c r="I165" s="51" t="s">
        <v>405</v>
      </c>
      <c r="J165" s="51" t="s">
        <v>990</v>
      </c>
      <c r="K165" s="199" t="s">
        <v>406</v>
      </c>
      <c r="L165" s="51" t="s">
        <v>226</v>
      </c>
      <c r="M165" s="51" t="s">
        <v>60</v>
      </c>
      <c r="N165" s="51" t="s">
        <v>38</v>
      </c>
      <c r="O165" s="51" t="s">
        <v>27</v>
      </c>
      <c r="P165" s="54">
        <v>44478</v>
      </c>
      <c r="Q165" s="54">
        <v>44405</v>
      </c>
      <c r="R165" s="54" t="s">
        <v>384</v>
      </c>
      <c r="S165" s="54" t="s">
        <v>384</v>
      </c>
      <c r="T165" s="54">
        <v>44478</v>
      </c>
      <c r="U165" s="54" t="s">
        <v>648</v>
      </c>
      <c r="V165" s="58" t="s">
        <v>648</v>
      </c>
      <c r="AA165" s="189"/>
      <c r="AB165" s="50"/>
      <c r="AC165" s="51"/>
      <c r="AD165" s="51"/>
      <c r="AE165" s="51"/>
      <c r="AF165" s="51"/>
      <c r="AG165" s="51"/>
      <c r="AH165" s="199"/>
      <c r="AI165" s="51"/>
      <c r="AJ165" s="51"/>
      <c r="AK165" s="199"/>
      <c r="AL165" s="51"/>
      <c r="AM165" s="51"/>
      <c r="AN165" s="51"/>
      <c r="AO165" s="51"/>
      <c r="AP165" s="54"/>
      <c r="AQ165" s="54"/>
      <c r="AR165" s="54"/>
      <c r="AS165" s="54"/>
      <c r="AT165" s="54"/>
      <c r="AU165" s="54"/>
      <c r="AV165" s="58"/>
    </row>
    <row r="166" spans="1:48" s="59" customFormat="1" ht="20.100000000000001" customHeight="1">
      <c r="A166" s="189">
        <v>165</v>
      </c>
      <c r="B166" s="50" t="s">
        <v>1626</v>
      </c>
      <c r="C166" s="51" t="s">
        <v>404</v>
      </c>
      <c r="D166" s="51" t="s">
        <v>475</v>
      </c>
      <c r="E166" s="51" t="s">
        <v>1472</v>
      </c>
      <c r="F166" s="51" t="s">
        <v>1473</v>
      </c>
      <c r="G166" s="51" t="s">
        <v>1474</v>
      </c>
      <c r="H166" s="188" t="s">
        <v>1475</v>
      </c>
      <c r="I166" s="51" t="s">
        <v>1476</v>
      </c>
      <c r="J166" s="51" t="s">
        <v>1627</v>
      </c>
      <c r="K166" s="205" t="s">
        <v>406</v>
      </c>
      <c r="L166" s="51" t="s">
        <v>1477</v>
      </c>
      <c r="M166" s="51" t="s">
        <v>60</v>
      </c>
      <c r="N166" s="51" t="s">
        <v>37</v>
      </c>
      <c r="O166" s="51" t="s">
        <v>27</v>
      </c>
      <c r="P166" s="54" t="s">
        <v>1625</v>
      </c>
      <c r="Q166" s="54" t="s">
        <v>1625</v>
      </c>
      <c r="R166" s="54" t="s">
        <v>1625</v>
      </c>
      <c r="S166" s="54" t="s">
        <v>384</v>
      </c>
      <c r="T166" s="54" t="s">
        <v>384</v>
      </c>
      <c r="U166" s="54" t="s">
        <v>1628</v>
      </c>
      <c r="V166" s="58" t="s">
        <v>1696</v>
      </c>
      <c r="AA166" s="189"/>
      <c r="AB166" s="50"/>
      <c r="AC166" s="51"/>
      <c r="AD166" s="51"/>
      <c r="AE166" s="51"/>
      <c r="AF166" s="51"/>
      <c r="AG166" s="51"/>
      <c r="AH166" s="188"/>
      <c r="AI166" s="51"/>
      <c r="AJ166" s="51"/>
      <c r="AK166" s="205"/>
      <c r="AL166" s="51"/>
      <c r="AM166" s="51"/>
      <c r="AN166" s="51"/>
      <c r="AO166" s="51"/>
      <c r="AP166" s="54"/>
      <c r="AQ166" s="54"/>
      <c r="AR166" s="54"/>
      <c r="AS166" s="54"/>
      <c r="AT166" s="54"/>
      <c r="AU166" s="54"/>
      <c r="AV166" s="58"/>
    </row>
    <row r="167" spans="1:48" s="59" customFormat="1" ht="20.100000000000001" customHeight="1">
      <c r="A167" s="189">
        <v>166</v>
      </c>
      <c r="B167" s="50" t="s">
        <v>1647</v>
      </c>
      <c r="C167" s="51" t="s">
        <v>404</v>
      </c>
      <c r="D167" s="51" t="s">
        <v>475</v>
      </c>
      <c r="E167" s="51" t="s">
        <v>1472</v>
      </c>
      <c r="F167" s="51" t="s">
        <v>1473</v>
      </c>
      <c r="G167" s="51" t="s">
        <v>1474</v>
      </c>
      <c r="H167" s="205" t="s">
        <v>1475</v>
      </c>
      <c r="I167" s="51" t="s">
        <v>1476</v>
      </c>
      <c r="J167" s="51" t="s">
        <v>1627</v>
      </c>
      <c r="K167" s="205" t="s">
        <v>406</v>
      </c>
      <c r="L167" s="51" t="s">
        <v>1477</v>
      </c>
      <c r="M167" s="51" t="s">
        <v>60</v>
      </c>
      <c r="N167" s="51" t="s">
        <v>37</v>
      </c>
      <c r="O167" s="51" t="s">
        <v>27</v>
      </c>
      <c r="P167" s="54" t="s">
        <v>1628</v>
      </c>
      <c r="Q167" s="54" t="s">
        <v>1628</v>
      </c>
      <c r="R167" s="54" t="s">
        <v>1628</v>
      </c>
      <c r="S167" s="54" t="s">
        <v>384</v>
      </c>
      <c r="T167" s="54" t="s">
        <v>384</v>
      </c>
      <c r="U167" s="54" t="s">
        <v>1648</v>
      </c>
      <c r="V167" s="58" t="s">
        <v>1697</v>
      </c>
      <c r="AA167" s="189"/>
      <c r="AB167" s="50"/>
      <c r="AC167" s="51"/>
      <c r="AD167" s="51"/>
      <c r="AE167" s="51"/>
      <c r="AF167" s="51"/>
      <c r="AG167" s="51"/>
      <c r="AH167" s="205"/>
      <c r="AI167" s="51"/>
      <c r="AJ167" s="51"/>
      <c r="AK167" s="205"/>
      <c r="AL167" s="51"/>
      <c r="AM167" s="51"/>
      <c r="AN167" s="51"/>
      <c r="AO167" s="51"/>
      <c r="AP167" s="54"/>
      <c r="AQ167" s="54"/>
      <c r="AR167" s="54"/>
      <c r="AS167" s="54"/>
      <c r="AT167" s="54"/>
      <c r="AU167" s="54"/>
      <c r="AV167" s="58"/>
    </row>
    <row r="168" spans="1:48" s="227" customFormat="1" ht="20.100000000000001" customHeight="1">
      <c r="A168" s="189">
        <v>167</v>
      </c>
      <c r="B168" s="50" t="s">
        <v>1695</v>
      </c>
      <c r="C168" s="51" t="s">
        <v>404</v>
      </c>
      <c r="D168" s="51" t="s">
        <v>475</v>
      </c>
      <c r="E168" s="51" t="s">
        <v>1472</v>
      </c>
      <c r="F168" s="51" t="s">
        <v>1473</v>
      </c>
      <c r="G168" s="51" t="s">
        <v>1474</v>
      </c>
      <c r="H168" s="190" t="s">
        <v>1475</v>
      </c>
      <c r="I168" s="51" t="s">
        <v>1476</v>
      </c>
      <c r="J168" s="51" t="s">
        <v>1627</v>
      </c>
      <c r="K168" s="188" t="s">
        <v>406</v>
      </c>
      <c r="L168" s="51" t="s">
        <v>1477</v>
      </c>
      <c r="M168" s="51" t="s">
        <v>60</v>
      </c>
      <c r="N168" s="51" t="s">
        <v>37</v>
      </c>
      <c r="O168" s="51" t="s">
        <v>27</v>
      </c>
      <c r="P168" s="54">
        <v>44517</v>
      </c>
      <c r="Q168" s="54">
        <v>44517</v>
      </c>
      <c r="R168" s="54">
        <v>44517</v>
      </c>
      <c r="S168" s="54" t="s">
        <v>384</v>
      </c>
      <c r="T168" s="54" t="s">
        <v>384</v>
      </c>
      <c r="U168" s="54">
        <v>44571</v>
      </c>
      <c r="V168" s="58" t="s">
        <v>1698</v>
      </c>
      <c r="AA168" s="189"/>
      <c r="AB168" s="50"/>
      <c r="AC168" s="51"/>
      <c r="AD168" s="51"/>
      <c r="AE168" s="51"/>
      <c r="AF168" s="51"/>
      <c r="AG168" s="51"/>
      <c r="AH168" s="190"/>
      <c r="AI168" s="51"/>
      <c r="AJ168" s="51"/>
      <c r="AK168" s="188"/>
      <c r="AL168" s="51"/>
      <c r="AM168" s="51"/>
      <c r="AN168" s="51"/>
      <c r="AO168" s="51"/>
      <c r="AP168" s="54"/>
      <c r="AQ168" s="54"/>
      <c r="AR168" s="54"/>
      <c r="AS168" s="54"/>
      <c r="AT168" s="54"/>
      <c r="AU168" s="54"/>
      <c r="AV168" s="58"/>
    </row>
    <row r="169" spans="1:48" s="59" customFormat="1" ht="20.100000000000001" customHeight="1">
      <c r="A169" s="189">
        <v>168</v>
      </c>
      <c r="B169" s="50" t="s">
        <v>1756</v>
      </c>
      <c r="C169" s="51" t="s">
        <v>404</v>
      </c>
      <c r="D169" s="51" t="s">
        <v>475</v>
      </c>
      <c r="E169" s="51" t="s">
        <v>1472</v>
      </c>
      <c r="F169" s="51" t="s">
        <v>1473</v>
      </c>
      <c r="G169" s="51" t="s">
        <v>1757</v>
      </c>
      <c r="H169" s="188" t="s">
        <v>1758</v>
      </c>
      <c r="I169" s="51" t="s">
        <v>1476</v>
      </c>
      <c r="J169" s="51" t="s">
        <v>1627</v>
      </c>
      <c r="K169" s="188" t="s">
        <v>406</v>
      </c>
      <c r="L169" s="51" t="s">
        <v>1477</v>
      </c>
      <c r="M169" s="51" t="s">
        <v>60</v>
      </c>
      <c r="N169" s="51" t="s">
        <v>37</v>
      </c>
      <c r="O169" s="51" t="s">
        <v>27</v>
      </c>
      <c r="P169" s="54">
        <v>44571</v>
      </c>
      <c r="Q169" s="54">
        <v>44571</v>
      </c>
      <c r="R169" s="54">
        <v>44571</v>
      </c>
      <c r="S169" s="54" t="s">
        <v>384</v>
      </c>
      <c r="T169" s="54">
        <v>44571</v>
      </c>
      <c r="U169" s="54"/>
      <c r="V169" s="58"/>
      <c r="AA169" s="189"/>
      <c r="AB169" s="50"/>
      <c r="AC169" s="51"/>
      <c r="AD169" s="51"/>
      <c r="AE169" s="51"/>
      <c r="AF169" s="51"/>
      <c r="AG169" s="51"/>
      <c r="AH169" s="188"/>
      <c r="AI169" s="51"/>
      <c r="AJ169" s="51"/>
      <c r="AK169" s="188"/>
      <c r="AL169" s="51"/>
      <c r="AM169" s="51"/>
      <c r="AN169" s="51"/>
      <c r="AO169" s="51"/>
      <c r="AP169" s="54"/>
      <c r="AQ169" s="54"/>
      <c r="AR169" s="54"/>
      <c r="AS169" s="54"/>
      <c r="AT169" s="54"/>
      <c r="AU169" s="54"/>
      <c r="AV169" s="58"/>
    </row>
    <row r="170" spans="1:48" s="59" customFormat="1" ht="20.100000000000001" customHeight="1">
      <c r="A170" s="189">
        <v>169</v>
      </c>
      <c r="B170" s="50" t="s">
        <v>1822</v>
      </c>
      <c r="C170" s="51" t="s">
        <v>404</v>
      </c>
      <c r="D170" s="51" t="s">
        <v>475</v>
      </c>
      <c r="E170" s="51" t="s">
        <v>1472</v>
      </c>
      <c r="F170" s="51" t="s">
        <v>1473</v>
      </c>
      <c r="G170" s="51" t="s">
        <v>1757</v>
      </c>
      <c r="H170" s="188" t="s">
        <v>1758</v>
      </c>
      <c r="I170" s="51" t="s">
        <v>1476</v>
      </c>
      <c r="J170" s="51" t="s">
        <v>1627</v>
      </c>
      <c r="K170" s="188" t="s">
        <v>406</v>
      </c>
      <c r="L170" s="51" t="s">
        <v>1477</v>
      </c>
      <c r="M170" s="51" t="s">
        <v>60</v>
      </c>
      <c r="N170" s="51" t="s">
        <v>37</v>
      </c>
      <c r="O170" s="51" t="s">
        <v>27</v>
      </c>
      <c r="P170" s="54">
        <v>44571</v>
      </c>
      <c r="Q170" s="54">
        <v>44571</v>
      </c>
      <c r="R170" s="54">
        <v>44571</v>
      </c>
      <c r="S170" s="54" t="s">
        <v>384</v>
      </c>
      <c r="T170" s="54">
        <v>44571</v>
      </c>
      <c r="U170" s="54"/>
      <c r="V170" s="58"/>
      <c r="AA170" s="189"/>
      <c r="AB170" s="50"/>
      <c r="AC170" s="51"/>
      <c r="AD170" s="51"/>
      <c r="AE170" s="51"/>
      <c r="AF170" s="51"/>
      <c r="AG170" s="51"/>
      <c r="AH170" s="188"/>
      <c r="AI170" s="51"/>
      <c r="AJ170" s="51"/>
      <c r="AK170" s="188"/>
      <c r="AL170" s="51"/>
      <c r="AM170" s="51"/>
      <c r="AN170" s="51"/>
      <c r="AO170" s="51"/>
      <c r="AP170" s="54"/>
      <c r="AQ170" s="54"/>
      <c r="AR170" s="54"/>
      <c r="AS170" s="54"/>
      <c r="AT170" s="54"/>
      <c r="AU170" s="54"/>
      <c r="AV170" s="58"/>
    </row>
    <row r="171" spans="1:48" s="59" customFormat="1" ht="20.100000000000001" customHeight="1">
      <c r="A171" s="189">
        <v>170</v>
      </c>
      <c r="B171" s="50" t="s">
        <v>608</v>
      </c>
      <c r="C171" s="51" t="s">
        <v>404</v>
      </c>
      <c r="D171" s="51" t="s">
        <v>1036</v>
      </c>
      <c r="E171" s="51" t="s">
        <v>1478</v>
      </c>
      <c r="F171" s="51" t="s">
        <v>1473</v>
      </c>
      <c r="G171" s="51" t="s">
        <v>1479</v>
      </c>
      <c r="H171" s="190" t="s">
        <v>1480</v>
      </c>
      <c r="I171" s="51" t="s">
        <v>1481</v>
      </c>
      <c r="J171" s="51" t="s">
        <v>1008</v>
      </c>
      <c r="K171" s="188" t="s">
        <v>409</v>
      </c>
      <c r="L171" s="51" t="s">
        <v>1477</v>
      </c>
      <c r="M171" s="51" t="s">
        <v>60</v>
      </c>
      <c r="N171" s="51" t="s">
        <v>37</v>
      </c>
      <c r="O171" s="51" t="s">
        <v>27</v>
      </c>
      <c r="P171" s="54" t="s">
        <v>1565</v>
      </c>
      <c r="Q171" s="54" t="s">
        <v>384</v>
      </c>
      <c r="R171" s="54" t="s">
        <v>384</v>
      </c>
      <c r="S171" s="54">
        <v>44480</v>
      </c>
      <c r="T171" s="54" t="s">
        <v>648</v>
      </c>
      <c r="U171" s="54" t="s">
        <v>648</v>
      </c>
      <c r="V171" s="58" t="s">
        <v>648</v>
      </c>
      <c r="AA171" s="189"/>
      <c r="AB171" s="50"/>
      <c r="AC171" s="51"/>
      <c r="AD171" s="51"/>
      <c r="AE171" s="51"/>
      <c r="AF171" s="51"/>
      <c r="AG171" s="51"/>
      <c r="AH171" s="190"/>
      <c r="AI171" s="51"/>
      <c r="AJ171" s="51"/>
      <c r="AK171" s="188"/>
      <c r="AL171" s="51"/>
      <c r="AM171" s="51"/>
      <c r="AN171" s="51"/>
      <c r="AO171" s="51"/>
      <c r="AP171" s="54"/>
      <c r="AQ171" s="54"/>
      <c r="AR171" s="54"/>
      <c r="AS171" s="54"/>
      <c r="AT171" s="54"/>
      <c r="AU171" s="54"/>
      <c r="AV171" s="58"/>
    </row>
    <row r="172" spans="1:48" s="59" customFormat="1" ht="20.100000000000001" customHeight="1">
      <c r="A172" s="189">
        <v>171</v>
      </c>
      <c r="B172" s="50" t="s">
        <v>608</v>
      </c>
      <c r="C172" s="51" t="s">
        <v>404</v>
      </c>
      <c r="D172" s="51" t="s">
        <v>1036</v>
      </c>
      <c r="E172" s="51" t="s">
        <v>1478</v>
      </c>
      <c r="F172" s="51" t="s">
        <v>1473</v>
      </c>
      <c r="G172" s="51" t="s">
        <v>1479</v>
      </c>
      <c r="H172" s="190" t="s">
        <v>1480</v>
      </c>
      <c r="I172" s="51" t="s">
        <v>408</v>
      </c>
      <c r="J172" s="51" t="s">
        <v>990</v>
      </c>
      <c r="K172" s="188" t="s">
        <v>409</v>
      </c>
      <c r="L172" s="51" t="s">
        <v>226</v>
      </c>
      <c r="M172" s="51" t="s">
        <v>60</v>
      </c>
      <c r="N172" s="51" t="s">
        <v>38</v>
      </c>
      <c r="O172" s="51" t="s">
        <v>27</v>
      </c>
      <c r="P172" s="54">
        <v>44478</v>
      </c>
      <c r="Q172" s="54" t="s">
        <v>384</v>
      </c>
      <c r="R172" s="54" t="s">
        <v>384</v>
      </c>
      <c r="S172" s="54">
        <v>44404</v>
      </c>
      <c r="T172" s="54">
        <v>44478</v>
      </c>
      <c r="U172" s="54" t="s">
        <v>648</v>
      </c>
      <c r="V172" s="58" t="s">
        <v>648</v>
      </c>
      <c r="AA172" s="189"/>
      <c r="AB172" s="50"/>
      <c r="AC172" s="51"/>
      <c r="AD172" s="51"/>
      <c r="AE172" s="51"/>
      <c r="AF172" s="51"/>
      <c r="AG172" s="51"/>
      <c r="AH172" s="190"/>
      <c r="AI172" s="51"/>
      <c r="AJ172" s="51"/>
      <c r="AK172" s="188"/>
      <c r="AL172" s="51"/>
      <c r="AM172" s="51"/>
      <c r="AN172" s="51"/>
      <c r="AO172" s="51"/>
      <c r="AP172" s="54"/>
      <c r="AQ172" s="54"/>
      <c r="AR172" s="54"/>
      <c r="AS172" s="54"/>
      <c r="AT172" s="54"/>
      <c r="AU172" s="54"/>
      <c r="AV172" s="58"/>
    </row>
    <row r="173" spans="1:48" s="59" customFormat="1" ht="20.100000000000001" customHeight="1">
      <c r="A173" s="189">
        <v>172</v>
      </c>
      <c r="B173" s="50" t="s">
        <v>609</v>
      </c>
      <c r="C173" s="51" t="s">
        <v>404</v>
      </c>
      <c r="D173" s="51" t="s">
        <v>475</v>
      </c>
      <c r="E173" s="51" t="s">
        <v>1482</v>
      </c>
      <c r="F173" s="51" t="s">
        <v>1483</v>
      </c>
      <c r="G173" s="51" t="s">
        <v>1484</v>
      </c>
      <c r="H173" s="190" t="s">
        <v>1464</v>
      </c>
      <c r="I173" s="51" t="s">
        <v>411</v>
      </c>
      <c r="J173" s="51" t="s">
        <v>503</v>
      </c>
      <c r="K173" s="188" t="s">
        <v>412</v>
      </c>
      <c r="L173" s="51" t="s">
        <v>226</v>
      </c>
      <c r="M173" s="51" t="s">
        <v>60</v>
      </c>
      <c r="N173" s="51" t="s">
        <v>38</v>
      </c>
      <c r="O173" s="51" t="s">
        <v>27</v>
      </c>
      <c r="P173" s="54">
        <v>44478</v>
      </c>
      <c r="Q173" s="54">
        <v>44478</v>
      </c>
      <c r="R173" s="54" t="s">
        <v>384</v>
      </c>
      <c r="S173" s="54" t="s">
        <v>384</v>
      </c>
      <c r="T173" s="54">
        <v>44478</v>
      </c>
      <c r="U173" s="54" t="s">
        <v>648</v>
      </c>
      <c r="V173" s="58" t="s">
        <v>648</v>
      </c>
      <c r="AA173" s="189"/>
      <c r="AB173" s="50"/>
      <c r="AC173" s="51"/>
      <c r="AD173" s="51"/>
      <c r="AE173" s="51"/>
      <c r="AF173" s="51"/>
      <c r="AG173" s="51"/>
      <c r="AH173" s="199"/>
      <c r="AI173" s="51"/>
      <c r="AJ173" s="51"/>
      <c r="AK173" s="199"/>
      <c r="AL173" s="51"/>
      <c r="AM173" s="51"/>
      <c r="AN173" s="51"/>
      <c r="AO173" s="51"/>
      <c r="AP173" s="54"/>
      <c r="AQ173" s="54"/>
      <c r="AR173" s="54"/>
      <c r="AS173" s="54"/>
      <c r="AT173" s="54"/>
      <c r="AU173" s="54"/>
      <c r="AV173" s="58"/>
    </row>
    <row r="174" spans="1:48" s="59" customFormat="1" ht="20.100000000000001" customHeight="1">
      <c r="A174" s="189">
        <v>173</v>
      </c>
      <c r="B174" s="50" t="s">
        <v>609</v>
      </c>
      <c r="C174" s="51" t="s">
        <v>404</v>
      </c>
      <c r="D174" s="51" t="s">
        <v>475</v>
      </c>
      <c r="E174" s="51" t="s">
        <v>1482</v>
      </c>
      <c r="F174" s="51" t="s">
        <v>1483</v>
      </c>
      <c r="G174" s="51" t="s">
        <v>1484</v>
      </c>
      <c r="H174" s="199" t="s">
        <v>1464</v>
      </c>
      <c r="I174" s="51" t="s">
        <v>1488</v>
      </c>
      <c r="J174" s="51" t="s">
        <v>1008</v>
      </c>
      <c r="K174" s="199" t="s">
        <v>412</v>
      </c>
      <c r="L174" s="51" t="s">
        <v>1477</v>
      </c>
      <c r="M174" s="51" t="s">
        <v>60</v>
      </c>
      <c r="N174" s="51" t="s">
        <v>37</v>
      </c>
      <c r="O174" s="51" t="s">
        <v>27</v>
      </c>
      <c r="P174" s="54" t="s">
        <v>1565</v>
      </c>
      <c r="Q174" s="54">
        <v>44478</v>
      </c>
      <c r="R174" s="54" t="s">
        <v>384</v>
      </c>
      <c r="S174" s="54">
        <v>44480</v>
      </c>
      <c r="T174" s="54" t="s">
        <v>648</v>
      </c>
      <c r="U174" s="54" t="s">
        <v>648</v>
      </c>
      <c r="V174" s="58" t="s">
        <v>648</v>
      </c>
      <c r="AA174" s="189"/>
      <c r="AB174" s="50"/>
      <c r="AC174" s="51"/>
      <c r="AD174" s="51"/>
      <c r="AE174" s="51"/>
      <c r="AF174" s="51"/>
      <c r="AG174" s="51"/>
      <c r="AH174" s="188"/>
      <c r="AI174" s="51"/>
      <c r="AJ174" s="51"/>
      <c r="AK174" s="188"/>
      <c r="AL174" s="51"/>
      <c r="AM174" s="51"/>
      <c r="AN174" s="51"/>
      <c r="AO174" s="51"/>
      <c r="AP174" s="54"/>
      <c r="AQ174" s="54"/>
      <c r="AR174" s="54"/>
      <c r="AS174" s="54"/>
      <c r="AT174" s="54"/>
      <c r="AU174" s="54"/>
      <c r="AV174" s="58"/>
    </row>
    <row r="175" spans="1:48" s="59" customFormat="1" ht="20.100000000000001" customHeight="1">
      <c r="A175" s="189">
        <v>174</v>
      </c>
      <c r="B175" s="50" t="s">
        <v>610</v>
      </c>
      <c r="C175" s="51" t="s">
        <v>87</v>
      </c>
      <c r="D175" s="51" t="s">
        <v>493</v>
      </c>
      <c r="E175" s="51" t="s">
        <v>1593</v>
      </c>
      <c r="F175" s="51" t="s">
        <v>1575</v>
      </c>
      <c r="G175" s="51" t="s">
        <v>1602</v>
      </c>
      <c r="H175" s="188" t="s">
        <v>1732</v>
      </c>
      <c r="I175" s="51" t="s">
        <v>414</v>
      </c>
      <c r="J175" s="51" t="s">
        <v>993</v>
      </c>
      <c r="K175" s="188" t="s">
        <v>415</v>
      </c>
      <c r="L175" s="51" t="s">
        <v>370</v>
      </c>
      <c r="M175" s="51" t="s">
        <v>59</v>
      </c>
      <c r="N175" s="51" t="s">
        <v>38</v>
      </c>
      <c r="O175" s="51" t="s">
        <v>396</v>
      </c>
      <c r="P175" s="54" t="s">
        <v>1603</v>
      </c>
      <c r="Q175" s="54" t="s">
        <v>1600</v>
      </c>
      <c r="R175" s="54" t="s">
        <v>1486</v>
      </c>
      <c r="S175" s="54">
        <v>44488</v>
      </c>
      <c r="T175" s="54">
        <v>44550</v>
      </c>
      <c r="U175" s="54" t="s">
        <v>648</v>
      </c>
      <c r="V175" s="58" t="s">
        <v>648</v>
      </c>
      <c r="AA175" s="189"/>
      <c r="AB175" s="50"/>
      <c r="AC175" s="51"/>
      <c r="AD175" s="51"/>
      <c r="AE175" s="51"/>
      <c r="AF175" s="51"/>
      <c r="AG175" s="51"/>
      <c r="AH175" s="190"/>
      <c r="AI175" s="51"/>
      <c r="AJ175" s="51"/>
      <c r="AK175" s="188"/>
      <c r="AL175" s="51"/>
      <c r="AM175" s="51"/>
      <c r="AN175" s="51"/>
      <c r="AO175" s="51"/>
      <c r="AP175" s="54"/>
      <c r="AQ175" s="54"/>
      <c r="AR175" s="54"/>
      <c r="AS175" s="54"/>
      <c r="AT175" s="54"/>
      <c r="AU175" s="54"/>
      <c r="AV175" s="58"/>
    </row>
    <row r="176" spans="1:48" s="59" customFormat="1" ht="20.100000000000001" customHeight="1">
      <c r="A176" s="189">
        <v>175</v>
      </c>
      <c r="B176" s="50" t="s">
        <v>611</v>
      </c>
      <c r="C176" s="51" t="s">
        <v>87</v>
      </c>
      <c r="D176" s="51" t="s">
        <v>481</v>
      </c>
      <c r="E176" s="51" t="s">
        <v>1580</v>
      </c>
      <c r="F176" s="51" t="s">
        <v>1575</v>
      </c>
      <c r="G176" s="51" t="s">
        <v>1581</v>
      </c>
      <c r="H176" s="190" t="s">
        <v>1582</v>
      </c>
      <c r="I176" s="51" t="s">
        <v>417</v>
      </c>
      <c r="J176" s="51" t="s">
        <v>1485</v>
      </c>
      <c r="K176" s="188" t="s">
        <v>387</v>
      </c>
      <c r="L176" s="51" t="s">
        <v>370</v>
      </c>
      <c r="M176" s="51" t="s">
        <v>59</v>
      </c>
      <c r="N176" s="51" t="s">
        <v>38</v>
      </c>
      <c r="O176" s="51" t="s">
        <v>396</v>
      </c>
      <c r="P176" s="54" t="s">
        <v>1583</v>
      </c>
      <c r="Q176" s="54" t="s">
        <v>1584</v>
      </c>
      <c r="R176" s="54" t="s">
        <v>1585</v>
      </c>
      <c r="S176" s="54">
        <v>44470</v>
      </c>
      <c r="T176" s="54">
        <v>44521</v>
      </c>
      <c r="U176" s="54" t="s">
        <v>648</v>
      </c>
      <c r="V176" s="58" t="s">
        <v>648</v>
      </c>
      <c r="AA176" s="189"/>
      <c r="AB176" s="50"/>
      <c r="AC176" s="51"/>
      <c r="AD176" s="51"/>
      <c r="AE176" s="51"/>
      <c r="AF176" s="51"/>
      <c r="AG176" s="51"/>
      <c r="AH176" s="190"/>
      <c r="AI176" s="51"/>
      <c r="AJ176" s="51"/>
      <c r="AK176" s="188"/>
      <c r="AL176" s="51"/>
      <c r="AM176" s="51"/>
      <c r="AN176" s="51"/>
      <c r="AO176" s="51"/>
      <c r="AP176" s="54"/>
      <c r="AQ176" s="54"/>
      <c r="AR176" s="54"/>
      <c r="AS176" s="54"/>
      <c r="AT176" s="54"/>
      <c r="AU176" s="54"/>
      <c r="AV176" s="58"/>
    </row>
    <row r="177" spans="1:48" s="59" customFormat="1" ht="20.100000000000001" customHeight="1">
      <c r="A177" s="189">
        <v>176</v>
      </c>
      <c r="B177" s="50" t="s">
        <v>612</v>
      </c>
      <c r="C177" s="51" t="s">
        <v>87</v>
      </c>
      <c r="D177" s="51" t="s">
        <v>494</v>
      </c>
      <c r="E177" s="51" t="s">
        <v>1596</v>
      </c>
      <c r="F177" s="51" t="s">
        <v>1557</v>
      </c>
      <c r="G177" s="51" t="s">
        <v>1597</v>
      </c>
      <c r="H177" s="190" t="s">
        <v>1598</v>
      </c>
      <c r="I177" s="51" t="s">
        <v>419</v>
      </c>
      <c r="J177" s="51" t="s">
        <v>1642</v>
      </c>
      <c r="K177" s="188" t="s">
        <v>420</v>
      </c>
      <c r="L177" s="51" t="s">
        <v>370</v>
      </c>
      <c r="M177" s="51" t="s">
        <v>59</v>
      </c>
      <c r="N177" s="51" t="s">
        <v>38</v>
      </c>
      <c r="O177" s="51" t="s">
        <v>421</v>
      </c>
      <c r="P177" s="54" t="s">
        <v>1599</v>
      </c>
      <c r="Q177" s="54" t="s">
        <v>1600</v>
      </c>
      <c r="R177" s="54" t="s">
        <v>1601</v>
      </c>
      <c r="S177" s="54">
        <v>44532</v>
      </c>
      <c r="T177" s="54">
        <v>44572</v>
      </c>
      <c r="U177" s="54" t="s">
        <v>648</v>
      </c>
      <c r="V177" s="58" t="s">
        <v>648</v>
      </c>
      <c r="AA177" s="189"/>
      <c r="AB177" s="50"/>
      <c r="AC177" s="51"/>
      <c r="AD177" s="51"/>
      <c r="AE177" s="51"/>
      <c r="AF177" s="51"/>
      <c r="AG177" s="51"/>
      <c r="AH177" s="190"/>
      <c r="AI177" s="51"/>
      <c r="AJ177" s="51"/>
      <c r="AK177" s="188"/>
      <c r="AL177" s="51"/>
      <c r="AM177" s="51"/>
      <c r="AN177" s="51"/>
      <c r="AO177" s="51"/>
      <c r="AP177" s="54"/>
      <c r="AQ177" s="54"/>
      <c r="AR177" s="54"/>
      <c r="AS177" s="54"/>
      <c r="AT177" s="54"/>
      <c r="AU177" s="54"/>
      <c r="AV177" s="58"/>
    </row>
    <row r="178" spans="1:48" s="59" customFormat="1" ht="20.100000000000001" customHeight="1">
      <c r="A178" s="189">
        <v>177</v>
      </c>
      <c r="B178" s="50" t="s">
        <v>613</v>
      </c>
      <c r="C178" s="51" t="s">
        <v>84</v>
      </c>
      <c r="D178" s="51" t="s">
        <v>495</v>
      </c>
      <c r="E178" s="51">
        <v>132</v>
      </c>
      <c r="F178" s="51">
        <v>1643</v>
      </c>
      <c r="G178" s="51">
        <v>2165</v>
      </c>
      <c r="H178" s="190">
        <v>1318</v>
      </c>
      <c r="I178" s="51" t="s">
        <v>423</v>
      </c>
      <c r="J178" s="51">
        <v>4</v>
      </c>
      <c r="K178" s="188" t="s">
        <v>424</v>
      </c>
      <c r="L178" s="51" t="s">
        <v>395</v>
      </c>
      <c r="M178" s="51" t="s">
        <v>60</v>
      </c>
      <c r="N178" s="51" t="s">
        <v>36</v>
      </c>
      <c r="O178" s="51" t="s">
        <v>425</v>
      </c>
      <c r="P178" s="54">
        <v>44253</v>
      </c>
      <c r="Q178" s="54">
        <v>44256</v>
      </c>
      <c r="R178" s="54">
        <v>44260</v>
      </c>
      <c r="S178" s="54"/>
      <c r="T178" s="54"/>
      <c r="U178" s="54"/>
      <c r="V178" s="58"/>
      <c r="AA178" s="189"/>
      <c r="AB178" s="50"/>
      <c r="AC178" s="51"/>
      <c r="AD178" s="51"/>
      <c r="AE178" s="51"/>
      <c r="AF178" s="51"/>
      <c r="AG178" s="51"/>
      <c r="AH178" s="190"/>
      <c r="AI178" s="51"/>
      <c r="AJ178" s="51"/>
      <c r="AK178" s="188"/>
      <c r="AL178" s="51"/>
      <c r="AM178" s="51"/>
      <c r="AN178" s="51"/>
      <c r="AO178" s="51"/>
      <c r="AP178" s="54"/>
      <c r="AQ178" s="54"/>
      <c r="AR178" s="54"/>
      <c r="AS178" s="54"/>
      <c r="AT178" s="54"/>
      <c r="AU178" s="54"/>
      <c r="AV178" s="58"/>
    </row>
    <row r="179" spans="1:48" s="59" customFormat="1" ht="20.100000000000001" customHeight="1">
      <c r="A179" s="189">
        <v>178</v>
      </c>
      <c r="B179" s="50" t="s">
        <v>613</v>
      </c>
      <c r="C179" s="51" t="s">
        <v>84</v>
      </c>
      <c r="D179" s="51" t="s">
        <v>495</v>
      </c>
      <c r="E179" s="51">
        <v>132</v>
      </c>
      <c r="F179" s="51">
        <v>1643</v>
      </c>
      <c r="G179" s="51">
        <v>2165</v>
      </c>
      <c r="H179" s="190">
        <v>1318</v>
      </c>
      <c r="I179" s="51" t="s">
        <v>423</v>
      </c>
      <c r="J179" s="51">
        <v>5</v>
      </c>
      <c r="K179" s="188" t="s">
        <v>424</v>
      </c>
      <c r="L179" s="51" t="s">
        <v>395</v>
      </c>
      <c r="M179" s="51" t="s">
        <v>60</v>
      </c>
      <c r="N179" s="51" t="s">
        <v>36</v>
      </c>
      <c r="O179" s="51" t="s">
        <v>425</v>
      </c>
      <c r="P179" s="54">
        <v>44253</v>
      </c>
      <c r="Q179" s="54">
        <v>44256</v>
      </c>
      <c r="R179" s="54">
        <v>44263</v>
      </c>
      <c r="S179" s="54"/>
      <c r="T179" s="54"/>
      <c r="U179" s="54"/>
      <c r="V179" s="58"/>
      <c r="AA179" s="189"/>
      <c r="AB179" s="50"/>
      <c r="AC179" s="51"/>
      <c r="AD179" s="51"/>
      <c r="AE179" s="51"/>
      <c r="AF179" s="51"/>
      <c r="AG179" s="51"/>
      <c r="AH179" s="190"/>
      <c r="AI179" s="51"/>
      <c r="AJ179" s="51"/>
      <c r="AK179" s="188"/>
      <c r="AL179" s="51"/>
      <c r="AM179" s="51"/>
      <c r="AN179" s="51"/>
      <c r="AO179" s="51"/>
      <c r="AP179" s="54"/>
      <c r="AQ179" s="54"/>
      <c r="AR179" s="54"/>
      <c r="AS179" s="54"/>
      <c r="AT179" s="54"/>
      <c r="AU179" s="54"/>
      <c r="AV179" s="58"/>
    </row>
    <row r="180" spans="1:48" s="59" customFormat="1" ht="20.100000000000001" customHeight="1">
      <c r="A180" s="189">
        <v>179</v>
      </c>
      <c r="B180" s="50" t="s">
        <v>613</v>
      </c>
      <c r="C180" s="51" t="s">
        <v>84</v>
      </c>
      <c r="D180" s="51" t="s">
        <v>495</v>
      </c>
      <c r="E180" s="51">
        <v>132</v>
      </c>
      <c r="F180" s="51">
        <v>1643</v>
      </c>
      <c r="G180" s="51">
        <v>2165</v>
      </c>
      <c r="H180" s="190">
        <v>1318</v>
      </c>
      <c r="I180" s="51" t="s">
        <v>423</v>
      </c>
      <c r="J180" s="51">
        <v>6</v>
      </c>
      <c r="K180" s="188" t="s">
        <v>424</v>
      </c>
      <c r="L180" s="51" t="s">
        <v>395</v>
      </c>
      <c r="M180" s="51" t="s">
        <v>60</v>
      </c>
      <c r="N180" s="51" t="s">
        <v>36</v>
      </c>
      <c r="O180" s="51" t="s">
        <v>425</v>
      </c>
      <c r="P180" s="54">
        <v>44253</v>
      </c>
      <c r="Q180" s="54">
        <v>44256</v>
      </c>
      <c r="R180" s="54">
        <v>44263</v>
      </c>
      <c r="S180" s="54"/>
      <c r="T180" s="54"/>
      <c r="U180" s="54"/>
      <c r="V180" s="58"/>
      <c r="W180" s="208"/>
      <c r="AA180" s="189"/>
      <c r="AB180" s="50"/>
      <c r="AC180" s="51"/>
      <c r="AD180" s="51"/>
      <c r="AE180" s="51"/>
      <c r="AF180" s="51"/>
      <c r="AG180" s="51"/>
      <c r="AH180" s="190"/>
      <c r="AI180" s="51"/>
      <c r="AJ180" s="51"/>
      <c r="AK180" s="188"/>
      <c r="AL180" s="51"/>
      <c r="AM180" s="51"/>
      <c r="AN180" s="51"/>
      <c r="AO180" s="51"/>
      <c r="AP180" s="54"/>
      <c r="AQ180" s="54"/>
      <c r="AR180" s="54"/>
      <c r="AS180" s="54"/>
      <c r="AT180" s="54"/>
      <c r="AU180" s="54"/>
      <c r="AV180" s="58"/>
    </row>
    <row r="181" spans="1:48" s="59" customFormat="1" ht="20.100000000000001" customHeight="1">
      <c r="A181" s="189">
        <v>180</v>
      </c>
      <c r="B181" s="50" t="s">
        <v>614</v>
      </c>
      <c r="C181" s="51" t="s">
        <v>84</v>
      </c>
      <c r="D181" s="51" t="s">
        <v>491</v>
      </c>
      <c r="E181" s="51">
        <v>180</v>
      </c>
      <c r="F181" s="51">
        <v>1495</v>
      </c>
      <c r="G181" s="51">
        <v>3046</v>
      </c>
      <c r="H181" s="190">
        <v>2037</v>
      </c>
      <c r="I181" s="51" t="s">
        <v>427</v>
      </c>
      <c r="J181" s="51">
        <v>6</v>
      </c>
      <c r="K181" s="188" t="s">
        <v>298</v>
      </c>
      <c r="L181" s="51" t="s">
        <v>370</v>
      </c>
      <c r="M181" s="51" t="s">
        <v>60</v>
      </c>
      <c r="N181" s="51" t="s">
        <v>36</v>
      </c>
      <c r="O181" s="51" t="s">
        <v>425</v>
      </c>
      <c r="P181" s="54">
        <v>44253</v>
      </c>
      <c r="Q181" s="54">
        <v>44253</v>
      </c>
      <c r="R181" s="54" t="s">
        <v>384</v>
      </c>
      <c r="S181" s="54"/>
      <c r="T181" s="54"/>
      <c r="U181" s="54"/>
      <c r="V181" s="58"/>
      <c r="W181" s="208"/>
      <c r="AA181" s="189"/>
      <c r="AB181" s="50"/>
      <c r="AC181" s="51"/>
      <c r="AD181" s="51"/>
      <c r="AE181" s="51"/>
      <c r="AF181" s="51"/>
      <c r="AG181" s="51"/>
      <c r="AH181" s="190"/>
      <c r="AI181" s="51"/>
      <c r="AJ181" s="51"/>
      <c r="AK181" s="188"/>
      <c r="AL181" s="51"/>
      <c r="AM181" s="51"/>
      <c r="AN181" s="51"/>
      <c r="AO181" s="51"/>
      <c r="AP181" s="54"/>
      <c r="AQ181" s="54"/>
      <c r="AR181" s="54"/>
      <c r="AS181" s="54"/>
      <c r="AT181" s="54"/>
      <c r="AU181" s="54"/>
      <c r="AV181" s="58"/>
    </row>
    <row r="182" spans="1:48" s="59" customFormat="1" ht="20.100000000000001" customHeight="1">
      <c r="A182" s="189">
        <v>181</v>
      </c>
      <c r="B182" s="50" t="s">
        <v>614</v>
      </c>
      <c r="C182" s="51" t="s">
        <v>84</v>
      </c>
      <c r="D182" s="51" t="s">
        <v>491</v>
      </c>
      <c r="E182" s="51">
        <v>180</v>
      </c>
      <c r="F182" s="51">
        <v>1495</v>
      </c>
      <c r="G182" s="51">
        <v>3046</v>
      </c>
      <c r="H182" s="190">
        <v>2037</v>
      </c>
      <c r="I182" s="51" t="s">
        <v>427</v>
      </c>
      <c r="J182" s="51">
        <v>9</v>
      </c>
      <c r="K182" s="188" t="s">
        <v>298</v>
      </c>
      <c r="L182" s="51" t="s">
        <v>370</v>
      </c>
      <c r="M182" s="51" t="s">
        <v>60</v>
      </c>
      <c r="N182" s="51" t="s">
        <v>36</v>
      </c>
      <c r="O182" s="51" t="s">
        <v>425</v>
      </c>
      <c r="P182" s="54">
        <v>44365</v>
      </c>
      <c r="Q182" s="54">
        <v>44365</v>
      </c>
      <c r="R182" s="54">
        <v>44368</v>
      </c>
      <c r="S182" s="54"/>
      <c r="T182" s="54"/>
      <c r="U182" s="54"/>
      <c r="V182" s="58"/>
      <c r="W182" s="208"/>
      <c r="AA182" s="189"/>
      <c r="AB182" s="50"/>
      <c r="AC182" s="51"/>
      <c r="AD182" s="51"/>
      <c r="AE182" s="51"/>
      <c r="AF182" s="51"/>
      <c r="AG182" s="51"/>
      <c r="AH182" s="190"/>
      <c r="AI182" s="51"/>
      <c r="AJ182" s="51"/>
      <c r="AK182" s="188"/>
      <c r="AL182" s="51"/>
      <c r="AM182" s="51"/>
      <c r="AN182" s="51"/>
      <c r="AO182" s="51"/>
      <c r="AP182" s="54"/>
      <c r="AQ182" s="54"/>
      <c r="AR182" s="54"/>
      <c r="AS182" s="54"/>
      <c r="AT182" s="54"/>
      <c r="AU182" s="54"/>
      <c r="AV182" s="58"/>
    </row>
    <row r="183" spans="1:48" s="59" customFormat="1" ht="20.100000000000001" customHeight="1">
      <c r="A183" s="189">
        <v>182</v>
      </c>
      <c r="B183" s="50" t="s">
        <v>614</v>
      </c>
      <c r="C183" s="51" t="s">
        <v>84</v>
      </c>
      <c r="D183" s="51" t="s">
        <v>491</v>
      </c>
      <c r="E183" s="51">
        <v>180</v>
      </c>
      <c r="F183" s="51">
        <v>1495</v>
      </c>
      <c r="G183" s="51">
        <v>3046</v>
      </c>
      <c r="H183" s="190">
        <v>2037</v>
      </c>
      <c r="I183" s="51" t="s">
        <v>427</v>
      </c>
      <c r="J183" s="51">
        <v>10</v>
      </c>
      <c r="K183" s="188" t="s">
        <v>298</v>
      </c>
      <c r="L183" s="51" t="s">
        <v>370</v>
      </c>
      <c r="M183" s="51" t="s">
        <v>60</v>
      </c>
      <c r="N183" s="51" t="s">
        <v>36</v>
      </c>
      <c r="O183" s="51" t="s">
        <v>425</v>
      </c>
      <c r="P183" s="54">
        <v>44365</v>
      </c>
      <c r="Q183" s="54">
        <v>44365</v>
      </c>
      <c r="R183" s="54">
        <v>44368</v>
      </c>
      <c r="S183" s="54"/>
      <c r="T183" s="54"/>
      <c r="U183" s="54"/>
      <c r="V183" s="58"/>
      <c r="W183" s="208"/>
      <c r="AA183" s="189"/>
      <c r="AB183" s="50"/>
      <c r="AC183" s="51"/>
      <c r="AD183" s="51"/>
      <c r="AE183" s="51"/>
      <c r="AF183" s="51"/>
      <c r="AG183" s="51"/>
      <c r="AH183" s="190"/>
      <c r="AI183" s="51"/>
      <c r="AJ183" s="51"/>
      <c r="AK183" s="188"/>
      <c r="AL183" s="51"/>
      <c r="AM183" s="51"/>
      <c r="AN183" s="51"/>
      <c r="AO183" s="51"/>
      <c r="AP183" s="54"/>
      <c r="AQ183" s="54"/>
      <c r="AR183" s="54"/>
      <c r="AS183" s="54"/>
      <c r="AT183" s="54"/>
      <c r="AU183" s="54"/>
      <c r="AV183" s="58"/>
    </row>
    <row r="184" spans="1:48" s="59" customFormat="1" ht="20.100000000000001" customHeight="1">
      <c r="A184" s="189">
        <v>183</v>
      </c>
      <c r="B184" s="50" t="s">
        <v>614</v>
      </c>
      <c r="C184" s="51" t="s">
        <v>84</v>
      </c>
      <c r="D184" s="51" t="s">
        <v>491</v>
      </c>
      <c r="E184" s="51">
        <v>180</v>
      </c>
      <c r="F184" s="51">
        <v>1495</v>
      </c>
      <c r="G184" s="51">
        <v>3046</v>
      </c>
      <c r="H184" s="190">
        <v>2037</v>
      </c>
      <c r="I184" s="51" t="s">
        <v>427</v>
      </c>
      <c r="J184" s="51">
        <v>11</v>
      </c>
      <c r="K184" s="188" t="s">
        <v>298</v>
      </c>
      <c r="L184" s="51" t="s">
        <v>370</v>
      </c>
      <c r="M184" s="51" t="s">
        <v>60</v>
      </c>
      <c r="N184" s="51" t="s">
        <v>36</v>
      </c>
      <c r="O184" s="51" t="s">
        <v>425</v>
      </c>
      <c r="P184" s="54">
        <v>44365</v>
      </c>
      <c r="Q184" s="54">
        <v>44365</v>
      </c>
      <c r="R184" s="54">
        <v>44368</v>
      </c>
      <c r="S184" s="54"/>
      <c r="T184" s="54"/>
      <c r="U184" s="54"/>
      <c r="V184" s="58"/>
      <c r="W184" s="208"/>
      <c r="AA184" s="189"/>
      <c r="AB184" s="50"/>
      <c r="AC184" s="51"/>
      <c r="AD184" s="51"/>
      <c r="AE184" s="51"/>
      <c r="AF184" s="51"/>
      <c r="AG184" s="51"/>
      <c r="AH184" s="190"/>
      <c r="AI184" s="51"/>
      <c r="AJ184" s="51"/>
      <c r="AK184" s="188"/>
      <c r="AL184" s="51"/>
      <c r="AM184" s="51"/>
      <c r="AN184" s="51"/>
      <c r="AO184" s="51"/>
      <c r="AP184" s="54"/>
      <c r="AQ184" s="54"/>
      <c r="AR184" s="54"/>
      <c r="AS184" s="54"/>
      <c r="AT184" s="54"/>
      <c r="AU184" s="54"/>
      <c r="AV184" s="58"/>
    </row>
    <row r="185" spans="1:48" s="59" customFormat="1" ht="20.100000000000001" customHeight="1">
      <c r="A185" s="189">
        <v>184</v>
      </c>
      <c r="B185" s="50" t="s">
        <v>614</v>
      </c>
      <c r="C185" s="51" t="s">
        <v>84</v>
      </c>
      <c r="D185" s="51" t="s">
        <v>491</v>
      </c>
      <c r="E185" s="51">
        <v>180</v>
      </c>
      <c r="F185" s="51">
        <v>1495</v>
      </c>
      <c r="G185" s="51">
        <v>3046</v>
      </c>
      <c r="H185" s="190">
        <v>2037</v>
      </c>
      <c r="I185" s="51" t="s">
        <v>427</v>
      </c>
      <c r="J185" s="51">
        <v>12</v>
      </c>
      <c r="K185" s="188" t="s">
        <v>298</v>
      </c>
      <c r="L185" s="51" t="s">
        <v>370</v>
      </c>
      <c r="M185" s="51" t="s">
        <v>60</v>
      </c>
      <c r="N185" s="51" t="s">
        <v>36</v>
      </c>
      <c r="O185" s="51" t="s">
        <v>425</v>
      </c>
      <c r="P185" s="54">
        <v>44365</v>
      </c>
      <c r="Q185" s="54">
        <v>44365</v>
      </c>
      <c r="R185" s="54">
        <v>44368</v>
      </c>
      <c r="S185" s="54"/>
      <c r="T185" s="54"/>
      <c r="U185" s="54"/>
      <c r="V185" s="58"/>
      <c r="W185" s="208"/>
      <c r="AA185" s="189"/>
      <c r="AB185" s="50"/>
      <c r="AC185" s="51"/>
      <c r="AD185" s="51"/>
      <c r="AE185" s="51"/>
      <c r="AF185" s="51"/>
      <c r="AG185" s="51"/>
      <c r="AH185" s="188"/>
      <c r="AI185" s="51"/>
      <c r="AJ185" s="51"/>
      <c r="AK185" s="188"/>
      <c r="AL185" s="51"/>
      <c r="AM185" s="51"/>
      <c r="AN185" s="51"/>
      <c r="AO185" s="51"/>
      <c r="AP185" s="54"/>
      <c r="AQ185" s="54"/>
      <c r="AR185" s="54"/>
      <c r="AS185" s="54"/>
      <c r="AT185" s="54"/>
      <c r="AU185" s="54"/>
      <c r="AV185" s="58"/>
    </row>
    <row r="186" spans="1:48" s="59" customFormat="1" ht="20.100000000000001" customHeight="1">
      <c r="A186" s="189">
        <v>185</v>
      </c>
      <c r="B186" s="50" t="s">
        <v>615</v>
      </c>
      <c r="C186" s="51" t="s">
        <v>84</v>
      </c>
      <c r="D186" s="51" t="s">
        <v>484</v>
      </c>
      <c r="E186" s="51">
        <v>180</v>
      </c>
      <c r="F186" s="51">
        <v>1490</v>
      </c>
      <c r="G186" s="51">
        <v>3034</v>
      </c>
      <c r="H186" s="188" t="s">
        <v>1755</v>
      </c>
      <c r="I186" s="51" t="s">
        <v>427</v>
      </c>
      <c r="J186" s="51">
        <v>7</v>
      </c>
      <c r="K186" s="188" t="s">
        <v>298</v>
      </c>
      <c r="L186" s="51" t="s">
        <v>370</v>
      </c>
      <c r="M186" s="51" t="s">
        <v>60</v>
      </c>
      <c r="N186" s="51" t="s">
        <v>36</v>
      </c>
      <c r="O186" s="51" t="s">
        <v>425</v>
      </c>
      <c r="P186" s="54">
        <v>44253</v>
      </c>
      <c r="Q186" s="54">
        <v>44256</v>
      </c>
      <c r="R186" s="54">
        <v>44263</v>
      </c>
      <c r="S186" s="54"/>
      <c r="T186" s="54"/>
      <c r="U186" s="54"/>
      <c r="V186" s="58"/>
      <c r="W186" s="208"/>
      <c r="AA186" s="189"/>
      <c r="AB186" s="50"/>
      <c r="AC186" s="51"/>
      <c r="AD186" s="51"/>
      <c r="AE186" s="51"/>
      <c r="AF186" s="51"/>
      <c r="AG186" s="51"/>
      <c r="AH186" s="190"/>
      <c r="AI186" s="51"/>
      <c r="AJ186" s="51"/>
      <c r="AK186" s="188"/>
      <c r="AL186" s="51"/>
      <c r="AM186" s="51"/>
      <c r="AN186" s="51"/>
      <c r="AO186" s="51"/>
      <c r="AP186" s="54"/>
      <c r="AQ186" s="54"/>
      <c r="AR186" s="54"/>
      <c r="AS186" s="54"/>
      <c r="AT186" s="54"/>
      <c r="AU186" s="54"/>
      <c r="AV186" s="58"/>
    </row>
    <row r="187" spans="1:48" s="59" customFormat="1" ht="20.100000000000001" customHeight="1">
      <c r="A187" s="189">
        <v>186</v>
      </c>
      <c r="B187" s="50" t="s">
        <v>616</v>
      </c>
      <c r="C187" s="51" t="s">
        <v>84</v>
      </c>
      <c r="D187" s="51" t="s">
        <v>484</v>
      </c>
      <c r="E187" s="51">
        <v>180</v>
      </c>
      <c r="F187" s="51">
        <v>1490</v>
      </c>
      <c r="G187" s="51">
        <v>3095</v>
      </c>
      <c r="H187" s="190">
        <v>2077</v>
      </c>
      <c r="I187" s="51" t="s">
        <v>427</v>
      </c>
      <c r="J187" s="51">
        <v>8</v>
      </c>
      <c r="K187" s="188" t="s">
        <v>298</v>
      </c>
      <c r="L187" s="51" t="s">
        <v>370</v>
      </c>
      <c r="M187" s="51" t="s">
        <v>60</v>
      </c>
      <c r="N187" s="51" t="s">
        <v>36</v>
      </c>
      <c r="O187" s="51" t="s">
        <v>425</v>
      </c>
      <c r="P187" s="54">
        <v>44253</v>
      </c>
      <c r="Q187" s="54">
        <v>44256</v>
      </c>
      <c r="R187" s="54">
        <v>44263</v>
      </c>
      <c r="S187" s="54"/>
      <c r="T187" s="54"/>
      <c r="U187" s="54"/>
      <c r="V187" s="58"/>
      <c r="W187" s="208"/>
      <c r="AA187" s="189"/>
      <c r="AB187" s="50"/>
      <c r="AC187" s="51"/>
      <c r="AD187" s="51"/>
      <c r="AE187" s="51"/>
      <c r="AF187" s="51"/>
      <c r="AG187" s="51"/>
      <c r="AH187" s="190"/>
      <c r="AI187" s="51"/>
      <c r="AJ187" s="51"/>
      <c r="AK187" s="188"/>
      <c r="AL187" s="51"/>
      <c r="AM187" s="51"/>
      <c r="AN187" s="51"/>
      <c r="AO187" s="51"/>
      <c r="AP187" s="54"/>
      <c r="AQ187" s="54"/>
      <c r="AR187" s="54"/>
      <c r="AS187" s="54"/>
      <c r="AT187" s="54"/>
      <c r="AU187" s="54"/>
      <c r="AV187" s="58"/>
    </row>
    <row r="188" spans="1:48" s="59" customFormat="1" ht="20.100000000000001" customHeight="1">
      <c r="A188" s="189">
        <v>187</v>
      </c>
      <c r="B188" s="50" t="s">
        <v>1754</v>
      </c>
      <c r="C188" s="51" t="s">
        <v>87</v>
      </c>
      <c r="D188" s="51" t="s">
        <v>474</v>
      </c>
      <c r="E188" s="51">
        <v>112</v>
      </c>
      <c r="F188" s="51">
        <v>1845</v>
      </c>
      <c r="G188" s="51">
        <v>1989</v>
      </c>
      <c r="H188" s="190">
        <v>1078</v>
      </c>
      <c r="I188" s="51" t="s">
        <v>431</v>
      </c>
      <c r="J188" s="51" t="s">
        <v>1485</v>
      </c>
      <c r="K188" s="188" t="s">
        <v>432</v>
      </c>
      <c r="L188" s="51" t="s">
        <v>395</v>
      </c>
      <c r="M188" s="51" t="s">
        <v>59</v>
      </c>
      <c r="N188" s="51" t="s">
        <v>37</v>
      </c>
      <c r="O188" s="51" t="s">
        <v>1031</v>
      </c>
      <c r="P188" s="54">
        <v>44407</v>
      </c>
      <c r="Q188" s="54">
        <v>44382</v>
      </c>
      <c r="R188" s="54">
        <v>44389</v>
      </c>
      <c r="S188" s="54">
        <v>44532</v>
      </c>
      <c r="T188" s="54"/>
      <c r="U188" s="54"/>
      <c r="V188" s="58"/>
      <c r="W188" s="208"/>
      <c r="AA188" s="189"/>
      <c r="AB188" s="50"/>
      <c r="AC188" s="51"/>
      <c r="AD188" s="51"/>
      <c r="AE188" s="51"/>
      <c r="AF188" s="51"/>
      <c r="AG188" s="51"/>
      <c r="AH188" s="190"/>
      <c r="AI188" s="51"/>
      <c r="AJ188" s="51"/>
      <c r="AK188" s="188"/>
      <c r="AL188" s="51"/>
      <c r="AM188" s="51"/>
      <c r="AN188" s="51"/>
      <c r="AO188" s="51"/>
      <c r="AP188" s="54"/>
      <c r="AQ188" s="54"/>
      <c r="AR188" s="54"/>
      <c r="AS188" s="54"/>
      <c r="AT188" s="54"/>
      <c r="AU188" s="54"/>
      <c r="AV188" s="58"/>
    </row>
    <row r="189" spans="1:48" s="59" customFormat="1" ht="20.100000000000001" customHeight="1">
      <c r="A189" s="189">
        <v>188</v>
      </c>
      <c r="B189" s="50" t="s">
        <v>631</v>
      </c>
      <c r="C189" s="51" t="s">
        <v>82</v>
      </c>
      <c r="D189" s="51" t="s">
        <v>493</v>
      </c>
      <c r="E189" s="51" t="s">
        <v>1593</v>
      </c>
      <c r="F189" s="51" t="s">
        <v>1575</v>
      </c>
      <c r="G189" s="51" t="s">
        <v>1594</v>
      </c>
      <c r="H189" s="190" t="s">
        <v>1595</v>
      </c>
      <c r="I189" s="51" t="s">
        <v>434</v>
      </c>
      <c r="J189" s="51" t="s">
        <v>1642</v>
      </c>
      <c r="K189" s="188" t="s">
        <v>415</v>
      </c>
      <c r="L189" s="51" t="s">
        <v>388</v>
      </c>
      <c r="M189" s="51" t="s">
        <v>59</v>
      </c>
      <c r="N189" s="51" t="s">
        <v>38</v>
      </c>
      <c r="O189" s="51" t="s">
        <v>389</v>
      </c>
      <c r="P189" s="54" t="s">
        <v>1009</v>
      </c>
      <c r="Q189" s="54" t="s">
        <v>1589</v>
      </c>
      <c r="R189" s="54" t="s">
        <v>1590</v>
      </c>
      <c r="S189" s="54" t="s">
        <v>1579</v>
      </c>
      <c r="T189" s="54">
        <v>44550</v>
      </c>
      <c r="U189" s="54" t="s">
        <v>648</v>
      </c>
      <c r="V189" s="58" t="s">
        <v>648</v>
      </c>
      <c r="W189" s="208"/>
      <c r="AA189" s="189"/>
      <c r="AB189" s="50"/>
      <c r="AC189" s="51"/>
      <c r="AD189" s="51"/>
      <c r="AE189" s="51"/>
      <c r="AF189" s="51"/>
      <c r="AG189" s="51"/>
      <c r="AH189" s="188"/>
      <c r="AI189" s="51"/>
      <c r="AJ189" s="51"/>
      <c r="AK189" s="188"/>
      <c r="AL189" s="51"/>
      <c r="AM189" s="51"/>
      <c r="AN189" s="51"/>
      <c r="AO189" s="51"/>
      <c r="AP189" s="54"/>
      <c r="AQ189" s="54"/>
      <c r="AR189" s="54"/>
      <c r="AS189" s="54"/>
      <c r="AT189" s="54"/>
      <c r="AU189" s="54"/>
      <c r="AV189" s="58"/>
    </row>
    <row r="190" spans="1:48" s="59" customFormat="1" ht="20.100000000000001" customHeight="1">
      <c r="A190" s="189">
        <v>189</v>
      </c>
      <c r="B190" s="50" t="s">
        <v>617</v>
      </c>
      <c r="C190" s="51" t="s">
        <v>87</v>
      </c>
      <c r="D190" s="51" t="s">
        <v>488</v>
      </c>
      <c r="E190" s="51">
        <v>120</v>
      </c>
      <c r="F190" s="51">
        <v>1640</v>
      </c>
      <c r="G190" s="51" t="s">
        <v>1752</v>
      </c>
      <c r="H190" s="188" t="s">
        <v>1753</v>
      </c>
      <c r="I190" s="51" t="s">
        <v>436</v>
      </c>
      <c r="J190" s="51" t="s">
        <v>1642</v>
      </c>
      <c r="K190" s="188" t="s">
        <v>437</v>
      </c>
      <c r="L190" s="51" t="s">
        <v>395</v>
      </c>
      <c r="M190" s="51" t="s">
        <v>59</v>
      </c>
      <c r="N190" s="51" t="s">
        <v>38</v>
      </c>
      <c r="O190" s="51" t="s">
        <v>1032</v>
      </c>
      <c r="P190" s="54">
        <v>44412</v>
      </c>
      <c r="Q190" s="54">
        <v>44425</v>
      </c>
      <c r="R190" s="54">
        <v>44431</v>
      </c>
      <c r="S190" s="54">
        <v>44495</v>
      </c>
      <c r="T190" s="54">
        <v>44572</v>
      </c>
      <c r="U190" s="54"/>
      <c r="V190" s="58"/>
      <c r="W190" s="208"/>
      <c r="AA190" s="189"/>
      <c r="AB190" s="50"/>
      <c r="AC190" s="51"/>
      <c r="AD190" s="51"/>
      <c r="AE190" s="51"/>
      <c r="AF190" s="51"/>
      <c r="AG190" s="51"/>
      <c r="AH190" s="188"/>
      <c r="AI190" s="51"/>
      <c r="AJ190" s="51"/>
      <c r="AK190" s="188"/>
      <c r="AL190" s="51"/>
      <c r="AM190" s="51"/>
      <c r="AN190" s="51"/>
      <c r="AO190" s="51"/>
      <c r="AP190" s="54"/>
      <c r="AQ190" s="54"/>
      <c r="AR190" s="54"/>
      <c r="AS190" s="54"/>
      <c r="AT190" s="54"/>
      <c r="AU190" s="54"/>
      <c r="AV190" s="58"/>
    </row>
    <row r="191" spans="1:48" s="59" customFormat="1" ht="20.100000000000001" customHeight="1">
      <c r="A191" s="189">
        <v>190</v>
      </c>
      <c r="B191" s="50" t="s">
        <v>618</v>
      </c>
      <c r="C191" s="51" t="s">
        <v>85</v>
      </c>
      <c r="D191" s="51" t="s">
        <v>475</v>
      </c>
      <c r="E191" s="51">
        <v>106</v>
      </c>
      <c r="F191" s="51">
        <v>900</v>
      </c>
      <c r="G191" s="51">
        <v>1562</v>
      </c>
      <c r="H191" s="188" t="s">
        <v>1751</v>
      </c>
      <c r="I191" s="51" t="s">
        <v>234</v>
      </c>
      <c r="J191" s="51">
        <v>22</v>
      </c>
      <c r="K191" s="188" t="s">
        <v>219</v>
      </c>
      <c r="L191" s="51" t="s">
        <v>235</v>
      </c>
      <c r="M191" s="51" t="s">
        <v>60</v>
      </c>
      <c r="N191" s="51" t="s">
        <v>36</v>
      </c>
      <c r="O191" s="51" t="s">
        <v>236</v>
      </c>
      <c r="P191" s="54">
        <v>44273</v>
      </c>
      <c r="Q191" s="54">
        <v>44273</v>
      </c>
      <c r="R191" s="54">
        <v>44277</v>
      </c>
      <c r="S191" s="54"/>
      <c r="T191" s="54"/>
      <c r="U191" s="54"/>
      <c r="V191" s="58"/>
      <c r="W191" s="208"/>
      <c r="AA191" s="189"/>
      <c r="AB191" s="50"/>
      <c r="AC191" s="51"/>
      <c r="AD191" s="51"/>
      <c r="AE191" s="51"/>
      <c r="AF191" s="51"/>
      <c r="AG191" s="51"/>
      <c r="AH191" s="190"/>
      <c r="AI191" s="51"/>
      <c r="AJ191" s="51"/>
      <c r="AK191" s="188"/>
      <c r="AL191" s="51"/>
      <c r="AM191" s="51"/>
      <c r="AN191" s="51"/>
      <c r="AO191" s="51"/>
      <c r="AP191" s="54"/>
      <c r="AQ191" s="54"/>
      <c r="AR191" s="54"/>
      <c r="AS191" s="54"/>
      <c r="AT191" s="54"/>
      <c r="AU191" s="54"/>
      <c r="AV191" s="58"/>
    </row>
    <row r="192" spans="1:48" s="59" customFormat="1" ht="20.100000000000001" customHeight="1">
      <c r="A192" s="189">
        <v>191</v>
      </c>
      <c r="B192" s="50" t="s">
        <v>632</v>
      </c>
      <c r="C192" s="51" t="s">
        <v>404</v>
      </c>
      <c r="D192" s="51" t="s">
        <v>474</v>
      </c>
      <c r="E192" s="51">
        <v>112</v>
      </c>
      <c r="F192" s="51">
        <v>1490</v>
      </c>
      <c r="G192" s="51">
        <v>1657</v>
      </c>
      <c r="H192" s="190">
        <v>1112</v>
      </c>
      <c r="I192" s="51" t="s">
        <v>440</v>
      </c>
      <c r="J192" s="51" t="s">
        <v>1469</v>
      </c>
      <c r="K192" s="188" t="s">
        <v>356</v>
      </c>
      <c r="L192" s="51" t="s">
        <v>316</v>
      </c>
      <c r="M192" s="51" t="s">
        <v>60</v>
      </c>
      <c r="N192" s="51" t="s">
        <v>37</v>
      </c>
      <c r="O192" s="51" t="s">
        <v>1033</v>
      </c>
      <c r="P192" s="54">
        <v>44400</v>
      </c>
      <c r="Q192" s="54">
        <v>44448</v>
      </c>
      <c r="R192" s="54">
        <v>44459</v>
      </c>
      <c r="S192" s="54">
        <v>44532</v>
      </c>
      <c r="T192" s="54"/>
      <c r="U192" s="54"/>
      <c r="V192" s="58"/>
      <c r="W192" s="208"/>
      <c r="AA192" s="189"/>
      <c r="AB192" s="50"/>
      <c r="AC192" s="51"/>
      <c r="AD192" s="51"/>
      <c r="AE192" s="51"/>
      <c r="AF192" s="51"/>
      <c r="AG192" s="51"/>
      <c r="AH192" s="190"/>
      <c r="AI192" s="51"/>
      <c r="AJ192" s="51"/>
      <c r="AK192" s="188"/>
      <c r="AL192" s="51"/>
      <c r="AM192" s="51"/>
      <c r="AN192" s="51"/>
      <c r="AO192" s="51"/>
      <c r="AP192" s="54"/>
      <c r="AQ192" s="54"/>
      <c r="AR192" s="54"/>
      <c r="AS192" s="54"/>
      <c r="AT192" s="54"/>
      <c r="AU192" s="54"/>
      <c r="AV192" s="58"/>
    </row>
    <row r="193" spans="1:48" s="214" customFormat="1" ht="20.100000000000001" customHeight="1">
      <c r="A193" s="189">
        <v>192</v>
      </c>
      <c r="B193" s="50" t="s">
        <v>619</v>
      </c>
      <c r="C193" s="51" t="s">
        <v>87</v>
      </c>
      <c r="D193" s="51" t="s">
        <v>488</v>
      </c>
      <c r="E193" s="51">
        <v>116</v>
      </c>
      <c r="F193" s="51">
        <v>1635</v>
      </c>
      <c r="G193" s="51">
        <v>2229</v>
      </c>
      <c r="H193" s="190">
        <v>1363</v>
      </c>
      <c r="I193" s="51" t="s">
        <v>442</v>
      </c>
      <c r="J193" s="51" t="s">
        <v>1485</v>
      </c>
      <c r="K193" s="188" t="s">
        <v>437</v>
      </c>
      <c r="L193" s="51" t="s">
        <v>370</v>
      </c>
      <c r="M193" s="51" t="s">
        <v>59</v>
      </c>
      <c r="N193" s="51" t="s">
        <v>37</v>
      </c>
      <c r="O193" s="51" t="s">
        <v>1032</v>
      </c>
      <c r="P193" s="54">
        <v>44412</v>
      </c>
      <c r="Q193" s="54">
        <v>44425</v>
      </c>
      <c r="R193" s="54">
        <v>44431</v>
      </c>
      <c r="S193" s="54">
        <v>44495</v>
      </c>
      <c r="T193" s="54"/>
      <c r="U193" s="54"/>
      <c r="V193" s="58"/>
      <c r="W193" s="213"/>
      <c r="AA193" s="189"/>
      <c r="AB193" s="50"/>
      <c r="AC193" s="51"/>
      <c r="AD193" s="51"/>
      <c r="AE193" s="51"/>
      <c r="AF193" s="51"/>
      <c r="AG193" s="51"/>
      <c r="AH193" s="190"/>
      <c r="AI193" s="51"/>
      <c r="AJ193" s="51"/>
      <c r="AK193" s="188"/>
      <c r="AL193" s="51"/>
      <c r="AM193" s="51"/>
      <c r="AN193" s="51"/>
      <c r="AO193" s="51"/>
      <c r="AP193" s="54"/>
      <c r="AQ193" s="54"/>
      <c r="AR193" s="54"/>
      <c r="AS193" s="54"/>
      <c r="AT193" s="54"/>
      <c r="AU193" s="54"/>
      <c r="AV193" s="58"/>
    </row>
    <row r="194" spans="1:48" s="59" customFormat="1" ht="20.100000000000001" customHeight="1">
      <c r="A194" s="189">
        <v>193</v>
      </c>
      <c r="B194" s="50" t="s">
        <v>620</v>
      </c>
      <c r="C194" s="51" t="s">
        <v>82</v>
      </c>
      <c r="D194" s="51" t="s">
        <v>495</v>
      </c>
      <c r="E194" s="51" t="s">
        <v>1472</v>
      </c>
      <c r="F194" s="51" t="s">
        <v>1591</v>
      </c>
      <c r="G194" s="51" t="s">
        <v>1592</v>
      </c>
      <c r="H194" s="190" t="s">
        <v>1007</v>
      </c>
      <c r="I194" s="51" t="s">
        <v>444</v>
      </c>
      <c r="J194" s="51" t="s">
        <v>1485</v>
      </c>
      <c r="K194" s="188" t="s">
        <v>445</v>
      </c>
      <c r="L194" s="51" t="s">
        <v>388</v>
      </c>
      <c r="M194" s="51" t="s">
        <v>59</v>
      </c>
      <c r="N194" s="51" t="s">
        <v>38</v>
      </c>
      <c r="O194" s="51" t="s">
        <v>389</v>
      </c>
      <c r="P194" s="54" t="s">
        <v>1009</v>
      </c>
      <c r="Q194" s="54" t="s">
        <v>1589</v>
      </c>
      <c r="R194" s="54" t="s">
        <v>1590</v>
      </c>
      <c r="S194" s="54" t="s">
        <v>1579</v>
      </c>
      <c r="T194" s="54">
        <v>44572</v>
      </c>
      <c r="U194" s="54" t="s">
        <v>648</v>
      </c>
      <c r="V194" s="58" t="s">
        <v>648</v>
      </c>
      <c r="W194" s="208"/>
      <c r="AA194" s="189"/>
      <c r="AB194" s="50"/>
      <c r="AC194" s="51"/>
      <c r="AD194" s="51"/>
      <c r="AE194" s="51"/>
      <c r="AF194" s="51"/>
      <c r="AG194" s="51"/>
      <c r="AH194" s="190"/>
      <c r="AI194" s="51"/>
      <c r="AJ194" s="51"/>
      <c r="AK194" s="188"/>
      <c r="AL194" s="51"/>
      <c r="AM194" s="51"/>
      <c r="AN194" s="51"/>
      <c r="AO194" s="51"/>
      <c r="AP194" s="54"/>
      <c r="AQ194" s="54"/>
      <c r="AR194" s="54"/>
      <c r="AS194" s="54"/>
      <c r="AT194" s="54"/>
      <c r="AU194" s="54"/>
      <c r="AV194" s="58"/>
    </row>
    <row r="195" spans="1:48" s="214" customFormat="1" ht="20.100000000000001" customHeight="1">
      <c r="A195" s="189">
        <v>194</v>
      </c>
      <c r="B195" s="50" t="s">
        <v>633</v>
      </c>
      <c r="C195" s="51" t="s">
        <v>82</v>
      </c>
      <c r="D195" s="51" t="s">
        <v>488</v>
      </c>
      <c r="E195" s="51" t="s">
        <v>1586</v>
      </c>
      <c r="F195" s="51" t="s">
        <v>1012</v>
      </c>
      <c r="G195" s="51" t="s">
        <v>1587</v>
      </c>
      <c r="H195" s="190" t="s">
        <v>1588</v>
      </c>
      <c r="I195" s="51" t="s">
        <v>447</v>
      </c>
      <c r="J195" s="51" t="s">
        <v>1485</v>
      </c>
      <c r="K195" s="188" t="s">
        <v>437</v>
      </c>
      <c r="L195" s="51" t="s">
        <v>388</v>
      </c>
      <c r="M195" s="51" t="s">
        <v>59</v>
      </c>
      <c r="N195" s="51" t="s">
        <v>38</v>
      </c>
      <c r="O195" s="51" t="s">
        <v>389</v>
      </c>
      <c r="P195" s="54" t="s">
        <v>1009</v>
      </c>
      <c r="Q195" s="54" t="s">
        <v>1589</v>
      </c>
      <c r="R195" s="54" t="s">
        <v>1590</v>
      </c>
      <c r="S195" s="54" t="s">
        <v>1579</v>
      </c>
      <c r="T195" s="54">
        <v>44572</v>
      </c>
      <c r="U195" s="54" t="s">
        <v>648</v>
      </c>
      <c r="V195" s="58" t="s">
        <v>648</v>
      </c>
      <c r="W195" s="213"/>
      <c r="AA195" s="189"/>
      <c r="AB195" s="50"/>
      <c r="AC195" s="51"/>
      <c r="AD195" s="51"/>
      <c r="AE195" s="51"/>
      <c r="AF195" s="51"/>
      <c r="AG195" s="51"/>
      <c r="AH195" s="190"/>
      <c r="AI195" s="51"/>
      <c r="AJ195" s="51"/>
      <c r="AK195" s="188"/>
      <c r="AL195" s="51"/>
      <c r="AM195" s="51"/>
      <c r="AN195" s="51"/>
      <c r="AO195" s="51"/>
      <c r="AP195" s="54"/>
      <c r="AQ195" s="54"/>
      <c r="AR195" s="54"/>
      <c r="AS195" s="54"/>
      <c r="AT195" s="54"/>
      <c r="AU195" s="54"/>
      <c r="AV195" s="58"/>
    </row>
    <row r="196" spans="1:48" s="59" customFormat="1" ht="20.100000000000001" customHeight="1">
      <c r="A196" s="189">
        <v>195</v>
      </c>
      <c r="B196" s="50" t="s">
        <v>621</v>
      </c>
      <c r="C196" s="51" t="s">
        <v>87</v>
      </c>
      <c r="D196" s="51" t="s">
        <v>495</v>
      </c>
      <c r="E196" s="51">
        <v>120</v>
      </c>
      <c r="F196" s="51">
        <v>1640</v>
      </c>
      <c r="G196" s="51">
        <v>2345</v>
      </c>
      <c r="H196" s="190">
        <v>1429</v>
      </c>
      <c r="I196" s="51" t="s">
        <v>449</v>
      </c>
      <c r="J196" s="51" t="s">
        <v>1485</v>
      </c>
      <c r="K196" s="188" t="s">
        <v>445</v>
      </c>
      <c r="L196" s="51" t="s">
        <v>370</v>
      </c>
      <c r="M196" s="51" t="s">
        <v>59</v>
      </c>
      <c r="N196" s="51" t="s">
        <v>37</v>
      </c>
      <c r="O196" s="51" t="s">
        <v>1032</v>
      </c>
      <c r="P196" s="54">
        <v>44412</v>
      </c>
      <c r="Q196" s="54">
        <v>44425</v>
      </c>
      <c r="R196" s="54">
        <v>44431</v>
      </c>
      <c r="S196" s="54">
        <v>44495</v>
      </c>
      <c r="T196" s="54"/>
      <c r="U196" s="54"/>
      <c r="V196" s="58"/>
      <c r="W196" s="208"/>
      <c r="AA196" s="243"/>
      <c r="AB196" s="215"/>
      <c r="AC196" s="216"/>
      <c r="AD196" s="216"/>
      <c r="AE196" s="217"/>
      <c r="AF196" s="217"/>
      <c r="AG196" s="217"/>
      <c r="AH196" s="217"/>
      <c r="AI196" s="215"/>
      <c r="AJ196" s="217"/>
      <c r="AK196" s="215"/>
      <c r="AL196" s="215"/>
      <c r="AM196" s="215"/>
      <c r="AN196" s="215"/>
      <c r="AO196" s="215"/>
      <c r="AP196" s="218"/>
      <c r="AQ196" s="218"/>
      <c r="AR196" s="218"/>
      <c r="AS196" s="218"/>
      <c r="AT196" s="218"/>
      <c r="AU196" s="218"/>
      <c r="AV196" s="245"/>
    </row>
    <row r="197" spans="1:48" s="59" customFormat="1" ht="20.100000000000001" customHeight="1">
      <c r="A197" s="189">
        <v>196</v>
      </c>
      <c r="B197" s="215" t="s">
        <v>623</v>
      </c>
      <c r="C197" s="216" t="s">
        <v>82</v>
      </c>
      <c r="D197" s="216" t="s">
        <v>495</v>
      </c>
      <c r="E197" s="217" t="s">
        <v>1004</v>
      </c>
      <c r="F197" s="217" t="s">
        <v>1005</v>
      </c>
      <c r="G197" s="217" t="s">
        <v>1006</v>
      </c>
      <c r="H197" s="217" t="s">
        <v>1007</v>
      </c>
      <c r="I197" s="215" t="s">
        <v>451</v>
      </c>
      <c r="J197" s="217" t="s">
        <v>1008</v>
      </c>
      <c r="K197" s="215" t="s">
        <v>445</v>
      </c>
      <c r="L197" s="215" t="s">
        <v>241</v>
      </c>
      <c r="M197" s="215" t="s">
        <v>59</v>
      </c>
      <c r="N197" s="215" t="s">
        <v>36</v>
      </c>
      <c r="O197" s="215" t="s">
        <v>452</v>
      </c>
      <c r="P197" s="218" t="s">
        <v>1009</v>
      </c>
      <c r="Q197" s="218">
        <v>44417</v>
      </c>
      <c r="R197" s="218">
        <v>44419</v>
      </c>
      <c r="S197" s="218" t="s">
        <v>384</v>
      </c>
      <c r="T197" s="218" t="s">
        <v>384</v>
      </c>
      <c r="U197" s="218" t="s">
        <v>1010</v>
      </c>
      <c r="V197" s="245" t="s">
        <v>1011</v>
      </c>
      <c r="W197" s="208"/>
      <c r="AA197" s="189"/>
      <c r="AB197" s="50"/>
      <c r="AC197" s="51"/>
      <c r="AD197" s="51"/>
      <c r="AE197" s="51"/>
      <c r="AF197" s="51"/>
      <c r="AG197" s="51"/>
      <c r="AH197" s="188"/>
      <c r="AI197" s="51"/>
      <c r="AJ197" s="51"/>
      <c r="AK197" s="188"/>
      <c r="AL197" s="51"/>
      <c r="AM197" s="51"/>
      <c r="AN197" s="51"/>
      <c r="AO197" s="51"/>
      <c r="AP197" s="54"/>
      <c r="AQ197" s="54"/>
      <c r="AR197" s="54"/>
      <c r="AS197" s="54"/>
      <c r="AT197" s="54"/>
      <c r="AU197" s="54"/>
      <c r="AV197" s="58"/>
    </row>
    <row r="198" spans="1:48" s="59" customFormat="1" ht="20.100000000000001" customHeight="1">
      <c r="A198" s="189">
        <v>197</v>
      </c>
      <c r="B198" s="50" t="s">
        <v>1020</v>
      </c>
      <c r="C198" s="51" t="s">
        <v>82</v>
      </c>
      <c r="D198" s="51" t="s">
        <v>495</v>
      </c>
      <c r="E198" s="51" t="s">
        <v>1004</v>
      </c>
      <c r="F198" s="51" t="s">
        <v>1005</v>
      </c>
      <c r="G198" s="51" t="s">
        <v>1461</v>
      </c>
      <c r="H198" s="188" t="s">
        <v>1462</v>
      </c>
      <c r="I198" s="51" t="s">
        <v>451</v>
      </c>
      <c r="J198" s="51" t="s">
        <v>1469</v>
      </c>
      <c r="K198" s="188" t="s">
        <v>445</v>
      </c>
      <c r="L198" s="51" t="s">
        <v>241</v>
      </c>
      <c r="M198" s="51" t="s">
        <v>59</v>
      </c>
      <c r="N198" s="51" t="s">
        <v>36</v>
      </c>
      <c r="O198" s="51" t="s">
        <v>452</v>
      </c>
      <c r="P198" s="54" t="s">
        <v>992</v>
      </c>
      <c r="Q198" s="54">
        <v>44473</v>
      </c>
      <c r="R198" s="54">
        <v>44486</v>
      </c>
      <c r="S198" s="54" t="s">
        <v>648</v>
      </c>
      <c r="T198" s="54" t="s">
        <v>648</v>
      </c>
      <c r="U198" s="54" t="s">
        <v>648</v>
      </c>
      <c r="V198" s="58" t="s">
        <v>648</v>
      </c>
      <c r="W198" s="208"/>
      <c r="AA198" s="243"/>
      <c r="AB198" s="215"/>
      <c r="AC198" s="216"/>
      <c r="AD198" s="216"/>
      <c r="AE198" s="217"/>
      <c r="AF198" s="217"/>
      <c r="AG198" s="217"/>
      <c r="AH198" s="217"/>
      <c r="AI198" s="215"/>
      <c r="AJ198" s="217"/>
      <c r="AK198" s="215"/>
      <c r="AL198" s="215"/>
      <c r="AM198" s="215"/>
      <c r="AN198" s="215"/>
      <c r="AO198" s="215"/>
      <c r="AP198" s="218"/>
      <c r="AQ198" s="218"/>
      <c r="AR198" s="218"/>
      <c r="AS198" s="218"/>
      <c r="AT198" s="218"/>
      <c r="AU198" s="218"/>
      <c r="AV198" s="245"/>
    </row>
    <row r="199" spans="1:48" s="59" customFormat="1" ht="20.100000000000001" customHeight="1">
      <c r="A199" s="189">
        <v>198</v>
      </c>
      <c r="B199" s="215" t="s">
        <v>622</v>
      </c>
      <c r="C199" s="216" t="s">
        <v>82</v>
      </c>
      <c r="D199" s="216" t="s">
        <v>496</v>
      </c>
      <c r="E199" s="217" t="s">
        <v>1000</v>
      </c>
      <c r="F199" s="217" t="s">
        <v>1012</v>
      </c>
      <c r="G199" s="217" t="s">
        <v>1013</v>
      </c>
      <c r="H199" s="217" t="s">
        <v>1014</v>
      </c>
      <c r="I199" s="215" t="s">
        <v>454</v>
      </c>
      <c r="J199" s="217" t="s">
        <v>1008</v>
      </c>
      <c r="K199" s="215" t="s">
        <v>437</v>
      </c>
      <c r="L199" s="215" t="s">
        <v>241</v>
      </c>
      <c r="M199" s="215" t="s">
        <v>59</v>
      </c>
      <c r="N199" s="215" t="s">
        <v>36</v>
      </c>
      <c r="O199" s="215" t="s">
        <v>452</v>
      </c>
      <c r="P199" s="218" t="s">
        <v>1009</v>
      </c>
      <c r="Q199" s="218" t="s">
        <v>1015</v>
      </c>
      <c r="R199" s="218" t="s">
        <v>1016</v>
      </c>
      <c r="S199" s="218" t="s">
        <v>384</v>
      </c>
      <c r="T199" s="218" t="s">
        <v>384</v>
      </c>
      <c r="U199" s="218" t="s">
        <v>1010</v>
      </c>
      <c r="V199" s="245" t="s">
        <v>1011</v>
      </c>
      <c r="W199" s="208"/>
      <c r="AA199" s="189"/>
      <c r="AB199" s="50"/>
      <c r="AC199" s="51"/>
      <c r="AD199" s="51"/>
      <c r="AE199" s="51"/>
      <c r="AF199" s="51"/>
      <c r="AG199" s="51"/>
      <c r="AH199" s="188"/>
      <c r="AI199" s="51"/>
      <c r="AJ199" s="51"/>
      <c r="AK199" s="188"/>
      <c r="AL199" s="51"/>
      <c r="AM199" s="51"/>
      <c r="AN199" s="51"/>
      <c r="AO199" s="51"/>
      <c r="AP199" s="54"/>
      <c r="AQ199" s="54"/>
      <c r="AR199" s="54"/>
      <c r="AS199" s="54"/>
      <c r="AT199" s="54"/>
      <c r="AU199" s="54"/>
      <c r="AV199" s="58"/>
    </row>
    <row r="200" spans="1:48" s="214" customFormat="1" ht="20.100000000000001" customHeight="1">
      <c r="A200" s="189">
        <v>199</v>
      </c>
      <c r="B200" s="50" t="s">
        <v>1021</v>
      </c>
      <c r="C200" s="51" t="s">
        <v>82</v>
      </c>
      <c r="D200" s="51" t="s">
        <v>496</v>
      </c>
      <c r="E200" s="51" t="s">
        <v>1000</v>
      </c>
      <c r="F200" s="51" t="s">
        <v>1012</v>
      </c>
      <c r="G200" s="51" t="s">
        <v>1463</v>
      </c>
      <c r="H200" s="188" t="s">
        <v>1464</v>
      </c>
      <c r="I200" s="51" t="s">
        <v>454</v>
      </c>
      <c r="J200" s="51" t="s">
        <v>1469</v>
      </c>
      <c r="K200" s="188" t="s">
        <v>437</v>
      </c>
      <c r="L200" s="51" t="s">
        <v>241</v>
      </c>
      <c r="M200" s="51" t="s">
        <v>59</v>
      </c>
      <c r="N200" s="51" t="s">
        <v>36</v>
      </c>
      <c r="O200" s="51" t="s">
        <v>452</v>
      </c>
      <c r="P200" s="54" t="s">
        <v>992</v>
      </c>
      <c r="Q200" s="54">
        <v>44473</v>
      </c>
      <c r="R200" s="54">
        <v>44481</v>
      </c>
      <c r="S200" s="54" t="s">
        <v>648</v>
      </c>
      <c r="T200" s="54" t="s">
        <v>648</v>
      </c>
      <c r="U200" s="54" t="s">
        <v>648</v>
      </c>
      <c r="V200" s="58" t="s">
        <v>648</v>
      </c>
      <c r="W200" s="213"/>
      <c r="AA200" s="189"/>
      <c r="AB200" s="50"/>
      <c r="AC200" s="51"/>
      <c r="AD200" s="51"/>
      <c r="AE200" s="51"/>
      <c r="AF200" s="51"/>
      <c r="AG200" s="51"/>
      <c r="AH200" s="191"/>
      <c r="AI200" s="51"/>
      <c r="AJ200" s="51"/>
      <c r="AK200" s="191"/>
      <c r="AL200" s="51"/>
      <c r="AM200" s="51"/>
      <c r="AN200" s="51"/>
      <c r="AO200" s="51"/>
      <c r="AP200" s="54"/>
      <c r="AQ200" s="54"/>
      <c r="AR200" s="54"/>
      <c r="AS200" s="54"/>
      <c r="AT200" s="54"/>
      <c r="AU200" s="54"/>
      <c r="AV200" s="58"/>
    </row>
    <row r="201" spans="1:48" s="59" customFormat="1" ht="20.100000000000001" customHeight="1">
      <c r="A201" s="189">
        <v>200</v>
      </c>
      <c r="B201" s="50" t="s">
        <v>634</v>
      </c>
      <c r="C201" s="51" t="s">
        <v>404</v>
      </c>
      <c r="D201" s="51" t="s">
        <v>481</v>
      </c>
      <c r="E201" s="51" t="s">
        <v>1017</v>
      </c>
      <c r="F201" s="51" t="s">
        <v>650</v>
      </c>
      <c r="G201" s="51" t="s">
        <v>1018</v>
      </c>
      <c r="H201" s="191" t="s">
        <v>1019</v>
      </c>
      <c r="I201" s="51" t="s">
        <v>456</v>
      </c>
      <c r="J201" s="51" t="s">
        <v>1469</v>
      </c>
      <c r="K201" s="191" t="s">
        <v>353</v>
      </c>
      <c r="L201" s="51" t="s">
        <v>299</v>
      </c>
      <c r="M201" s="51" t="s">
        <v>60</v>
      </c>
      <c r="N201" s="51" t="s">
        <v>37</v>
      </c>
      <c r="O201" s="51" t="s">
        <v>1033</v>
      </c>
      <c r="P201" s="54">
        <v>44400</v>
      </c>
      <c r="Q201" s="54">
        <v>44448</v>
      </c>
      <c r="R201" s="54">
        <v>44460</v>
      </c>
      <c r="S201" s="54">
        <v>44532</v>
      </c>
      <c r="T201" s="54"/>
      <c r="U201" s="54"/>
      <c r="V201" s="58"/>
      <c r="W201" s="208"/>
      <c r="AA201" s="189"/>
      <c r="AB201" s="50"/>
      <c r="AC201" s="51"/>
      <c r="AD201" s="51"/>
      <c r="AE201" s="51"/>
      <c r="AF201" s="51"/>
      <c r="AG201" s="51"/>
      <c r="AH201" s="190"/>
      <c r="AI201" s="51"/>
      <c r="AJ201" s="51"/>
      <c r="AK201" s="188"/>
      <c r="AL201" s="51"/>
      <c r="AM201" s="51"/>
      <c r="AN201" s="51"/>
      <c r="AO201" s="51"/>
      <c r="AP201" s="54"/>
      <c r="AQ201" s="54"/>
      <c r="AR201" s="54"/>
      <c r="AS201" s="57"/>
      <c r="AT201" s="54"/>
      <c r="AU201" s="54"/>
      <c r="AV201" s="58"/>
    </row>
    <row r="202" spans="1:48" s="59" customFormat="1" ht="20.100000000000001" customHeight="1">
      <c r="A202" s="189">
        <v>201</v>
      </c>
      <c r="B202" s="50" t="s">
        <v>635</v>
      </c>
      <c r="C202" s="51" t="s">
        <v>404</v>
      </c>
      <c r="D202" s="51" t="s">
        <v>493</v>
      </c>
      <c r="E202" s="51">
        <v>170</v>
      </c>
      <c r="F202" s="51">
        <v>1495</v>
      </c>
      <c r="G202" s="51">
        <v>2852</v>
      </c>
      <c r="H202" s="190">
        <v>1907</v>
      </c>
      <c r="I202" s="51" t="s">
        <v>458</v>
      </c>
      <c r="J202" s="51" t="s">
        <v>1469</v>
      </c>
      <c r="K202" s="188" t="s">
        <v>333</v>
      </c>
      <c r="L202" s="51" t="s">
        <v>299</v>
      </c>
      <c r="M202" s="51" t="s">
        <v>60</v>
      </c>
      <c r="N202" s="51" t="s">
        <v>37</v>
      </c>
      <c r="O202" s="51" t="s">
        <v>1033</v>
      </c>
      <c r="P202" s="54">
        <v>44400</v>
      </c>
      <c r="Q202" s="54">
        <v>44486</v>
      </c>
      <c r="R202" s="54">
        <v>44494</v>
      </c>
      <c r="S202" s="57">
        <v>44568</v>
      </c>
      <c r="T202" s="54"/>
      <c r="U202" s="54"/>
      <c r="V202" s="58"/>
      <c r="W202" s="208"/>
      <c r="AA202" s="189"/>
      <c r="AB202" s="50"/>
      <c r="AC202" s="56"/>
      <c r="AD202" s="56"/>
      <c r="AE202" s="56"/>
      <c r="AF202" s="56"/>
      <c r="AG202" s="56"/>
      <c r="AH202" s="203"/>
      <c r="AI202" s="56"/>
      <c r="AJ202" s="56"/>
      <c r="AK202" s="203"/>
      <c r="AL202" s="56"/>
      <c r="AM202" s="56"/>
      <c r="AN202" s="56"/>
      <c r="AO202" s="56"/>
      <c r="AP202" s="54"/>
      <c r="AQ202" s="57"/>
      <c r="AR202" s="57"/>
      <c r="AS202" s="57"/>
      <c r="AT202" s="57"/>
      <c r="AU202" s="57"/>
      <c r="AV202" s="69"/>
    </row>
    <row r="203" spans="1:48" s="59" customFormat="1" ht="20.100000000000001" customHeight="1">
      <c r="A203" s="189">
        <v>202</v>
      </c>
      <c r="B203" s="50" t="s">
        <v>636</v>
      </c>
      <c r="C203" s="56" t="s">
        <v>404</v>
      </c>
      <c r="D203" s="56" t="s">
        <v>481</v>
      </c>
      <c r="E203" s="56" t="s">
        <v>1556</v>
      </c>
      <c r="F203" s="56" t="s">
        <v>1557</v>
      </c>
      <c r="G203" s="56" t="s">
        <v>1558</v>
      </c>
      <c r="H203" s="203" t="s">
        <v>1559</v>
      </c>
      <c r="I203" s="56" t="s">
        <v>460</v>
      </c>
      <c r="J203" s="56" t="s">
        <v>1469</v>
      </c>
      <c r="K203" s="203" t="s">
        <v>350</v>
      </c>
      <c r="L203" s="56" t="s">
        <v>299</v>
      </c>
      <c r="M203" s="56" t="s">
        <v>60</v>
      </c>
      <c r="N203" s="56" t="s">
        <v>37</v>
      </c>
      <c r="O203" s="56" t="s">
        <v>1033</v>
      </c>
      <c r="P203" s="54" t="s">
        <v>1560</v>
      </c>
      <c r="Q203" s="57" t="s">
        <v>1561</v>
      </c>
      <c r="R203" s="57" t="s">
        <v>1562</v>
      </c>
      <c r="S203" s="57">
        <v>44568</v>
      </c>
      <c r="T203" s="57" t="s">
        <v>384</v>
      </c>
      <c r="U203" s="57" t="s">
        <v>648</v>
      </c>
      <c r="V203" s="69" t="s">
        <v>648</v>
      </c>
      <c r="W203" s="208"/>
      <c r="AA203" s="243"/>
      <c r="AB203" s="215"/>
      <c r="AC203" s="210"/>
      <c r="AD203" s="210"/>
      <c r="AE203" s="244"/>
      <c r="AF203" s="244"/>
      <c r="AG203" s="244"/>
      <c r="AH203" s="244"/>
      <c r="AI203" s="209"/>
      <c r="AJ203" s="244"/>
      <c r="AK203" s="209"/>
      <c r="AL203" s="209"/>
      <c r="AM203" s="209"/>
      <c r="AN203" s="209"/>
      <c r="AO203" s="209"/>
      <c r="AP203" s="211"/>
      <c r="AQ203" s="211"/>
      <c r="AR203" s="211"/>
      <c r="AS203" s="211"/>
      <c r="AT203" s="211"/>
      <c r="AU203" s="211"/>
      <c r="AV203" s="212"/>
    </row>
    <row r="204" spans="1:48" s="59" customFormat="1" ht="20.100000000000001" customHeight="1">
      <c r="A204" s="189">
        <v>203</v>
      </c>
      <c r="B204" s="215" t="s">
        <v>624</v>
      </c>
      <c r="C204" s="210" t="s">
        <v>82</v>
      </c>
      <c r="D204" s="210" t="s">
        <v>488</v>
      </c>
      <c r="E204" s="244" t="s">
        <v>1004</v>
      </c>
      <c r="F204" s="244" t="s">
        <v>1012</v>
      </c>
      <c r="G204" s="244" t="s">
        <v>1022</v>
      </c>
      <c r="H204" s="244" t="s">
        <v>1023</v>
      </c>
      <c r="I204" s="209" t="s">
        <v>462</v>
      </c>
      <c r="J204" s="244" t="s">
        <v>1008</v>
      </c>
      <c r="K204" s="209" t="s">
        <v>437</v>
      </c>
      <c r="L204" s="209" t="s">
        <v>322</v>
      </c>
      <c r="M204" s="209" t="s">
        <v>59</v>
      </c>
      <c r="N204" s="209" t="s">
        <v>36</v>
      </c>
      <c r="O204" s="209" t="s">
        <v>389</v>
      </c>
      <c r="P204" s="211" t="s">
        <v>1009</v>
      </c>
      <c r="Q204" s="211" t="s">
        <v>1015</v>
      </c>
      <c r="R204" s="211" t="s">
        <v>1024</v>
      </c>
      <c r="S204" s="211" t="s">
        <v>384</v>
      </c>
      <c r="T204" s="211" t="s">
        <v>384</v>
      </c>
      <c r="U204" s="211" t="s">
        <v>1010</v>
      </c>
      <c r="V204" s="212" t="s">
        <v>1693</v>
      </c>
      <c r="W204" s="208"/>
      <c r="AA204" s="189"/>
      <c r="AB204" s="50"/>
      <c r="AC204" s="56"/>
      <c r="AD204" s="56"/>
      <c r="AE204" s="56"/>
      <c r="AF204" s="56"/>
      <c r="AG204" s="56"/>
      <c r="AH204" s="193"/>
      <c r="AI204" s="56"/>
      <c r="AJ204" s="56"/>
      <c r="AK204" s="193"/>
      <c r="AL204" s="56"/>
      <c r="AM204" s="56"/>
      <c r="AN204" s="56"/>
      <c r="AO204" s="56"/>
      <c r="AP204" s="57"/>
      <c r="AQ204" s="57"/>
      <c r="AR204" s="57"/>
      <c r="AS204" s="57"/>
      <c r="AT204" s="57"/>
      <c r="AU204" s="57"/>
      <c r="AV204" s="69"/>
    </row>
    <row r="205" spans="1:48" s="59" customFormat="1" ht="20.100000000000001" customHeight="1">
      <c r="A205" s="189">
        <v>204</v>
      </c>
      <c r="B205" s="50" t="s">
        <v>1025</v>
      </c>
      <c r="C205" s="56" t="s">
        <v>82</v>
      </c>
      <c r="D205" s="56" t="s">
        <v>488</v>
      </c>
      <c r="E205" s="56" t="s">
        <v>1004</v>
      </c>
      <c r="F205" s="56" t="s">
        <v>1012</v>
      </c>
      <c r="G205" s="56" t="s">
        <v>1465</v>
      </c>
      <c r="H205" s="193" t="s">
        <v>1466</v>
      </c>
      <c r="I205" s="56" t="s">
        <v>462</v>
      </c>
      <c r="J205" s="56" t="s">
        <v>1469</v>
      </c>
      <c r="K205" s="193" t="s">
        <v>437</v>
      </c>
      <c r="L205" s="56" t="s">
        <v>322</v>
      </c>
      <c r="M205" s="56" t="s">
        <v>59</v>
      </c>
      <c r="N205" s="56" t="s">
        <v>36</v>
      </c>
      <c r="O205" s="56" t="s">
        <v>389</v>
      </c>
      <c r="P205" s="57" t="s">
        <v>992</v>
      </c>
      <c r="Q205" s="57">
        <v>44473</v>
      </c>
      <c r="R205" s="57">
        <v>44480</v>
      </c>
      <c r="S205" s="57" t="s">
        <v>648</v>
      </c>
      <c r="T205" s="57" t="s">
        <v>648</v>
      </c>
      <c r="U205" s="57" t="s">
        <v>648</v>
      </c>
      <c r="V205" s="69" t="s">
        <v>648</v>
      </c>
      <c r="W205" s="208"/>
      <c r="AA205" s="189"/>
      <c r="AB205" s="50"/>
      <c r="AC205" s="56"/>
      <c r="AD205" s="56"/>
      <c r="AE205" s="56"/>
      <c r="AF205" s="56"/>
      <c r="AG205" s="56"/>
      <c r="AH205" s="192"/>
      <c r="AI205" s="56"/>
      <c r="AJ205" s="56"/>
      <c r="AK205" s="193"/>
      <c r="AL205" s="56"/>
      <c r="AM205" s="56"/>
      <c r="AN205" s="56"/>
      <c r="AO205" s="56"/>
      <c r="AP205" s="57"/>
      <c r="AQ205" s="57"/>
      <c r="AR205" s="57"/>
      <c r="AS205" s="57"/>
      <c r="AT205" s="57"/>
      <c r="AU205" s="57"/>
      <c r="AV205" s="69"/>
    </row>
    <row r="206" spans="1:48" s="59" customFormat="1" ht="20.100000000000001" customHeight="1">
      <c r="A206" s="189">
        <v>205</v>
      </c>
      <c r="B206" s="50" t="s">
        <v>637</v>
      </c>
      <c r="C206" s="56" t="s">
        <v>404</v>
      </c>
      <c r="D206" s="56" t="s">
        <v>474</v>
      </c>
      <c r="E206" s="56">
        <v>124</v>
      </c>
      <c r="F206" s="56">
        <v>1490</v>
      </c>
      <c r="G206" s="56">
        <v>1995</v>
      </c>
      <c r="H206" s="192">
        <v>1338</v>
      </c>
      <c r="I206" s="56" t="s">
        <v>464</v>
      </c>
      <c r="J206" s="56" t="s">
        <v>1469</v>
      </c>
      <c r="K206" s="193" t="s">
        <v>321</v>
      </c>
      <c r="L206" s="56" t="s">
        <v>316</v>
      </c>
      <c r="M206" s="56" t="s">
        <v>60</v>
      </c>
      <c r="N206" s="56" t="s">
        <v>37</v>
      </c>
      <c r="O206" s="56" t="s">
        <v>1033</v>
      </c>
      <c r="P206" s="57">
        <v>44400</v>
      </c>
      <c r="Q206" s="57">
        <v>44448</v>
      </c>
      <c r="R206" s="57">
        <v>44461</v>
      </c>
      <c r="S206" s="57">
        <v>44532</v>
      </c>
      <c r="T206" s="57"/>
      <c r="U206" s="57"/>
      <c r="V206" s="69"/>
      <c r="W206" s="208"/>
      <c r="AA206" s="189"/>
      <c r="AB206" s="50"/>
      <c r="AC206" s="51"/>
      <c r="AD206" s="51"/>
      <c r="AE206" s="51"/>
      <c r="AF206" s="51"/>
      <c r="AG206" s="51"/>
      <c r="AH206" s="190"/>
      <c r="AI206" s="51"/>
      <c r="AJ206" s="51"/>
      <c r="AK206" s="188"/>
      <c r="AL206" s="51"/>
      <c r="AM206" s="51"/>
      <c r="AN206" s="51"/>
      <c r="AO206" s="51"/>
      <c r="AP206" s="54"/>
      <c r="AQ206" s="54"/>
      <c r="AR206" s="54"/>
      <c r="AS206" s="54"/>
      <c r="AT206" s="54"/>
      <c r="AU206" s="54"/>
      <c r="AV206" s="58"/>
    </row>
    <row r="207" spans="1:48" s="59" customFormat="1" ht="20.100000000000001" customHeight="1">
      <c r="A207" s="189">
        <v>206</v>
      </c>
      <c r="B207" s="50" t="s">
        <v>638</v>
      </c>
      <c r="C207" s="51" t="s">
        <v>82</v>
      </c>
      <c r="D207" s="51" t="s">
        <v>488</v>
      </c>
      <c r="E207" s="51">
        <v>114</v>
      </c>
      <c r="F207" s="51">
        <v>1635</v>
      </c>
      <c r="G207" s="51">
        <v>1925</v>
      </c>
      <c r="H207" s="190">
        <v>1177</v>
      </c>
      <c r="I207" s="51" t="s">
        <v>466</v>
      </c>
      <c r="J207" s="51">
        <v>2</v>
      </c>
      <c r="K207" s="188" t="s">
        <v>437</v>
      </c>
      <c r="L207" s="51" t="s">
        <v>302</v>
      </c>
      <c r="M207" s="51" t="s">
        <v>59</v>
      </c>
      <c r="N207" s="51" t="s">
        <v>36</v>
      </c>
      <c r="O207" s="51" t="s">
        <v>452</v>
      </c>
      <c r="P207" s="54">
        <v>44379</v>
      </c>
      <c r="Q207" s="54">
        <v>44473</v>
      </c>
      <c r="R207" s="54">
        <v>44490</v>
      </c>
      <c r="S207" s="54"/>
      <c r="T207" s="54"/>
      <c r="U207" s="54"/>
      <c r="V207" s="58"/>
      <c r="W207" s="208"/>
      <c r="AA207" s="189"/>
      <c r="AB207" s="50"/>
      <c r="AC207" s="56"/>
      <c r="AD207" s="56"/>
      <c r="AE207" s="56"/>
      <c r="AF207" s="56"/>
      <c r="AG207" s="56"/>
      <c r="AH207" s="192"/>
      <c r="AI207" s="56"/>
      <c r="AJ207" s="56"/>
      <c r="AK207" s="193"/>
      <c r="AL207" s="56"/>
      <c r="AM207" s="56"/>
      <c r="AN207" s="56"/>
      <c r="AO207" s="56"/>
      <c r="AP207" s="57"/>
      <c r="AQ207" s="54"/>
      <c r="AR207" s="54"/>
      <c r="AS207" s="57"/>
      <c r="AT207" s="57"/>
      <c r="AU207" s="57"/>
      <c r="AV207" s="69"/>
    </row>
    <row r="208" spans="1:48" s="59" customFormat="1" ht="20.100000000000001" customHeight="1">
      <c r="A208" s="189">
        <v>207</v>
      </c>
      <c r="B208" s="50" t="s">
        <v>639</v>
      </c>
      <c r="C208" s="56" t="s">
        <v>404</v>
      </c>
      <c r="D208" s="56" t="s">
        <v>497</v>
      </c>
      <c r="E208" s="56">
        <v>194</v>
      </c>
      <c r="F208" s="56">
        <v>1500</v>
      </c>
      <c r="G208" s="56">
        <v>3320</v>
      </c>
      <c r="H208" s="192">
        <v>2213</v>
      </c>
      <c r="I208" s="56" t="s">
        <v>468</v>
      </c>
      <c r="J208" s="56">
        <v>2</v>
      </c>
      <c r="K208" s="193" t="s">
        <v>469</v>
      </c>
      <c r="L208" s="56" t="s">
        <v>299</v>
      </c>
      <c r="M208" s="56" t="s">
        <v>60</v>
      </c>
      <c r="N208" s="56" t="s">
        <v>36</v>
      </c>
      <c r="O208" s="56" t="s">
        <v>1033</v>
      </c>
      <c r="P208" s="57">
        <v>44400</v>
      </c>
      <c r="Q208" s="54">
        <v>44486</v>
      </c>
      <c r="R208" s="54">
        <v>44496</v>
      </c>
      <c r="S208" s="57"/>
      <c r="T208" s="57"/>
      <c r="U208" s="57"/>
      <c r="V208" s="69"/>
      <c r="W208" s="208"/>
      <c r="AA208" s="189"/>
      <c r="AB208" s="55"/>
      <c r="AC208" s="56"/>
      <c r="AD208" s="56"/>
      <c r="AE208" s="200"/>
      <c r="AF208" s="200"/>
      <c r="AG208" s="200"/>
      <c r="AH208" s="201"/>
      <c r="AI208" s="55"/>
      <c r="AJ208" s="200"/>
      <c r="AK208" s="202"/>
      <c r="AL208" s="55"/>
      <c r="AM208" s="55"/>
      <c r="AN208" s="55"/>
      <c r="AO208" s="55"/>
      <c r="AP208" s="57"/>
      <c r="AQ208" s="54"/>
      <c r="AR208" s="54"/>
      <c r="AS208" s="57"/>
      <c r="AT208" s="57"/>
      <c r="AU208" s="57"/>
      <c r="AV208" s="69"/>
    </row>
    <row r="209" spans="1:48" s="59" customFormat="1" ht="20.100000000000001" customHeight="1">
      <c r="A209" s="189">
        <v>208</v>
      </c>
      <c r="B209" s="55" t="s">
        <v>640</v>
      </c>
      <c r="C209" s="56" t="s">
        <v>84</v>
      </c>
      <c r="D209" s="56" t="s">
        <v>495</v>
      </c>
      <c r="E209" s="200">
        <v>132</v>
      </c>
      <c r="F209" s="200">
        <v>1643</v>
      </c>
      <c r="G209" s="200">
        <v>2316</v>
      </c>
      <c r="H209" s="201">
        <v>1409</v>
      </c>
      <c r="I209" s="55" t="s">
        <v>423</v>
      </c>
      <c r="J209" s="200">
        <v>7</v>
      </c>
      <c r="K209" s="202" t="s">
        <v>424</v>
      </c>
      <c r="L209" s="55" t="s">
        <v>395</v>
      </c>
      <c r="M209" s="55" t="s">
        <v>60</v>
      </c>
      <c r="N209" s="55" t="s">
        <v>36</v>
      </c>
      <c r="O209" s="55" t="s">
        <v>425</v>
      </c>
      <c r="P209" s="57">
        <v>44364</v>
      </c>
      <c r="Q209" s="54">
        <v>44368</v>
      </c>
      <c r="R209" s="54">
        <v>44369</v>
      </c>
      <c r="S209" s="57"/>
      <c r="T209" s="57"/>
      <c r="U209" s="57"/>
      <c r="V209" s="69"/>
      <c r="W209" s="208"/>
      <c r="AA209" s="189"/>
      <c r="AB209" s="55"/>
      <c r="AC209" s="56"/>
      <c r="AD209" s="56"/>
      <c r="AE209" s="56"/>
      <c r="AF209" s="56"/>
      <c r="AG209" s="56"/>
      <c r="AH209" s="201"/>
      <c r="AI209" s="56"/>
      <c r="AJ209" s="56"/>
      <c r="AK209" s="203"/>
      <c r="AL209" s="56"/>
      <c r="AM209" s="56"/>
      <c r="AN209" s="56"/>
      <c r="AO209" s="56"/>
      <c r="AP209" s="57"/>
      <c r="AQ209" s="57"/>
      <c r="AR209" s="57"/>
      <c r="AS209" s="57"/>
      <c r="AT209" s="57"/>
      <c r="AU209" s="57"/>
      <c r="AV209" s="69"/>
    </row>
    <row r="210" spans="1:48" s="59" customFormat="1" ht="20.100000000000001" customHeight="1">
      <c r="A210" s="189">
        <v>209</v>
      </c>
      <c r="B210" s="55" t="s">
        <v>640</v>
      </c>
      <c r="C210" s="56" t="s">
        <v>84</v>
      </c>
      <c r="D210" s="56" t="s">
        <v>495</v>
      </c>
      <c r="E210" s="56">
        <v>132</v>
      </c>
      <c r="F210" s="56">
        <v>1643</v>
      </c>
      <c r="G210" s="56">
        <v>2316</v>
      </c>
      <c r="H210" s="201">
        <v>1409</v>
      </c>
      <c r="I210" s="56" t="s">
        <v>423</v>
      </c>
      <c r="J210" s="56">
        <v>8</v>
      </c>
      <c r="K210" s="203" t="s">
        <v>424</v>
      </c>
      <c r="L210" s="56" t="s">
        <v>395</v>
      </c>
      <c r="M210" s="56" t="s">
        <v>60</v>
      </c>
      <c r="N210" s="56" t="s">
        <v>36</v>
      </c>
      <c r="O210" s="56" t="s">
        <v>425</v>
      </c>
      <c r="P210" s="57">
        <v>44364</v>
      </c>
      <c r="Q210" s="57">
        <v>44368</v>
      </c>
      <c r="R210" s="57">
        <v>44369</v>
      </c>
      <c r="S210" s="57"/>
      <c r="T210" s="57"/>
      <c r="U210" s="57"/>
      <c r="V210" s="69"/>
      <c r="W210" s="208"/>
      <c r="AA210" s="189"/>
      <c r="AB210" s="55"/>
      <c r="AC210" s="56"/>
      <c r="AD210" s="56"/>
      <c r="AE210" s="200"/>
      <c r="AF210" s="200"/>
      <c r="AG210" s="200"/>
      <c r="AH210" s="201"/>
      <c r="AI210" s="55"/>
      <c r="AJ210" s="200"/>
      <c r="AK210" s="202"/>
      <c r="AL210" s="55"/>
      <c r="AM210" s="55"/>
      <c r="AN210" s="55"/>
      <c r="AO210" s="55"/>
      <c r="AP210" s="57"/>
      <c r="AQ210" s="57"/>
      <c r="AR210" s="57"/>
      <c r="AS210" s="57"/>
      <c r="AT210" s="57"/>
      <c r="AU210" s="57"/>
      <c r="AV210" s="69"/>
    </row>
    <row r="211" spans="1:48" s="59" customFormat="1" ht="20.100000000000001" customHeight="1">
      <c r="A211" s="189">
        <v>210</v>
      </c>
      <c r="B211" s="55" t="s">
        <v>640</v>
      </c>
      <c r="C211" s="56" t="s">
        <v>84</v>
      </c>
      <c r="D211" s="56" t="s">
        <v>495</v>
      </c>
      <c r="E211" s="200">
        <v>132</v>
      </c>
      <c r="F211" s="200">
        <v>1643</v>
      </c>
      <c r="G211" s="200">
        <v>2316</v>
      </c>
      <c r="H211" s="201">
        <v>1409</v>
      </c>
      <c r="I211" s="55" t="s">
        <v>423</v>
      </c>
      <c r="J211" s="200">
        <v>9</v>
      </c>
      <c r="K211" s="202" t="s">
        <v>424</v>
      </c>
      <c r="L211" s="55" t="s">
        <v>395</v>
      </c>
      <c r="M211" s="55" t="s">
        <v>60</v>
      </c>
      <c r="N211" s="55" t="s">
        <v>36</v>
      </c>
      <c r="O211" s="55" t="s">
        <v>425</v>
      </c>
      <c r="P211" s="57">
        <v>44364</v>
      </c>
      <c r="Q211" s="57">
        <v>44368</v>
      </c>
      <c r="R211" s="57">
        <v>44369</v>
      </c>
      <c r="S211" s="57"/>
      <c r="T211" s="57"/>
      <c r="U211" s="57"/>
      <c r="V211" s="69"/>
      <c r="W211" s="208"/>
      <c r="AA211" s="189"/>
      <c r="AB211" s="55"/>
      <c r="AC211" s="56"/>
      <c r="AD211" s="56"/>
      <c r="AE211" s="56"/>
      <c r="AF211" s="56"/>
      <c r="AG211" s="56"/>
      <c r="AH211" s="201"/>
      <c r="AI211" s="56"/>
      <c r="AJ211" s="56"/>
      <c r="AK211" s="193"/>
      <c r="AL211" s="56"/>
      <c r="AM211" s="56"/>
      <c r="AN211" s="56"/>
      <c r="AO211" s="56"/>
      <c r="AP211" s="57"/>
      <c r="AQ211" s="57"/>
      <c r="AR211" s="57"/>
      <c r="AS211" s="57"/>
      <c r="AT211" s="57"/>
      <c r="AU211" s="57"/>
      <c r="AV211" s="69"/>
    </row>
    <row r="212" spans="1:48" s="214" customFormat="1" ht="20.100000000000001" customHeight="1">
      <c r="A212" s="189">
        <v>211</v>
      </c>
      <c r="B212" s="55" t="s">
        <v>640</v>
      </c>
      <c r="C212" s="56" t="s">
        <v>84</v>
      </c>
      <c r="D212" s="56" t="s">
        <v>495</v>
      </c>
      <c r="E212" s="56">
        <v>132</v>
      </c>
      <c r="F212" s="56">
        <v>1643</v>
      </c>
      <c r="G212" s="56">
        <v>2316</v>
      </c>
      <c r="H212" s="201">
        <v>1409</v>
      </c>
      <c r="I212" s="56" t="s">
        <v>423</v>
      </c>
      <c r="J212" s="56">
        <v>10</v>
      </c>
      <c r="K212" s="193" t="s">
        <v>424</v>
      </c>
      <c r="L212" s="56" t="s">
        <v>395</v>
      </c>
      <c r="M212" s="56" t="s">
        <v>60</v>
      </c>
      <c r="N212" s="56" t="s">
        <v>36</v>
      </c>
      <c r="O212" s="56" t="s">
        <v>425</v>
      </c>
      <c r="P212" s="57">
        <v>44364</v>
      </c>
      <c r="Q212" s="57">
        <v>44368</v>
      </c>
      <c r="R212" s="57">
        <v>44369</v>
      </c>
      <c r="S212" s="57"/>
      <c r="T212" s="57"/>
      <c r="U212" s="57"/>
      <c r="V212" s="69"/>
      <c r="W212" s="213"/>
      <c r="AA212" s="189"/>
      <c r="AB212" s="55"/>
      <c r="AC212" s="56"/>
      <c r="AD212" s="56"/>
      <c r="AE212" s="56"/>
      <c r="AF212" s="56"/>
      <c r="AG212" s="56"/>
      <c r="AH212" s="192"/>
      <c r="AI212" s="56"/>
      <c r="AJ212" s="56"/>
      <c r="AK212" s="193"/>
      <c r="AL212" s="56"/>
      <c r="AM212" s="56"/>
      <c r="AN212" s="56"/>
      <c r="AO212" s="51"/>
      <c r="AP212" s="57"/>
      <c r="AQ212" s="57"/>
      <c r="AR212" s="57"/>
      <c r="AS212" s="57"/>
      <c r="AT212" s="57"/>
      <c r="AU212" s="57"/>
      <c r="AV212" s="69"/>
    </row>
    <row r="213" spans="1:48" s="242" customFormat="1" ht="20.100000000000001" customHeight="1">
      <c r="A213" s="189">
        <v>212</v>
      </c>
      <c r="B213" s="55" t="s">
        <v>641</v>
      </c>
      <c r="C213" s="56" t="s">
        <v>82</v>
      </c>
      <c r="D213" s="56" t="s">
        <v>477</v>
      </c>
      <c r="E213" s="56">
        <v>106</v>
      </c>
      <c r="F213" s="56">
        <v>900</v>
      </c>
      <c r="G213" s="56">
        <v>1467</v>
      </c>
      <c r="H213" s="192">
        <v>1630</v>
      </c>
      <c r="I213" s="56" t="s">
        <v>225</v>
      </c>
      <c r="J213" s="56">
        <v>20</v>
      </c>
      <c r="K213" s="193" t="s">
        <v>219</v>
      </c>
      <c r="L213" s="56" t="s">
        <v>226</v>
      </c>
      <c r="M213" s="56" t="s">
        <v>60</v>
      </c>
      <c r="N213" s="56" t="s">
        <v>36</v>
      </c>
      <c r="O213" s="51" t="s">
        <v>1692</v>
      </c>
      <c r="P213" s="57">
        <v>44434</v>
      </c>
      <c r="Q213" s="57">
        <v>44440</v>
      </c>
      <c r="R213" s="57">
        <v>44446</v>
      </c>
      <c r="S213" s="57"/>
      <c r="T213" s="57"/>
      <c r="U213" s="57"/>
      <c r="V213" s="69"/>
      <c r="W213" s="241"/>
      <c r="AA213" s="189"/>
      <c r="AB213" s="55"/>
      <c r="AC213" s="56"/>
      <c r="AD213" s="56"/>
      <c r="AE213" s="56"/>
      <c r="AF213" s="56"/>
      <c r="AG213" s="56"/>
      <c r="AH213" s="192"/>
      <c r="AI213" s="56"/>
      <c r="AJ213" s="56"/>
      <c r="AK213" s="193"/>
      <c r="AL213" s="56"/>
      <c r="AM213" s="56"/>
      <c r="AN213" s="56"/>
      <c r="AO213" s="51"/>
      <c r="AP213" s="57"/>
      <c r="AQ213" s="57"/>
      <c r="AR213" s="57"/>
      <c r="AS213" s="57"/>
      <c r="AT213" s="57"/>
      <c r="AU213" s="57"/>
      <c r="AV213" s="69"/>
    </row>
    <row r="214" spans="1:48" s="242" customFormat="1" ht="20.100000000000001" customHeight="1">
      <c r="A214" s="189">
        <v>213</v>
      </c>
      <c r="B214" s="55" t="s">
        <v>642</v>
      </c>
      <c r="C214" s="56" t="s">
        <v>82</v>
      </c>
      <c r="D214" s="56" t="s">
        <v>477</v>
      </c>
      <c r="E214" s="56">
        <v>106</v>
      </c>
      <c r="F214" s="56">
        <v>900</v>
      </c>
      <c r="G214" s="56">
        <v>1427</v>
      </c>
      <c r="H214" s="192">
        <v>1585</v>
      </c>
      <c r="I214" s="56" t="s">
        <v>225</v>
      </c>
      <c r="J214" s="56">
        <v>21</v>
      </c>
      <c r="K214" s="193" t="s">
        <v>219</v>
      </c>
      <c r="L214" s="56" t="s">
        <v>226</v>
      </c>
      <c r="M214" s="56" t="s">
        <v>60</v>
      </c>
      <c r="N214" s="56" t="s">
        <v>36</v>
      </c>
      <c r="O214" s="51" t="s">
        <v>1692</v>
      </c>
      <c r="P214" s="57">
        <v>44434</v>
      </c>
      <c r="Q214" s="57">
        <v>44440</v>
      </c>
      <c r="R214" s="57">
        <v>44446</v>
      </c>
      <c r="S214" s="57"/>
      <c r="T214" s="57"/>
      <c r="U214" s="57"/>
      <c r="V214" s="69"/>
      <c r="W214" s="241"/>
      <c r="AA214" s="189"/>
      <c r="AB214" s="50"/>
      <c r="AC214" s="56"/>
      <c r="AD214" s="51"/>
      <c r="AE214" s="51"/>
      <c r="AF214" s="51"/>
      <c r="AG214" s="51"/>
      <c r="AH214" s="190"/>
      <c r="AI214" s="51"/>
      <c r="AJ214" s="51"/>
      <c r="AK214" s="188"/>
      <c r="AL214" s="51"/>
      <c r="AM214" s="51"/>
      <c r="AN214" s="56"/>
      <c r="AO214" s="51"/>
      <c r="AP214" s="54"/>
      <c r="AQ214" s="54"/>
      <c r="AR214" s="54"/>
      <c r="AS214" s="54"/>
      <c r="AT214" s="54"/>
      <c r="AU214" s="54"/>
      <c r="AV214" s="58"/>
    </row>
    <row r="215" spans="1:48" s="59" customFormat="1" ht="20.100000000000001" customHeight="1">
      <c r="A215" s="189">
        <v>214</v>
      </c>
      <c r="B215" s="50" t="s">
        <v>643</v>
      </c>
      <c r="C215" s="56" t="s">
        <v>85</v>
      </c>
      <c r="D215" s="51" t="s">
        <v>477</v>
      </c>
      <c r="E215" s="51">
        <v>106</v>
      </c>
      <c r="F215" s="51">
        <v>900</v>
      </c>
      <c r="G215" s="51">
        <v>1464</v>
      </c>
      <c r="H215" s="190">
        <v>1626</v>
      </c>
      <c r="I215" s="51" t="s">
        <v>225</v>
      </c>
      <c r="J215" s="51">
        <v>22</v>
      </c>
      <c r="K215" s="188" t="s">
        <v>219</v>
      </c>
      <c r="L215" s="51" t="s">
        <v>226</v>
      </c>
      <c r="M215" s="51" t="s">
        <v>60</v>
      </c>
      <c r="N215" s="56" t="s">
        <v>36</v>
      </c>
      <c r="O215" s="51" t="s">
        <v>1692</v>
      </c>
      <c r="P215" s="54">
        <v>44434</v>
      </c>
      <c r="Q215" s="54">
        <v>44440</v>
      </c>
      <c r="R215" s="54">
        <v>44446</v>
      </c>
      <c r="S215" s="54"/>
      <c r="T215" s="54"/>
      <c r="U215" s="54"/>
      <c r="V215" s="58"/>
      <c r="W215" s="208"/>
      <c r="AA215" s="189"/>
      <c r="AB215" s="215"/>
      <c r="AC215" s="210"/>
      <c r="AD215" s="216"/>
      <c r="AE215" s="217"/>
      <c r="AF215" s="217"/>
      <c r="AG215" s="217"/>
      <c r="AH215" s="217"/>
      <c r="AI215" s="215"/>
      <c r="AJ215" s="217"/>
      <c r="AK215" s="215"/>
      <c r="AL215" s="215"/>
      <c r="AM215" s="215"/>
      <c r="AN215" s="215"/>
      <c r="AO215" s="215"/>
      <c r="AP215" s="218"/>
      <c r="AQ215" s="218"/>
      <c r="AR215" s="218"/>
      <c r="AS215" s="218"/>
      <c r="AT215" s="218"/>
      <c r="AU215" s="218"/>
      <c r="AV215" s="212"/>
    </row>
    <row r="216" spans="1:48" s="59" customFormat="1" ht="20.100000000000001" customHeight="1">
      <c r="A216" s="189">
        <v>215</v>
      </c>
      <c r="B216" s="215" t="s">
        <v>644</v>
      </c>
      <c r="C216" s="210" t="s">
        <v>87</v>
      </c>
      <c r="D216" s="216" t="s">
        <v>473</v>
      </c>
      <c r="E216" s="217">
        <v>88</v>
      </c>
      <c r="F216" s="217">
        <v>1555</v>
      </c>
      <c r="G216" s="217">
        <v>1653</v>
      </c>
      <c r="H216" s="217">
        <v>1063</v>
      </c>
      <c r="I216" s="215" t="s">
        <v>239</v>
      </c>
      <c r="J216" s="217">
        <v>14</v>
      </c>
      <c r="K216" s="215" t="s">
        <v>240</v>
      </c>
      <c r="L216" s="215" t="s">
        <v>241</v>
      </c>
      <c r="M216" s="215" t="s">
        <v>59</v>
      </c>
      <c r="N216" s="215" t="s">
        <v>36</v>
      </c>
      <c r="O216" s="215" t="s">
        <v>27</v>
      </c>
      <c r="P216" s="218">
        <v>44447</v>
      </c>
      <c r="Q216" s="218">
        <v>44448</v>
      </c>
      <c r="R216" s="218">
        <v>44462</v>
      </c>
      <c r="S216" s="218" t="s">
        <v>384</v>
      </c>
      <c r="T216" s="218" t="s">
        <v>384</v>
      </c>
      <c r="U216" s="218">
        <v>44480</v>
      </c>
      <c r="V216" s="212" t="s">
        <v>1487</v>
      </c>
      <c r="W216" s="208"/>
      <c r="AA216" s="239"/>
      <c r="AB216" s="53"/>
      <c r="AC216" s="193"/>
      <c r="AD216" s="188"/>
      <c r="AE216" s="238"/>
      <c r="AF216" s="238"/>
      <c r="AG216" s="238"/>
      <c r="AH216" s="238"/>
      <c r="AI216" s="53"/>
      <c r="AJ216" s="238"/>
      <c r="AK216" s="53"/>
      <c r="AL216" s="53"/>
      <c r="AM216" s="53"/>
      <c r="AN216" s="53"/>
      <c r="AO216" s="53"/>
      <c r="AP216" s="237"/>
      <c r="AQ216" s="237"/>
      <c r="AR216" s="237"/>
      <c r="AS216" s="237"/>
      <c r="AT216" s="237"/>
      <c r="AU216" s="237"/>
      <c r="AV216" s="240"/>
    </row>
    <row r="217" spans="1:48" s="214" customFormat="1" ht="20.100000000000001" customHeight="1">
      <c r="A217" s="189">
        <v>216</v>
      </c>
      <c r="B217" s="53" t="s">
        <v>1691</v>
      </c>
      <c r="C217" s="193" t="s">
        <v>87</v>
      </c>
      <c r="D217" s="188" t="s">
        <v>473</v>
      </c>
      <c r="E217" s="238">
        <v>88</v>
      </c>
      <c r="F217" s="238">
        <v>1555</v>
      </c>
      <c r="G217" s="238">
        <v>1843</v>
      </c>
      <c r="H217" s="238">
        <v>1185</v>
      </c>
      <c r="I217" s="53" t="s">
        <v>239</v>
      </c>
      <c r="J217" s="238">
        <v>18</v>
      </c>
      <c r="K217" s="53" t="s">
        <v>240</v>
      </c>
      <c r="L217" s="53" t="s">
        <v>241</v>
      </c>
      <c r="M217" s="53" t="s">
        <v>59</v>
      </c>
      <c r="N217" s="53" t="s">
        <v>36</v>
      </c>
      <c r="O217" s="53" t="s">
        <v>27</v>
      </c>
      <c r="P217" s="237">
        <v>44480</v>
      </c>
      <c r="Q217" s="237" t="s">
        <v>384</v>
      </c>
      <c r="R217" s="237" t="s">
        <v>384</v>
      </c>
      <c r="S217" s="237" t="s">
        <v>384</v>
      </c>
      <c r="T217" s="237" t="s">
        <v>384</v>
      </c>
      <c r="U217" s="237"/>
      <c r="V217" s="240"/>
      <c r="W217" s="213"/>
      <c r="AA217" s="239"/>
      <c r="AB217" s="53"/>
      <c r="AC217" s="193"/>
      <c r="AD217" s="188"/>
      <c r="AE217" s="238"/>
      <c r="AF217" s="238"/>
      <c r="AG217" s="238"/>
      <c r="AH217" s="238"/>
      <c r="AI217" s="53"/>
      <c r="AJ217" s="238"/>
      <c r="AK217" s="53"/>
      <c r="AL217" s="53"/>
      <c r="AM217" s="53"/>
      <c r="AN217" s="53"/>
      <c r="AO217" s="53"/>
      <c r="AP217" s="237"/>
      <c r="AQ217" s="237"/>
      <c r="AR217" s="237"/>
      <c r="AS217" s="237"/>
      <c r="AT217" s="237"/>
      <c r="AU217" s="237"/>
      <c r="AV217" s="240"/>
    </row>
    <row r="218" spans="1:48" s="59" customFormat="1" ht="20.100000000000001" customHeight="1">
      <c r="A218" s="189">
        <v>217</v>
      </c>
      <c r="B218" s="53" t="s">
        <v>1691</v>
      </c>
      <c r="C218" s="193" t="s">
        <v>87</v>
      </c>
      <c r="D218" s="188" t="s">
        <v>473</v>
      </c>
      <c r="E218" s="238">
        <v>88</v>
      </c>
      <c r="F218" s="238">
        <v>1555</v>
      </c>
      <c r="G218" s="238">
        <v>1843</v>
      </c>
      <c r="H218" s="238">
        <v>1185</v>
      </c>
      <c r="I218" s="53" t="s">
        <v>262</v>
      </c>
      <c r="J218" s="238">
        <v>16</v>
      </c>
      <c r="K218" s="53" t="s">
        <v>240</v>
      </c>
      <c r="L218" s="53" t="s">
        <v>263</v>
      </c>
      <c r="M218" s="53" t="s">
        <v>59</v>
      </c>
      <c r="N218" s="53" t="s">
        <v>38</v>
      </c>
      <c r="O218" s="53" t="s">
        <v>27</v>
      </c>
      <c r="P218" s="237">
        <v>44537</v>
      </c>
      <c r="Q218" s="237" t="s">
        <v>384</v>
      </c>
      <c r="R218" s="237" t="s">
        <v>384</v>
      </c>
      <c r="S218" s="237" t="s">
        <v>384</v>
      </c>
      <c r="T218" s="237">
        <v>44537</v>
      </c>
      <c r="U218" s="237"/>
      <c r="V218" s="240"/>
      <c r="W218" s="208"/>
      <c r="AA218" s="189"/>
      <c r="AB218" s="50"/>
      <c r="AC218" s="56"/>
      <c r="AD218" s="51"/>
      <c r="AE218" s="52"/>
      <c r="AF218" s="52"/>
      <c r="AG218" s="52"/>
      <c r="AH218" s="45"/>
      <c r="AI218" s="50"/>
      <c r="AJ218" s="52"/>
      <c r="AK218" s="53"/>
      <c r="AL218" s="50"/>
      <c r="AM218" s="50"/>
      <c r="AN218" s="50"/>
      <c r="AO218" s="50"/>
      <c r="AP218" s="54"/>
      <c r="AQ218" s="54"/>
      <c r="AR218" s="54"/>
      <c r="AS218" s="54"/>
      <c r="AT218" s="54"/>
      <c r="AU218" s="54"/>
      <c r="AV218" s="58"/>
    </row>
    <row r="219" spans="1:48" s="59" customFormat="1" ht="20.100000000000001" customHeight="1">
      <c r="A219" s="189">
        <v>218</v>
      </c>
      <c r="B219" s="50" t="s">
        <v>1691</v>
      </c>
      <c r="C219" s="56" t="s">
        <v>87</v>
      </c>
      <c r="D219" s="51" t="s">
        <v>473</v>
      </c>
      <c r="E219" s="52">
        <v>88</v>
      </c>
      <c r="F219" s="52">
        <v>1555</v>
      </c>
      <c r="G219" s="52">
        <v>1845</v>
      </c>
      <c r="H219" s="45">
        <v>1185</v>
      </c>
      <c r="I219" s="50" t="s">
        <v>264</v>
      </c>
      <c r="J219" s="52">
        <v>7</v>
      </c>
      <c r="K219" s="53" t="s">
        <v>240</v>
      </c>
      <c r="L219" s="50" t="s">
        <v>263</v>
      </c>
      <c r="M219" s="50" t="s">
        <v>60</v>
      </c>
      <c r="N219" s="50" t="s">
        <v>38</v>
      </c>
      <c r="O219" s="50" t="s">
        <v>27</v>
      </c>
      <c r="P219" s="54">
        <v>44480</v>
      </c>
      <c r="Q219" s="54">
        <v>44480</v>
      </c>
      <c r="R219" s="54">
        <v>44518</v>
      </c>
      <c r="S219" s="54">
        <v>44518</v>
      </c>
      <c r="T219" s="54">
        <v>44543</v>
      </c>
      <c r="U219" s="54"/>
      <c r="V219" s="58"/>
      <c r="W219" s="208"/>
      <c r="AA219" s="189"/>
      <c r="AB219" s="50"/>
      <c r="AC219" s="56"/>
      <c r="AD219" s="51"/>
      <c r="AE219" s="52"/>
      <c r="AF219" s="52"/>
      <c r="AG219" s="52"/>
      <c r="AH219" s="45"/>
      <c r="AI219" s="50"/>
      <c r="AJ219" s="52"/>
      <c r="AK219" s="53"/>
      <c r="AL219" s="50"/>
      <c r="AM219" s="50"/>
      <c r="AN219" s="50"/>
      <c r="AO219" s="50"/>
      <c r="AP219" s="54"/>
      <c r="AQ219" s="54"/>
      <c r="AR219" s="54"/>
      <c r="AS219" s="54"/>
      <c r="AT219" s="54"/>
      <c r="AU219" s="54"/>
      <c r="AV219" s="58"/>
    </row>
    <row r="220" spans="1:48" s="59" customFormat="1" ht="20.100000000000001" customHeight="1">
      <c r="A220" s="189">
        <v>219</v>
      </c>
      <c r="B220" s="50" t="s">
        <v>1691</v>
      </c>
      <c r="C220" s="56" t="s">
        <v>87</v>
      </c>
      <c r="D220" s="51" t="s">
        <v>473</v>
      </c>
      <c r="E220" s="52">
        <v>88</v>
      </c>
      <c r="F220" s="52">
        <v>1555</v>
      </c>
      <c r="G220" s="52">
        <v>1845</v>
      </c>
      <c r="H220" s="45">
        <v>1185</v>
      </c>
      <c r="I220" s="50" t="s">
        <v>245</v>
      </c>
      <c r="J220" s="52">
        <v>6</v>
      </c>
      <c r="K220" s="53" t="s">
        <v>240</v>
      </c>
      <c r="L220" s="50" t="s">
        <v>241</v>
      </c>
      <c r="M220" s="50" t="s">
        <v>60</v>
      </c>
      <c r="N220" s="50" t="s">
        <v>38</v>
      </c>
      <c r="O220" s="50" t="s">
        <v>27</v>
      </c>
      <c r="P220" s="54">
        <v>44480</v>
      </c>
      <c r="Q220" s="54">
        <v>44480</v>
      </c>
      <c r="R220" s="54">
        <v>44518</v>
      </c>
      <c r="S220" s="54">
        <v>44518</v>
      </c>
      <c r="T220" s="54">
        <v>44543</v>
      </c>
      <c r="U220" s="54"/>
      <c r="V220" s="58"/>
      <c r="W220" s="208"/>
      <c r="AA220" s="243"/>
      <c r="AB220" s="209"/>
      <c r="AC220" s="210"/>
      <c r="AD220" s="210"/>
      <c r="AE220" s="210"/>
      <c r="AF220" s="210"/>
      <c r="AG220" s="210"/>
      <c r="AH220" s="210"/>
      <c r="AI220" s="210"/>
      <c r="AJ220" s="210"/>
      <c r="AK220" s="210"/>
      <c r="AL220" s="210"/>
      <c r="AM220" s="210"/>
      <c r="AN220" s="210"/>
      <c r="AO220" s="210"/>
      <c r="AP220" s="211"/>
      <c r="AQ220" s="211"/>
      <c r="AR220" s="211"/>
      <c r="AS220" s="211"/>
      <c r="AT220" s="211"/>
      <c r="AU220" s="211"/>
      <c r="AV220" s="212"/>
    </row>
    <row r="221" spans="1:48" s="59" customFormat="1" ht="20.100000000000001" customHeight="1">
      <c r="A221" s="189">
        <v>220</v>
      </c>
      <c r="B221" s="209" t="s">
        <v>645</v>
      </c>
      <c r="C221" s="210" t="s">
        <v>87</v>
      </c>
      <c r="D221" s="210" t="s">
        <v>482</v>
      </c>
      <c r="E221" s="210" t="s">
        <v>498</v>
      </c>
      <c r="F221" s="210" t="s">
        <v>499</v>
      </c>
      <c r="G221" s="210" t="s">
        <v>646</v>
      </c>
      <c r="H221" s="210" t="s">
        <v>647</v>
      </c>
      <c r="I221" s="210" t="s">
        <v>292</v>
      </c>
      <c r="J221" s="210">
        <v>23</v>
      </c>
      <c r="K221" s="210" t="s">
        <v>219</v>
      </c>
      <c r="L221" s="210" t="s">
        <v>293</v>
      </c>
      <c r="M221" s="210" t="s">
        <v>60</v>
      </c>
      <c r="N221" s="210" t="s">
        <v>36</v>
      </c>
      <c r="O221" s="210" t="s">
        <v>27</v>
      </c>
      <c r="P221" s="211">
        <v>44447</v>
      </c>
      <c r="Q221" s="211">
        <v>44448</v>
      </c>
      <c r="R221" s="211">
        <v>44467</v>
      </c>
      <c r="S221" s="211" t="s">
        <v>384</v>
      </c>
      <c r="T221" s="211" t="s">
        <v>384</v>
      </c>
      <c r="U221" s="211">
        <v>44487</v>
      </c>
      <c r="V221" s="212" t="s">
        <v>1487</v>
      </c>
      <c r="W221" s="208"/>
      <c r="AA221" s="189"/>
      <c r="AB221" s="55"/>
      <c r="AC221" s="56"/>
      <c r="AD221" s="56"/>
      <c r="AE221" s="56"/>
      <c r="AF221" s="56"/>
      <c r="AG221" s="56"/>
      <c r="AH221" s="207"/>
      <c r="AI221" s="56"/>
      <c r="AJ221" s="56"/>
      <c r="AK221" s="207"/>
      <c r="AL221" s="56"/>
      <c r="AM221" s="56"/>
      <c r="AN221" s="56"/>
      <c r="AO221" s="56"/>
      <c r="AP221" s="57"/>
      <c r="AQ221" s="57"/>
      <c r="AR221" s="57"/>
      <c r="AS221" s="57"/>
      <c r="AT221" s="57"/>
      <c r="AU221" s="54"/>
      <c r="AV221" s="69"/>
    </row>
    <row r="222" spans="1:48" s="59" customFormat="1" ht="20.100000000000001" customHeight="1">
      <c r="A222" s="189">
        <v>221</v>
      </c>
      <c r="B222" s="55" t="s">
        <v>1816</v>
      </c>
      <c r="C222" s="56" t="s">
        <v>87</v>
      </c>
      <c r="D222" s="56" t="s">
        <v>482</v>
      </c>
      <c r="E222" s="56" t="s">
        <v>498</v>
      </c>
      <c r="F222" s="56" t="s">
        <v>499</v>
      </c>
      <c r="G222" s="56" t="s">
        <v>1591</v>
      </c>
      <c r="H222" s="207" t="s">
        <v>1641</v>
      </c>
      <c r="I222" s="56" t="s">
        <v>292</v>
      </c>
      <c r="J222" s="56" t="s">
        <v>1690</v>
      </c>
      <c r="K222" s="207" t="s">
        <v>219</v>
      </c>
      <c r="L222" s="56" t="s">
        <v>293</v>
      </c>
      <c r="M222" s="56" t="s">
        <v>60</v>
      </c>
      <c r="N222" s="56" t="s">
        <v>38</v>
      </c>
      <c r="O222" s="56" t="s">
        <v>27</v>
      </c>
      <c r="P222" s="57" t="s">
        <v>1614</v>
      </c>
      <c r="Q222" s="57" t="s">
        <v>1628</v>
      </c>
      <c r="R222" s="57" t="s">
        <v>1654</v>
      </c>
      <c r="S222" s="57" t="s">
        <v>384</v>
      </c>
      <c r="T222" s="57" t="s">
        <v>1817</v>
      </c>
      <c r="U222" s="54" t="s">
        <v>648</v>
      </c>
      <c r="V222" s="69" t="s">
        <v>1662</v>
      </c>
      <c r="W222" s="208"/>
      <c r="AA222" s="189"/>
      <c r="AB222" s="55"/>
      <c r="AC222" s="56"/>
      <c r="AD222" s="56"/>
      <c r="AE222" s="56"/>
      <c r="AF222" s="56"/>
      <c r="AG222" s="56"/>
      <c r="AH222" s="193"/>
      <c r="AI222" s="56"/>
      <c r="AJ222" s="56"/>
      <c r="AK222" s="193"/>
      <c r="AL222" s="56"/>
      <c r="AM222" s="56"/>
      <c r="AN222" s="56"/>
      <c r="AO222" s="56"/>
      <c r="AP222" s="57"/>
      <c r="AQ222" s="57"/>
      <c r="AR222" s="57"/>
      <c r="AS222" s="57"/>
      <c r="AT222" s="57"/>
      <c r="AU222" s="57"/>
      <c r="AV222" s="69"/>
    </row>
    <row r="223" spans="1:48" s="59" customFormat="1" ht="20.100000000000001" customHeight="1">
      <c r="A223" s="189">
        <v>222</v>
      </c>
      <c r="B223" s="55" t="s">
        <v>1655</v>
      </c>
      <c r="C223" s="56" t="s">
        <v>404</v>
      </c>
      <c r="D223" s="56" t="s">
        <v>476</v>
      </c>
      <c r="E223" s="56" t="s">
        <v>1685</v>
      </c>
      <c r="F223" s="56" t="s">
        <v>1673</v>
      </c>
      <c r="G223" s="56" t="s">
        <v>650</v>
      </c>
      <c r="H223" s="193" t="s">
        <v>1686</v>
      </c>
      <c r="I223" s="56" t="s">
        <v>1687</v>
      </c>
      <c r="J223" s="56" t="s">
        <v>1689</v>
      </c>
      <c r="K223" s="193" t="s">
        <v>1688</v>
      </c>
      <c r="L223" s="56" t="s">
        <v>1477</v>
      </c>
      <c r="M223" s="56" t="s">
        <v>60</v>
      </c>
      <c r="N223" s="56" t="s">
        <v>37</v>
      </c>
      <c r="O223" s="56" t="s">
        <v>27</v>
      </c>
      <c r="P223" s="57">
        <v>44482</v>
      </c>
      <c r="Q223" s="57">
        <v>44482</v>
      </c>
      <c r="R223" s="57">
        <v>44508</v>
      </c>
      <c r="S223" s="57">
        <v>44540</v>
      </c>
      <c r="T223" s="57"/>
      <c r="U223" s="57"/>
      <c r="V223" s="69"/>
      <c r="W223" s="208"/>
      <c r="AA223" s="189"/>
      <c r="AB223" s="55"/>
      <c r="AC223" s="56"/>
      <c r="AD223" s="56"/>
      <c r="AE223" s="56"/>
      <c r="AF223" s="56"/>
      <c r="AG223" s="56"/>
      <c r="AH223" s="193"/>
      <c r="AI223" s="56"/>
      <c r="AJ223" s="56"/>
      <c r="AK223" s="193"/>
      <c r="AL223" s="56"/>
      <c r="AM223" s="56"/>
      <c r="AN223" s="56"/>
      <c r="AO223" s="56"/>
      <c r="AP223" s="57"/>
      <c r="AQ223" s="57"/>
      <c r="AR223" s="57"/>
      <c r="AS223" s="57"/>
      <c r="AT223" s="57"/>
      <c r="AU223" s="57"/>
      <c r="AV223" s="69"/>
    </row>
    <row r="224" spans="1:48" s="59" customFormat="1" ht="20.100000000000001" customHeight="1">
      <c r="A224" s="189">
        <v>223</v>
      </c>
      <c r="B224" s="55" t="s">
        <v>1679</v>
      </c>
      <c r="C224" s="56" t="s">
        <v>75</v>
      </c>
      <c r="D224" s="56" t="s">
        <v>1680</v>
      </c>
      <c r="E224" s="56" t="s">
        <v>1672</v>
      </c>
      <c r="F224" s="56" t="s">
        <v>1673</v>
      </c>
      <c r="G224" s="56" t="s">
        <v>1681</v>
      </c>
      <c r="H224" s="193" t="s">
        <v>1682</v>
      </c>
      <c r="I224" s="56" t="s">
        <v>1683</v>
      </c>
      <c r="J224" s="56" t="s">
        <v>1684</v>
      </c>
      <c r="K224" s="193" t="s">
        <v>289</v>
      </c>
      <c r="L224" s="56" t="s">
        <v>1477</v>
      </c>
      <c r="M224" s="56" t="s">
        <v>60</v>
      </c>
      <c r="N224" s="56" t="s">
        <v>37</v>
      </c>
      <c r="O224" s="56" t="s">
        <v>27</v>
      </c>
      <c r="P224" s="57">
        <v>44482</v>
      </c>
      <c r="Q224" s="57">
        <v>44482</v>
      </c>
      <c r="R224" s="57">
        <v>44508</v>
      </c>
      <c r="S224" s="57">
        <v>44543</v>
      </c>
      <c r="T224" s="57"/>
      <c r="U224" s="57"/>
      <c r="V224" s="69"/>
      <c r="W224" s="208"/>
      <c r="AA224" s="189"/>
      <c r="AB224" s="55"/>
      <c r="AC224" s="56"/>
      <c r="AD224" s="56"/>
      <c r="AE224" s="56"/>
      <c r="AF224" s="56"/>
      <c r="AG224" s="56"/>
      <c r="AH224" s="193"/>
      <c r="AI224" s="56"/>
      <c r="AJ224" s="56"/>
      <c r="AK224" s="193"/>
      <c r="AL224" s="56"/>
      <c r="AM224" s="56"/>
      <c r="AN224" s="56"/>
      <c r="AO224" s="56"/>
      <c r="AP224" s="57"/>
      <c r="AQ224" s="57"/>
      <c r="AR224" s="57"/>
      <c r="AS224" s="57"/>
      <c r="AT224" s="57"/>
      <c r="AU224" s="57"/>
      <c r="AV224" s="69"/>
    </row>
    <row r="225" spans="1:48" s="59" customFormat="1" ht="20.100000000000001" customHeight="1">
      <c r="A225" s="189">
        <v>224</v>
      </c>
      <c r="B225" s="55" t="s">
        <v>1671</v>
      </c>
      <c r="C225" s="56" t="s">
        <v>75</v>
      </c>
      <c r="D225" s="56" t="s">
        <v>493</v>
      </c>
      <c r="E225" s="56" t="s">
        <v>1672</v>
      </c>
      <c r="F225" s="56" t="s">
        <v>1673</v>
      </c>
      <c r="G225" s="56" t="s">
        <v>1674</v>
      </c>
      <c r="H225" s="193" t="s">
        <v>1675</v>
      </c>
      <c r="I225" s="56" t="s">
        <v>1676</v>
      </c>
      <c r="J225" s="56" t="s">
        <v>1677</v>
      </c>
      <c r="K225" s="193" t="s">
        <v>1678</v>
      </c>
      <c r="L225" s="56" t="s">
        <v>1477</v>
      </c>
      <c r="M225" s="56" t="s">
        <v>60</v>
      </c>
      <c r="N225" s="56" t="s">
        <v>37</v>
      </c>
      <c r="O225" s="56" t="s">
        <v>27</v>
      </c>
      <c r="P225" s="57">
        <v>44482</v>
      </c>
      <c r="Q225" s="57">
        <v>44482</v>
      </c>
      <c r="R225" s="57">
        <v>44508</v>
      </c>
      <c r="S225" s="57">
        <v>44543</v>
      </c>
      <c r="T225" s="57"/>
      <c r="U225" s="57"/>
      <c r="V225" s="69"/>
      <c r="W225" s="208"/>
      <c r="AA225" s="189"/>
      <c r="AB225" s="55"/>
      <c r="AC225" s="56"/>
      <c r="AD225" s="56"/>
      <c r="AE225" s="56"/>
      <c r="AF225" s="56"/>
      <c r="AG225" s="56"/>
      <c r="AH225" s="193"/>
      <c r="AI225" s="56"/>
      <c r="AJ225" s="56"/>
      <c r="AK225" s="193"/>
      <c r="AL225" s="56"/>
      <c r="AM225" s="56"/>
      <c r="AN225" s="56"/>
      <c r="AO225" s="56"/>
      <c r="AP225" s="57"/>
      <c r="AQ225" s="57"/>
      <c r="AR225" s="57"/>
      <c r="AS225" s="57"/>
      <c r="AT225" s="57"/>
      <c r="AU225" s="57"/>
      <c r="AV225" s="69"/>
    </row>
    <row r="226" spans="1:48" s="59" customFormat="1" ht="20.100000000000001" customHeight="1">
      <c r="A226" s="189">
        <v>225</v>
      </c>
      <c r="B226" s="55" t="s">
        <v>1748</v>
      </c>
      <c r="C226" s="56" t="s">
        <v>74</v>
      </c>
      <c r="D226" s="56" t="s">
        <v>479</v>
      </c>
      <c r="E226" s="56" t="s">
        <v>1566</v>
      </c>
      <c r="F226" s="56" t="s">
        <v>1667</v>
      </c>
      <c r="G226" s="56" t="s">
        <v>1668</v>
      </c>
      <c r="H226" s="193" t="s">
        <v>1569</v>
      </c>
      <c r="I226" s="56" t="s">
        <v>277</v>
      </c>
      <c r="J226" s="56" t="s">
        <v>1749</v>
      </c>
      <c r="K226" s="193" t="s">
        <v>254</v>
      </c>
      <c r="L226" s="56" t="s">
        <v>263</v>
      </c>
      <c r="M226" s="56" t="s">
        <v>60</v>
      </c>
      <c r="N226" s="56" t="s">
        <v>38</v>
      </c>
      <c r="O226" s="56" t="s">
        <v>27</v>
      </c>
      <c r="P226" s="57" t="s">
        <v>1615</v>
      </c>
      <c r="Q226" s="57" t="s">
        <v>1614</v>
      </c>
      <c r="R226" s="57">
        <v>44489</v>
      </c>
      <c r="S226" s="57" t="s">
        <v>384</v>
      </c>
      <c r="T226" s="57">
        <v>44526</v>
      </c>
      <c r="U226" s="57" t="s">
        <v>648</v>
      </c>
      <c r="V226" s="69" t="s">
        <v>1662</v>
      </c>
      <c r="W226" s="208"/>
      <c r="AA226" s="189"/>
      <c r="AB226" s="55"/>
      <c r="AC226" s="56"/>
      <c r="AD226" s="56"/>
      <c r="AE226" s="56"/>
      <c r="AF226" s="56"/>
      <c r="AG226" s="56"/>
      <c r="AH226" s="193"/>
      <c r="AI226" s="56"/>
      <c r="AJ226" s="56"/>
      <c r="AK226" s="193"/>
      <c r="AL226" s="56"/>
      <c r="AM226" s="56"/>
      <c r="AN226" s="56"/>
      <c r="AO226" s="56"/>
      <c r="AP226" s="57"/>
      <c r="AQ226" s="57"/>
      <c r="AR226" s="57"/>
      <c r="AS226" s="57"/>
      <c r="AT226" s="57"/>
      <c r="AU226" s="57"/>
      <c r="AV226" s="69"/>
    </row>
    <row r="227" spans="1:48" s="59" customFormat="1" ht="20.100000000000001" customHeight="1">
      <c r="A227" s="189">
        <v>226</v>
      </c>
      <c r="B227" s="55" t="s">
        <v>1748</v>
      </c>
      <c r="C227" s="56" t="s">
        <v>74</v>
      </c>
      <c r="D227" s="56" t="s">
        <v>479</v>
      </c>
      <c r="E227" s="56" t="s">
        <v>1566</v>
      </c>
      <c r="F227" s="56" t="s">
        <v>1667</v>
      </c>
      <c r="G227" s="56" t="s">
        <v>1668</v>
      </c>
      <c r="H227" s="193" t="s">
        <v>1569</v>
      </c>
      <c r="I227" s="56" t="s">
        <v>253</v>
      </c>
      <c r="J227" s="56" t="s">
        <v>1669</v>
      </c>
      <c r="K227" s="193" t="s">
        <v>254</v>
      </c>
      <c r="L227" s="56" t="s">
        <v>241</v>
      </c>
      <c r="M227" s="56" t="s">
        <v>60</v>
      </c>
      <c r="N227" s="56" t="s">
        <v>38</v>
      </c>
      <c r="O227" s="56" t="s">
        <v>27</v>
      </c>
      <c r="P227" s="57" t="s">
        <v>1615</v>
      </c>
      <c r="Q227" s="57" t="s">
        <v>1614</v>
      </c>
      <c r="R227" s="57">
        <v>44489</v>
      </c>
      <c r="S227" s="57" t="s">
        <v>384</v>
      </c>
      <c r="T227" s="57">
        <v>44526</v>
      </c>
      <c r="U227" s="57" t="s">
        <v>648</v>
      </c>
      <c r="V227" s="69" t="s">
        <v>1662</v>
      </c>
      <c r="W227" s="208"/>
      <c r="AA227" s="189"/>
      <c r="AB227" s="55"/>
      <c r="AC227" s="56"/>
      <c r="AD227" s="56"/>
      <c r="AE227" s="56"/>
      <c r="AF227" s="56"/>
      <c r="AG227" s="56"/>
      <c r="AH227" s="193"/>
      <c r="AI227" s="56"/>
      <c r="AJ227" s="56"/>
      <c r="AK227" s="193"/>
      <c r="AL227" s="56"/>
      <c r="AM227" s="56"/>
      <c r="AN227" s="56"/>
      <c r="AO227" s="56"/>
      <c r="AP227" s="57"/>
      <c r="AQ227" s="57"/>
      <c r="AR227" s="57"/>
      <c r="AS227" s="57"/>
      <c r="AT227" s="57"/>
      <c r="AU227" s="57"/>
      <c r="AV227" s="69"/>
    </row>
    <row r="228" spans="1:48" s="59" customFormat="1" ht="20.100000000000001" customHeight="1">
      <c r="A228" s="189">
        <v>227</v>
      </c>
      <c r="B228" s="55" t="s">
        <v>1748</v>
      </c>
      <c r="C228" s="56" t="s">
        <v>74</v>
      </c>
      <c r="D228" s="56" t="s">
        <v>479</v>
      </c>
      <c r="E228" s="56" t="s">
        <v>1566</v>
      </c>
      <c r="F228" s="56" t="s">
        <v>1667</v>
      </c>
      <c r="G228" s="56" t="s">
        <v>1668</v>
      </c>
      <c r="H228" s="193" t="s">
        <v>1569</v>
      </c>
      <c r="I228" s="56" t="s">
        <v>279</v>
      </c>
      <c r="J228" s="56" t="s">
        <v>993</v>
      </c>
      <c r="K228" s="193" t="s">
        <v>254</v>
      </c>
      <c r="L228" s="56" t="s">
        <v>263</v>
      </c>
      <c r="M228" s="56" t="s">
        <v>60</v>
      </c>
      <c r="N228" s="56" t="s">
        <v>38</v>
      </c>
      <c r="O228" s="56" t="s">
        <v>27</v>
      </c>
      <c r="P228" s="57" t="s">
        <v>1615</v>
      </c>
      <c r="Q228" s="57" t="s">
        <v>1614</v>
      </c>
      <c r="R228" s="57">
        <v>44489</v>
      </c>
      <c r="S228" s="57" t="s">
        <v>384</v>
      </c>
      <c r="T228" s="57">
        <v>44526</v>
      </c>
      <c r="U228" s="57" t="s">
        <v>648</v>
      </c>
      <c r="V228" s="69" t="s">
        <v>1662</v>
      </c>
      <c r="W228" s="208"/>
      <c r="AA228" s="189"/>
      <c r="AB228" s="55"/>
      <c r="AC228" s="56"/>
      <c r="AD228" s="56"/>
      <c r="AE228" s="56"/>
      <c r="AF228" s="56"/>
      <c r="AG228" s="56"/>
      <c r="AH228" s="193"/>
      <c r="AI228" s="56"/>
      <c r="AJ228" s="56"/>
      <c r="AK228" s="193"/>
      <c r="AL228" s="56"/>
      <c r="AM228" s="56"/>
      <c r="AN228" s="56"/>
      <c r="AO228" s="56"/>
      <c r="AP228" s="57"/>
      <c r="AQ228" s="57"/>
      <c r="AR228" s="57"/>
      <c r="AS228" s="57"/>
      <c r="AT228" s="57"/>
      <c r="AU228" s="57"/>
      <c r="AV228" s="69"/>
    </row>
    <row r="229" spans="1:48" s="59" customFormat="1" ht="20.100000000000001" customHeight="1">
      <c r="A229" s="189">
        <v>228</v>
      </c>
      <c r="B229" s="55" t="s">
        <v>1748</v>
      </c>
      <c r="C229" s="56" t="s">
        <v>74</v>
      </c>
      <c r="D229" s="56" t="s">
        <v>479</v>
      </c>
      <c r="E229" s="56" t="s">
        <v>1566</v>
      </c>
      <c r="F229" s="56" t="s">
        <v>1667</v>
      </c>
      <c r="G229" s="56" t="s">
        <v>1668</v>
      </c>
      <c r="H229" s="193" t="s">
        <v>1569</v>
      </c>
      <c r="I229" s="56" t="s">
        <v>257</v>
      </c>
      <c r="J229" s="56" t="s">
        <v>990</v>
      </c>
      <c r="K229" s="193" t="s">
        <v>254</v>
      </c>
      <c r="L229" s="56" t="s">
        <v>241</v>
      </c>
      <c r="M229" s="56" t="s">
        <v>60</v>
      </c>
      <c r="N229" s="56" t="s">
        <v>38</v>
      </c>
      <c r="O229" s="56" t="s">
        <v>27</v>
      </c>
      <c r="P229" s="57" t="s">
        <v>1615</v>
      </c>
      <c r="Q229" s="57" t="s">
        <v>1614</v>
      </c>
      <c r="R229" s="57">
        <v>44489</v>
      </c>
      <c r="S229" s="57" t="s">
        <v>384</v>
      </c>
      <c r="T229" s="57">
        <v>44526</v>
      </c>
      <c r="U229" s="57" t="s">
        <v>648</v>
      </c>
      <c r="V229" s="69" t="s">
        <v>1662</v>
      </c>
      <c r="W229" s="208"/>
      <c r="AA229" s="189"/>
      <c r="AB229" s="55"/>
      <c r="AC229" s="56"/>
      <c r="AD229" s="56"/>
      <c r="AE229" s="56"/>
      <c r="AF229" s="56"/>
      <c r="AG229" s="56"/>
      <c r="AH229" s="193"/>
      <c r="AI229" s="56"/>
      <c r="AJ229" s="56"/>
      <c r="AK229" s="193"/>
      <c r="AL229" s="56"/>
      <c r="AM229" s="56"/>
      <c r="AN229" s="56"/>
      <c r="AO229" s="56"/>
      <c r="AP229" s="57"/>
      <c r="AQ229" s="57"/>
      <c r="AR229" s="57"/>
      <c r="AS229" s="57"/>
      <c r="AT229" s="57"/>
      <c r="AU229" s="57"/>
      <c r="AV229" s="69"/>
    </row>
    <row r="230" spans="1:48" ht="20.100000000000001" customHeight="1">
      <c r="A230" s="189">
        <v>229</v>
      </c>
      <c r="B230" s="55" t="s">
        <v>1748</v>
      </c>
      <c r="C230" s="56" t="s">
        <v>74</v>
      </c>
      <c r="D230" s="56" t="s">
        <v>479</v>
      </c>
      <c r="E230" s="56" t="s">
        <v>1566</v>
      </c>
      <c r="F230" s="56" t="s">
        <v>1567</v>
      </c>
      <c r="G230" s="56" t="s">
        <v>1568</v>
      </c>
      <c r="H230" s="193" t="s">
        <v>1569</v>
      </c>
      <c r="I230" s="56" t="s">
        <v>278</v>
      </c>
      <c r="J230" s="56" t="s">
        <v>1750</v>
      </c>
      <c r="K230" s="193" t="s">
        <v>256</v>
      </c>
      <c r="L230" s="56" t="s">
        <v>263</v>
      </c>
      <c r="M230" s="56" t="s">
        <v>60</v>
      </c>
      <c r="N230" s="56" t="s">
        <v>38</v>
      </c>
      <c r="O230" s="56" t="s">
        <v>27</v>
      </c>
      <c r="P230" s="57" t="s">
        <v>1615</v>
      </c>
      <c r="Q230" s="57" t="s">
        <v>1614</v>
      </c>
      <c r="R230" s="57">
        <v>44489</v>
      </c>
      <c r="S230" s="57" t="s">
        <v>384</v>
      </c>
      <c r="T230" s="57">
        <v>44552</v>
      </c>
      <c r="U230" s="57" t="s">
        <v>648</v>
      </c>
      <c r="V230" s="69" t="s">
        <v>1662</v>
      </c>
      <c r="AA230" s="189"/>
      <c r="AB230" s="55"/>
      <c r="AC230" s="56"/>
      <c r="AD230" s="56"/>
      <c r="AE230" s="56"/>
      <c r="AF230" s="56"/>
      <c r="AG230" s="56"/>
      <c r="AH230" s="193"/>
      <c r="AI230" s="56"/>
      <c r="AJ230" s="56"/>
      <c r="AK230" s="193"/>
      <c r="AL230" s="56"/>
      <c r="AM230" s="56"/>
      <c r="AN230" s="56"/>
      <c r="AO230" s="56"/>
      <c r="AP230" s="57"/>
      <c r="AQ230" s="57"/>
      <c r="AR230" s="57"/>
      <c r="AS230" s="57"/>
      <c r="AT230" s="57"/>
      <c r="AU230" s="57"/>
      <c r="AV230" s="69"/>
    </row>
    <row r="231" spans="1:48" ht="20.100000000000001" customHeight="1">
      <c r="A231" s="189">
        <v>230</v>
      </c>
      <c r="B231" s="55" t="s">
        <v>1748</v>
      </c>
      <c r="C231" s="56" t="s">
        <v>74</v>
      </c>
      <c r="D231" s="56" t="s">
        <v>479</v>
      </c>
      <c r="E231" s="56" t="s">
        <v>1566</v>
      </c>
      <c r="F231" s="56" t="s">
        <v>1567</v>
      </c>
      <c r="G231" s="56" t="s">
        <v>1568</v>
      </c>
      <c r="H231" s="193" t="s">
        <v>1569</v>
      </c>
      <c r="I231" s="56" t="s">
        <v>255</v>
      </c>
      <c r="J231" s="56" t="s">
        <v>1670</v>
      </c>
      <c r="K231" s="193" t="s">
        <v>256</v>
      </c>
      <c r="L231" s="56" t="s">
        <v>241</v>
      </c>
      <c r="M231" s="56" t="s">
        <v>60</v>
      </c>
      <c r="N231" s="56" t="s">
        <v>38</v>
      </c>
      <c r="O231" s="56" t="s">
        <v>27</v>
      </c>
      <c r="P231" s="57" t="s">
        <v>1615</v>
      </c>
      <c r="Q231" s="57" t="s">
        <v>1614</v>
      </c>
      <c r="R231" s="57">
        <v>44489</v>
      </c>
      <c r="S231" s="57" t="s">
        <v>384</v>
      </c>
      <c r="T231" s="57">
        <v>44526</v>
      </c>
      <c r="U231" s="57" t="s">
        <v>648</v>
      </c>
      <c r="V231" s="69" t="s">
        <v>1662</v>
      </c>
      <c r="AA231" s="189"/>
      <c r="AB231" s="55"/>
      <c r="AC231" s="56"/>
      <c r="AD231" s="56"/>
      <c r="AE231" s="56"/>
      <c r="AF231" s="56"/>
      <c r="AG231" s="56"/>
      <c r="AH231" s="193"/>
      <c r="AI231" s="56"/>
      <c r="AJ231" s="56"/>
      <c r="AK231" s="193"/>
      <c r="AL231" s="56"/>
      <c r="AM231" s="56"/>
      <c r="AN231" s="56"/>
      <c r="AO231" s="56"/>
      <c r="AP231" s="57"/>
      <c r="AQ231" s="57"/>
      <c r="AR231" s="57"/>
      <c r="AS231" s="57"/>
      <c r="AT231" s="57"/>
      <c r="AU231" s="57"/>
      <c r="AV231" s="69"/>
    </row>
    <row r="232" spans="1:48" ht="20.100000000000001" customHeight="1">
      <c r="A232" s="189">
        <v>231</v>
      </c>
      <c r="B232" s="55" t="s">
        <v>1748</v>
      </c>
      <c r="C232" s="56" t="s">
        <v>74</v>
      </c>
      <c r="D232" s="56" t="s">
        <v>479</v>
      </c>
      <c r="E232" s="56" t="s">
        <v>1566</v>
      </c>
      <c r="F232" s="56" t="s">
        <v>1567</v>
      </c>
      <c r="G232" s="56" t="s">
        <v>1568</v>
      </c>
      <c r="H232" s="193" t="s">
        <v>1569</v>
      </c>
      <c r="I232" s="56" t="s">
        <v>280</v>
      </c>
      <c r="J232" s="56" t="s">
        <v>993</v>
      </c>
      <c r="K232" s="193" t="s">
        <v>256</v>
      </c>
      <c r="L232" s="56" t="s">
        <v>263</v>
      </c>
      <c r="M232" s="56" t="s">
        <v>60</v>
      </c>
      <c r="N232" s="56" t="s">
        <v>38</v>
      </c>
      <c r="O232" s="56" t="s">
        <v>27</v>
      </c>
      <c r="P232" s="57" t="s">
        <v>1615</v>
      </c>
      <c r="Q232" s="57" t="s">
        <v>1614</v>
      </c>
      <c r="R232" s="57">
        <v>44489</v>
      </c>
      <c r="S232" s="57" t="s">
        <v>384</v>
      </c>
      <c r="T232" s="57">
        <v>44526</v>
      </c>
      <c r="U232" s="57" t="s">
        <v>648</v>
      </c>
      <c r="V232" s="69" t="s">
        <v>1662</v>
      </c>
      <c r="AA232" s="189"/>
      <c r="AB232" s="55"/>
      <c r="AC232" s="56"/>
      <c r="AD232" s="56"/>
      <c r="AE232" s="56"/>
      <c r="AF232" s="56"/>
      <c r="AG232" s="56"/>
      <c r="AH232" s="193"/>
      <c r="AI232" s="56"/>
      <c r="AJ232" s="56"/>
      <c r="AK232" s="193"/>
      <c r="AL232" s="56"/>
      <c r="AM232" s="56"/>
      <c r="AN232" s="56"/>
      <c r="AO232" s="56"/>
      <c r="AP232" s="57"/>
      <c r="AQ232" s="57"/>
      <c r="AR232" s="57"/>
      <c r="AS232" s="57"/>
      <c r="AT232" s="57"/>
      <c r="AU232" s="57"/>
      <c r="AV232" s="69"/>
    </row>
    <row r="233" spans="1:48" ht="20.100000000000001" customHeight="1">
      <c r="A233" s="189">
        <v>232</v>
      </c>
      <c r="B233" s="55" t="s">
        <v>1748</v>
      </c>
      <c r="C233" s="56" t="s">
        <v>74</v>
      </c>
      <c r="D233" s="56" t="s">
        <v>479</v>
      </c>
      <c r="E233" s="56" t="s">
        <v>1566</v>
      </c>
      <c r="F233" s="56" t="s">
        <v>1567</v>
      </c>
      <c r="G233" s="56" t="s">
        <v>1568</v>
      </c>
      <c r="H233" s="193" t="s">
        <v>1569</v>
      </c>
      <c r="I233" s="56" t="s">
        <v>258</v>
      </c>
      <c r="J233" s="56" t="s">
        <v>993</v>
      </c>
      <c r="K233" s="193" t="s">
        <v>256</v>
      </c>
      <c r="L233" s="56" t="s">
        <v>241</v>
      </c>
      <c r="M233" s="56" t="s">
        <v>60</v>
      </c>
      <c r="N233" s="56" t="s">
        <v>38</v>
      </c>
      <c r="O233" s="56" t="s">
        <v>27</v>
      </c>
      <c r="P233" s="57" t="s">
        <v>1615</v>
      </c>
      <c r="Q233" s="57" t="s">
        <v>1614</v>
      </c>
      <c r="R233" s="57">
        <v>44489</v>
      </c>
      <c r="S233" s="57" t="s">
        <v>384</v>
      </c>
      <c r="T233" s="57">
        <v>44526</v>
      </c>
      <c r="U233" s="57" t="s">
        <v>648</v>
      </c>
      <c r="V233" s="69" t="s">
        <v>1662</v>
      </c>
      <c r="AA233" s="189"/>
      <c r="AB233" s="55"/>
      <c r="AC233" s="56"/>
      <c r="AD233" s="56"/>
      <c r="AE233" s="56"/>
      <c r="AF233" s="56"/>
      <c r="AG233" s="56"/>
      <c r="AH233" s="207"/>
      <c r="AI233" s="56"/>
      <c r="AJ233" s="56"/>
      <c r="AK233" s="207"/>
      <c r="AL233" s="56"/>
      <c r="AM233" s="56"/>
      <c r="AN233" s="56"/>
      <c r="AO233" s="56"/>
      <c r="AP233" s="57"/>
      <c r="AQ233" s="57"/>
      <c r="AR233" s="57"/>
      <c r="AS233" s="57"/>
      <c r="AT233" s="57"/>
      <c r="AU233" s="57"/>
      <c r="AV233" s="69"/>
    </row>
    <row r="234" spans="1:48" ht="20.100000000000001" customHeight="1">
      <c r="A234" s="189">
        <v>233</v>
      </c>
      <c r="B234" s="55" t="s">
        <v>1747</v>
      </c>
      <c r="C234" s="56" t="s">
        <v>74</v>
      </c>
      <c r="D234" s="56" t="s">
        <v>478</v>
      </c>
      <c r="E234" s="56" t="s">
        <v>1610</v>
      </c>
      <c r="F234" s="56" t="s">
        <v>1664</v>
      </c>
      <c r="G234" s="56" t="s">
        <v>1663</v>
      </c>
      <c r="H234" s="207" t="s">
        <v>1613</v>
      </c>
      <c r="I234" s="56" t="s">
        <v>312</v>
      </c>
      <c r="J234" s="56" t="s">
        <v>502</v>
      </c>
      <c r="K234" s="207" t="s">
        <v>213</v>
      </c>
      <c r="L234" s="56" t="s">
        <v>263</v>
      </c>
      <c r="M234" s="56" t="s">
        <v>60</v>
      </c>
      <c r="N234" s="56" t="s">
        <v>38</v>
      </c>
      <c r="O234" s="56" t="s">
        <v>27</v>
      </c>
      <c r="P234" s="57" t="s">
        <v>1614</v>
      </c>
      <c r="Q234" s="57" t="s">
        <v>1614</v>
      </c>
      <c r="R234" s="57" t="s">
        <v>1661</v>
      </c>
      <c r="S234" s="57" t="s">
        <v>1661</v>
      </c>
      <c r="T234" s="57">
        <v>44537</v>
      </c>
      <c r="U234" s="57" t="s">
        <v>648</v>
      </c>
      <c r="V234" s="69" t="s">
        <v>1662</v>
      </c>
      <c r="AA234" s="189"/>
      <c r="AB234" s="55"/>
      <c r="AC234" s="56"/>
      <c r="AD234" s="56"/>
      <c r="AE234" s="56"/>
      <c r="AF234" s="56"/>
      <c r="AG234" s="56"/>
      <c r="AH234" s="207"/>
      <c r="AI234" s="56"/>
      <c r="AJ234" s="56"/>
      <c r="AK234" s="207"/>
      <c r="AL234" s="56"/>
      <c r="AM234" s="56"/>
      <c r="AN234" s="56"/>
      <c r="AO234" s="56"/>
      <c r="AP234" s="57"/>
      <c r="AQ234" s="57"/>
      <c r="AR234" s="57"/>
      <c r="AS234" s="57"/>
      <c r="AT234" s="57"/>
      <c r="AU234" s="57"/>
      <c r="AV234" s="69"/>
    </row>
    <row r="235" spans="1:48" ht="20.100000000000001" customHeight="1">
      <c r="A235" s="189">
        <v>234</v>
      </c>
      <c r="B235" s="55" t="s">
        <v>1747</v>
      </c>
      <c r="C235" s="56" t="s">
        <v>74</v>
      </c>
      <c r="D235" s="56" t="s">
        <v>478</v>
      </c>
      <c r="E235" s="56" t="s">
        <v>1610</v>
      </c>
      <c r="F235" s="56" t="s">
        <v>1611</v>
      </c>
      <c r="G235" s="56" t="s">
        <v>1612</v>
      </c>
      <c r="H235" s="207" t="s">
        <v>1613</v>
      </c>
      <c r="I235" s="56" t="s">
        <v>311</v>
      </c>
      <c r="J235" s="56" t="s">
        <v>502</v>
      </c>
      <c r="K235" s="207" t="s">
        <v>213</v>
      </c>
      <c r="L235" s="56" t="s">
        <v>241</v>
      </c>
      <c r="M235" s="56" t="s">
        <v>60</v>
      </c>
      <c r="N235" s="56" t="s">
        <v>38</v>
      </c>
      <c r="O235" s="56" t="s">
        <v>27</v>
      </c>
      <c r="P235" s="57" t="s">
        <v>1614</v>
      </c>
      <c r="Q235" s="57" t="s">
        <v>1614</v>
      </c>
      <c r="R235" s="57" t="s">
        <v>1661</v>
      </c>
      <c r="S235" s="57" t="s">
        <v>1661</v>
      </c>
      <c r="T235" s="57">
        <v>44532</v>
      </c>
      <c r="U235" s="57" t="s">
        <v>648</v>
      </c>
      <c r="V235" s="69" t="s">
        <v>1662</v>
      </c>
      <c r="AA235" s="189"/>
      <c r="AB235" s="55"/>
      <c r="AC235" s="56"/>
      <c r="AD235" s="56"/>
      <c r="AE235" s="56"/>
      <c r="AF235" s="56"/>
      <c r="AG235" s="56"/>
      <c r="AH235" s="236"/>
      <c r="AI235" s="56"/>
      <c r="AJ235" s="56"/>
      <c r="AK235" s="236"/>
      <c r="AL235" s="56"/>
      <c r="AM235" s="56"/>
      <c r="AN235" s="56"/>
      <c r="AO235" s="56"/>
      <c r="AP235" s="57"/>
      <c r="AQ235" s="57"/>
      <c r="AR235" s="57"/>
      <c r="AS235" s="57"/>
      <c r="AT235" s="57"/>
      <c r="AU235" s="57"/>
      <c r="AV235" s="69"/>
    </row>
    <row r="236" spans="1:48" ht="20.100000000000001" customHeight="1">
      <c r="A236" s="189">
        <v>235</v>
      </c>
      <c r="B236" s="55" t="s">
        <v>1720</v>
      </c>
      <c r="C236" s="56" t="s">
        <v>1715</v>
      </c>
      <c r="D236" s="56" t="s">
        <v>485</v>
      </c>
      <c r="E236" s="56" t="s">
        <v>1570</v>
      </c>
      <c r="F236" s="56" t="s">
        <v>1571</v>
      </c>
      <c r="G236" s="56" t="s">
        <v>1716</v>
      </c>
      <c r="H236" s="236" t="s">
        <v>1717</v>
      </c>
      <c r="I236" s="56" t="s">
        <v>303</v>
      </c>
      <c r="J236" s="56" t="s">
        <v>504</v>
      </c>
      <c r="K236" s="236" t="s">
        <v>240</v>
      </c>
      <c r="L236" s="56" t="s">
        <v>302</v>
      </c>
      <c r="M236" s="56" t="s">
        <v>59</v>
      </c>
      <c r="N236" s="56" t="s">
        <v>37</v>
      </c>
      <c r="O236" s="56" t="s">
        <v>27</v>
      </c>
      <c r="P236" s="57" t="s">
        <v>1714</v>
      </c>
      <c r="Q236" s="57"/>
      <c r="R236" s="57"/>
      <c r="S236" s="57"/>
      <c r="T236" s="57"/>
      <c r="U236" s="57"/>
      <c r="V236" s="69" t="s">
        <v>1719</v>
      </c>
      <c r="AA236" s="189"/>
      <c r="AB236" s="55"/>
      <c r="AC236" s="56"/>
      <c r="AD236" s="56"/>
      <c r="AE236" s="56"/>
      <c r="AF236" s="56"/>
      <c r="AG236" s="56"/>
      <c r="AH236" s="236"/>
      <c r="AI236" s="56"/>
      <c r="AJ236" s="56"/>
      <c r="AK236" s="193"/>
      <c r="AL236" s="56"/>
      <c r="AM236" s="56"/>
      <c r="AN236" s="56"/>
      <c r="AO236" s="56"/>
      <c r="AP236" s="57"/>
      <c r="AQ236" s="57"/>
      <c r="AR236" s="57"/>
      <c r="AS236" s="57"/>
      <c r="AT236" s="57"/>
      <c r="AU236" s="57"/>
      <c r="AV236" s="69"/>
    </row>
    <row r="237" spans="1:48" ht="20.100000000000001" customHeight="1">
      <c r="A237" s="189">
        <v>236</v>
      </c>
      <c r="B237" s="55" t="s">
        <v>1720</v>
      </c>
      <c r="C237" s="56" t="s">
        <v>1715</v>
      </c>
      <c r="D237" s="56" t="s">
        <v>485</v>
      </c>
      <c r="E237" s="56" t="s">
        <v>1570</v>
      </c>
      <c r="F237" s="56" t="s">
        <v>1667</v>
      </c>
      <c r="G237" s="56" t="s">
        <v>1721</v>
      </c>
      <c r="H237" s="236" t="s">
        <v>1717</v>
      </c>
      <c r="I237" s="56" t="s">
        <v>301</v>
      </c>
      <c r="J237" s="56" t="s">
        <v>1718</v>
      </c>
      <c r="K237" s="193" t="s">
        <v>238</v>
      </c>
      <c r="L237" s="56" t="s">
        <v>302</v>
      </c>
      <c r="M237" s="56" t="s">
        <v>59</v>
      </c>
      <c r="N237" s="56" t="s">
        <v>37</v>
      </c>
      <c r="O237" s="56" t="s">
        <v>27</v>
      </c>
      <c r="P237" s="57" t="s">
        <v>1714</v>
      </c>
      <c r="Q237" s="57" t="s">
        <v>648</v>
      </c>
      <c r="R237" s="57" t="s">
        <v>648</v>
      </c>
      <c r="S237" s="57" t="s">
        <v>648</v>
      </c>
      <c r="T237" s="57" t="s">
        <v>648</v>
      </c>
      <c r="U237" s="57" t="s">
        <v>648</v>
      </c>
      <c r="V237" s="69" t="s">
        <v>1719</v>
      </c>
      <c r="AA237" s="189"/>
      <c r="AB237" s="55"/>
      <c r="AC237" s="56"/>
      <c r="AD237" s="56"/>
      <c r="AE237" s="56"/>
      <c r="AF237" s="56"/>
      <c r="AG237" s="56"/>
      <c r="AH237" s="193"/>
      <c r="AI237" s="56"/>
      <c r="AJ237" s="56"/>
      <c r="AK237" s="193"/>
      <c r="AL237" s="56"/>
      <c r="AM237" s="56"/>
      <c r="AN237" s="56"/>
      <c r="AO237" s="56"/>
      <c r="AP237" s="57"/>
      <c r="AQ237" s="57"/>
      <c r="AR237" s="57"/>
      <c r="AS237" s="57"/>
      <c r="AT237" s="57"/>
      <c r="AU237" s="57"/>
      <c r="AV237" s="69"/>
    </row>
    <row r="238" spans="1:48" ht="20.100000000000001" customHeight="1">
      <c r="A238" s="189">
        <v>237</v>
      </c>
      <c r="B238" s="55" t="s">
        <v>1746</v>
      </c>
      <c r="C238" s="56" t="s">
        <v>1745</v>
      </c>
      <c r="D238" s="56" t="s">
        <v>485</v>
      </c>
      <c r="E238" s="56" t="s">
        <v>1570</v>
      </c>
      <c r="F238" s="56" t="s">
        <v>1571</v>
      </c>
      <c r="G238" s="56" t="s">
        <v>1716</v>
      </c>
      <c r="H238" s="193" t="s">
        <v>1717</v>
      </c>
      <c r="I238" s="56" t="s">
        <v>303</v>
      </c>
      <c r="J238" s="56" t="s">
        <v>1669</v>
      </c>
      <c r="K238" s="193" t="s">
        <v>240</v>
      </c>
      <c r="L238" s="56" t="s">
        <v>302</v>
      </c>
      <c r="M238" s="56" t="s">
        <v>59</v>
      </c>
      <c r="N238" s="56" t="s">
        <v>36</v>
      </c>
      <c r="O238" s="56" t="s">
        <v>27</v>
      </c>
      <c r="P238" s="57">
        <v>44552</v>
      </c>
      <c r="Q238" s="57">
        <v>44552</v>
      </c>
      <c r="R238" s="57"/>
      <c r="S238" s="57"/>
      <c r="T238" s="57"/>
      <c r="U238" s="57"/>
      <c r="V238" s="69"/>
      <c r="AA238" s="189"/>
      <c r="AB238" s="55"/>
      <c r="AC238" s="56"/>
      <c r="AD238" s="56"/>
      <c r="AE238" s="56"/>
      <c r="AF238" s="56"/>
      <c r="AG238" s="56"/>
      <c r="AH238" s="193"/>
      <c r="AI238" s="56"/>
      <c r="AJ238" s="56"/>
      <c r="AK238" s="193"/>
      <c r="AL238" s="56"/>
      <c r="AM238" s="56"/>
      <c r="AN238" s="56"/>
      <c r="AO238" s="56"/>
      <c r="AP238" s="57"/>
      <c r="AQ238" s="57"/>
      <c r="AR238" s="57"/>
      <c r="AS238" s="57"/>
      <c r="AT238" s="57"/>
      <c r="AU238" s="57"/>
      <c r="AV238" s="69"/>
    </row>
    <row r="239" spans="1:48" ht="20.100000000000001" customHeight="1">
      <c r="A239" s="189">
        <v>238</v>
      </c>
      <c r="B239" s="55" t="s">
        <v>1722</v>
      </c>
      <c r="C239" s="56" t="s">
        <v>1715</v>
      </c>
      <c r="D239" s="56" t="s">
        <v>473</v>
      </c>
      <c r="E239" s="56" t="s">
        <v>1723</v>
      </c>
      <c r="F239" s="56" t="s">
        <v>986</v>
      </c>
      <c r="G239" s="56" t="s">
        <v>1724</v>
      </c>
      <c r="H239" s="193" t="s">
        <v>1702</v>
      </c>
      <c r="I239" s="56" t="s">
        <v>290</v>
      </c>
      <c r="J239" s="56" t="s">
        <v>1725</v>
      </c>
      <c r="K239" s="193" t="s">
        <v>213</v>
      </c>
      <c r="L239" s="56" t="s">
        <v>248</v>
      </c>
      <c r="M239" s="56" t="s">
        <v>60</v>
      </c>
      <c r="N239" s="56" t="s">
        <v>36</v>
      </c>
      <c r="O239" s="56" t="s">
        <v>27</v>
      </c>
      <c r="P239" s="57">
        <v>44557</v>
      </c>
      <c r="Q239" s="57"/>
      <c r="R239" s="57"/>
      <c r="S239" s="57"/>
      <c r="T239" s="57"/>
      <c r="U239" s="57"/>
      <c r="V239" s="69" t="s">
        <v>1719</v>
      </c>
      <c r="AA239" s="189"/>
      <c r="AB239" s="55"/>
      <c r="AC239" s="56"/>
      <c r="AD239" s="56"/>
      <c r="AE239" s="56"/>
      <c r="AF239" s="56"/>
      <c r="AG239" s="56"/>
      <c r="AH239" s="193"/>
      <c r="AI239" s="56"/>
      <c r="AJ239" s="56"/>
      <c r="AK239" s="193"/>
      <c r="AL239" s="56"/>
      <c r="AM239" s="56"/>
      <c r="AN239" s="56"/>
      <c r="AO239" s="56"/>
      <c r="AP239" s="57"/>
      <c r="AQ239" s="57"/>
      <c r="AR239" s="57"/>
      <c r="AS239" s="57"/>
      <c r="AT239" s="57"/>
      <c r="AU239" s="57"/>
      <c r="AV239" s="69"/>
    </row>
    <row r="240" spans="1:48" ht="20.100000000000001" customHeight="1">
      <c r="A240" s="189">
        <v>239</v>
      </c>
      <c r="B240" s="55" t="s">
        <v>1726</v>
      </c>
      <c r="C240" s="56" t="s">
        <v>1715</v>
      </c>
      <c r="D240" s="56" t="s">
        <v>478</v>
      </c>
      <c r="E240" s="56" t="s">
        <v>1563</v>
      </c>
      <c r="F240" s="56" t="s">
        <v>1564</v>
      </c>
      <c r="G240" s="56" t="s">
        <v>1727</v>
      </c>
      <c r="H240" s="193" t="s">
        <v>1728</v>
      </c>
      <c r="I240" s="56" t="s">
        <v>242</v>
      </c>
      <c r="J240" s="56" t="s">
        <v>1729</v>
      </c>
      <c r="K240" s="193" t="s">
        <v>240</v>
      </c>
      <c r="L240" s="56" t="s">
        <v>214</v>
      </c>
      <c r="M240" s="56" t="s">
        <v>59</v>
      </c>
      <c r="N240" s="56" t="s">
        <v>36</v>
      </c>
      <c r="O240" s="56" t="s">
        <v>27</v>
      </c>
      <c r="P240" s="57">
        <v>44557</v>
      </c>
      <c r="Q240" s="57"/>
      <c r="R240" s="57"/>
      <c r="S240" s="57"/>
      <c r="T240" s="57"/>
      <c r="U240" s="57"/>
      <c r="V240" s="69" t="s">
        <v>1719</v>
      </c>
      <c r="AA240" s="189"/>
      <c r="AB240" s="55"/>
      <c r="AC240" s="56"/>
      <c r="AD240" s="56"/>
      <c r="AE240" s="56"/>
      <c r="AF240" s="56"/>
      <c r="AG240" s="56"/>
      <c r="AH240" s="193"/>
      <c r="AI240" s="56"/>
      <c r="AJ240" s="56"/>
      <c r="AK240" s="193"/>
      <c r="AL240" s="56"/>
      <c r="AM240" s="56"/>
      <c r="AN240" s="56"/>
      <c r="AO240" s="56"/>
      <c r="AP240" s="57"/>
      <c r="AQ240" s="57"/>
      <c r="AR240" s="57"/>
      <c r="AS240" s="57"/>
      <c r="AT240" s="57"/>
      <c r="AU240" s="57"/>
      <c r="AV240" s="69"/>
    </row>
    <row r="241" spans="1:48" ht="20.100000000000001" customHeight="1">
      <c r="A241" s="189">
        <v>240</v>
      </c>
      <c r="B241" s="55" t="s">
        <v>1726</v>
      </c>
      <c r="C241" s="56" t="s">
        <v>1715</v>
      </c>
      <c r="D241" s="56" t="s">
        <v>478</v>
      </c>
      <c r="E241" s="56" t="s">
        <v>1563</v>
      </c>
      <c r="F241" s="56" t="s">
        <v>1731</v>
      </c>
      <c r="G241" s="56" t="s">
        <v>1564</v>
      </c>
      <c r="H241" s="193" t="s">
        <v>1728</v>
      </c>
      <c r="I241" s="56" t="s">
        <v>237</v>
      </c>
      <c r="J241" s="56" t="s">
        <v>1669</v>
      </c>
      <c r="K241" s="193" t="s">
        <v>238</v>
      </c>
      <c r="L241" s="56" t="s">
        <v>214</v>
      </c>
      <c r="M241" s="56" t="s">
        <v>59</v>
      </c>
      <c r="N241" s="56" t="s">
        <v>36</v>
      </c>
      <c r="O241" s="56" t="s">
        <v>27</v>
      </c>
      <c r="P241" s="57">
        <v>44557</v>
      </c>
      <c r="Q241" s="57"/>
      <c r="R241" s="57"/>
      <c r="S241" s="57"/>
      <c r="T241" s="57"/>
      <c r="U241" s="57"/>
      <c r="V241" s="69" t="s">
        <v>1719</v>
      </c>
      <c r="AA241" s="189"/>
      <c r="AB241" s="55"/>
      <c r="AC241" s="56"/>
      <c r="AD241" s="56"/>
      <c r="AE241" s="56"/>
      <c r="AF241" s="56"/>
      <c r="AG241" s="56"/>
      <c r="AH241" s="193"/>
      <c r="AI241" s="56"/>
      <c r="AJ241" s="56"/>
      <c r="AK241" s="193"/>
      <c r="AL241" s="56"/>
      <c r="AM241" s="56"/>
      <c r="AN241" s="56"/>
      <c r="AO241" s="56"/>
      <c r="AP241" s="57"/>
      <c r="AQ241" s="57"/>
      <c r="AR241" s="57"/>
      <c r="AS241" s="57"/>
      <c r="AT241" s="57"/>
      <c r="AU241" s="57"/>
      <c r="AV241" s="69"/>
    </row>
    <row r="242" spans="1:48" ht="20.100000000000001" customHeight="1">
      <c r="A242" s="189">
        <v>241</v>
      </c>
      <c r="B242" s="55" t="s">
        <v>1730</v>
      </c>
      <c r="C242" s="56" t="s">
        <v>1715</v>
      </c>
      <c r="D242" s="56" t="s">
        <v>478</v>
      </c>
      <c r="E242" s="56" t="s">
        <v>1563</v>
      </c>
      <c r="F242" s="56" t="s">
        <v>1731</v>
      </c>
      <c r="G242" s="56" t="s">
        <v>1732</v>
      </c>
      <c r="H242" s="193" t="s">
        <v>1733</v>
      </c>
      <c r="I242" s="56" t="s">
        <v>247</v>
      </c>
      <c r="J242" s="56" t="s">
        <v>1669</v>
      </c>
      <c r="K242" s="193" t="s">
        <v>238</v>
      </c>
      <c r="L242" s="56" t="s">
        <v>248</v>
      </c>
      <c r="M242" s="56" t="s">
        <v>59</v>
      </c>
      <c r="N242" s="56" t="s">
        <v>36</v>
      </c>
      <c r="O242" s="56" t="s">
        <v>27</v>
      </c>
      <c r="P242" s="57">
        <v>44557</v>
      </c>
      <c r="Q242" s="57"/>
      <c r="R242" s="57"/>
      <c r="S242" s="57"/>
      <c r="T242" s="57"/>
      <c r="U242" s="57"/>
      <c r="V242" s="69" t="s">
        <v>1719</v>
      </c>
      <c r="AA242" s="189"/>
      <c r="AB242" s="55"/>
      <c r="AC242" s="56"/>
      <c r="AD242" s="56"/>
      <c r="AE242" s="56"/>
      <c r="AF242" s="56"/>
      <c r="AG242" s="56"/>
      <c r="AH242" s="193"/>
      <c r="AI242" s="56"/>
      <c r="AJ242" s="56"/>
      <c r="AK242" s="193"/>
      <c r="AL242" s="56"/>
      <c r="AM242" s="56"/>
      <c r="AN242" s="56"/>
      <c r="AO242" s="56"/>
      <c r="AP242" s="57"/>
      <c r="AQ242" s="57"/>
      <c r="AR242" s="57"/>
      <c r="AS242" s="57"/>
      <c r="AT242" s="57"/>
      <c r="AU242" s="57"/>
      <c r="AV242" s="69"/>
    </row>
    <row r="243" spans="1:48" ht="20.100000000000001" customHeight="1">
      <c r="A243" s="189">
        <v>242</v>
      </c>
      <c r="B243" s="55" t="s">
        <v>1734</v>
      </c>
      <c r="C243" s="56" t="s">
        <v>1715</v>
      </c>
      <c r="D243" s="56" t="s">
        <v>478</v>
      </c>
      <c r="E243" s="56" t="s">
        <v>1563</v>
      </c>
      <c r="F243" s="56" t="s">
        <v>1564</v>
      </c>
      <c r="G243" s="56" t="s">
        <v>1727</v>
      </c>
      <c r="H243" s="193" t="s">
        <v>1728</v>
      </c>
      <c r="I243" s="56" t="s">
        <v>243</v>
      </c>
      <c r="J243" s="56" t="s">
        <v>1729</v>
      </c>
      <c r="K243" s="193" t="s">
        <v>240</v>
      </c>
      <c r="L243" s="56" t="s">
        <v>235</v>
      </c>
      <c r="M243" s="56" t="s">
        <v>59</v>
      </c>
      <c r="N243" s="56" t="s">
        <v>36</v>
      </c>
      <c r="O243" s="56" t="s">
        <v>27</v>
      </c>
      <c r="P243" s="57">
        <v>44560</v>
      </c>
      <c r="Q243" s="57">
        <v>44560</v>
      </c>
      <c r="R243" s="57">
        <v>44585</v>
      </c>
      <c r="S243" s="57"/>
      <c r="T243" s="57"/>
      <c r="U243" s="57"/>
      <c r="V243" s="69" t="s">
        <v>1719</v>
      </c>
      <c r="AA243" s="189"/>
      <c r="AB243" s="55"/>
      <c r="AC243" s="56"/>
      <c r="AD243" s="56"/>
      <c r="AE243" s="56"/>
      <c r="AF243" s="56"/>
      <c r="AG243" s="56"/>
      <c r="AH243" s="193"/>
      <c r="AI243" s="56"/>
      <c r="AJ243" s="56"/>
      <c r="AK243" s="193"/>
      <c r="AL243" s="56"/>
      <c r="AM243" s="56"/>
      <c r="AN243" s="56"/>
      <c r="AO243" s="56"/>
      <c r="AP243" s="57"/>
      <c r="AQ243" s="57"/>
      <c r="AR243" s="57"/>
      <c r="AS243" s="57"/>
      <c r="AT243" s="57"/>
      <c r="AU243" s="57"/>
      <c r="AV243" s="69"/>
    </row>
    <row r="244" spans="1:48" ht="20.100000000000001" customHeight="1">
      <c r="A244" s="189">
        <v>243</v>
      </c>
      <c r="B244" s="55" t="s">
        <v>1735</v>
      </c>
      <c r="C244" s="56" t="s">
        <v>84</v>
      </c>
      <c r="D244" s="56" t="s">
        <v>495</v>
      </c>
      <c r="E244" s="56" t="s">
        <v>1736</v>
      </c>
      <c r="F244" s="56" t="s">
        <v>1737</v>
      </c>
      <c r="G244" s="56" t="s">
        <v>1738</v>
      </c>
      <c r="H244" s="193" t="s">
        <v>1739</v>
      </c>
      <c r="I244" s="56" t="s">
        <v>423</v>
      </c>
      <c r="J244" s="56" t="s">
        <v>1707</v>
      </c>
      <c r="K244" s="193" t="s">
        <v>424</v>
      </c>
      <c r="L244" s="56" t="s">
        <v>395</v>
      </c>
      <c r="M244" s="56" t="s">
        <v>60</v>
      </c>
      <c r="N244" s="56" t="s">
        <v>36</v>
      </c>
      <c r="O244" s="56" t="s">
        <v>1740</v>
      </c>
      <c r="P244" s="57">
        <v>44579</v>
      </c>
      <c r="Q244" s="57">
        <v>44579</v>
      </c>
      <c r="R244" s="57">
        <v>44580</v>
      </c>
      <c r="S244" s="57"/>
      <c r="T244" s="57"/>
      <c r="U244" s="57"/>
      <c r="V244" s="69" t="s">
        <v>1719</v>
      </c>
      <c r="AA244" s="189"/>
      <c r="AB244" s="55"/>
      <c r="AC244" s="56"/>
      <c r="AD244" s="56"/>
      <c r="AE244" s="56"/>
      <c r="AF244" s="56"/>
      <c r="AG244" s="56"/>
      <c r="AH244" s="193"/>
      <c r="AI244" s="56"/>
      <c r="AJ244" s="56"/>
      <c r="AK244" s="193"/>
      <c r="AL244" s="56"/>
      <c r="AM244" s="56"/>
      <c r="AN244" s="56"/>
      <c r="AO244" s="56"/>
      <c r="AP244" s="57"/>
      <c r="AQ244" s="57"/>
      <c r="AR244" s="57"/>
      <c r="AS244" s="57"/>
      <c r="AT244" s="57"/>
      <c r="AU244" s="57"/>
      <c r="AV244" s="69"/>
    </row>
    <row r="245" spans="1:48" ht="20.100000000000001" customHeight="1">
      <c r="A245" s="189">
        <v>244</v>
      </c>
      <c r="B245" s="55" t="s">
        <v>1741</v>
      </c>
      <c r="C245" s="56" t="s">
        <v>84</v>
      </c>
      <c r="D245" s="56" t="s">
        <v>491</v>
      </c>
      <c r="E245" s="56" t="s">
        <v>1742</v>
      </c>
      <c r="F245" s="56" t="s">
        <v>650</v>
      </c>
      <c r="G245" s="56" t="s">
        <v>1743</v>
      </c>
      <c r="H245" s="193" t="s">
        <v>1744</v>
      </c>
      <c r="I245" s="56" t="s">
        <v>427</v>
      </c>
      <c r="J245" s="56" t="s">
        <v>1703</v>
      </c>
      <c r="K245" s="193" t="s">
        <v>298</v>
      </c>
      <c r="L245" s="56" t="s">
        <v>370</v>
      </c>
      <c r="M245" s="56" t="s">
        <v>60</v>
      </c>
      <c r="N245" s="56" t="s">
        <v>36</v>
      </c>
      <c r="O245" s="56" t="s">
        <v>1740</v>
      </c>
      <c r="P245" s="57">
        <v>44579</v>
      </c>
      <c r="Q245" s="57">
        <v>44579</v>
      </c>
      <c r="R245" s="57">
        <v>44580</v>
      </c>
      <c r="S245" s="57"/>
      <c r="T245" s="57"/>
      <c r="U245" s="57"/>
      <c r="V245" s="69" t="s">
        <v>1719</v>
      </c>
      <c r="AA245" s="189"/>
      <c r="AB245" s="50"/>
      <c r="AC245" s="51"/>
      <c r="AD245" s="51"/>
      <c r="AE245" s="51"/>
      <c r="AF245" s="51"/>
      <c r="AG245" s="51"/>
      <c r="AH245" s="205"/>
      <c r="AI245" s="51"/>
      <c r="AJ245" s="51"/>
      <c r="AK245" s="205"/>
      <c r="AL245" s="51"/>
      <c r="AM245" s="51"/>
      <c r="AN245" s="51"/>
      <c r="AO245" s="51"/>
      <c r="AP245" s="54"/>
      <c r="AQ245" s="54"/>
      <c r="AR245" s="54"/>
      <c r="AS245" s="54"/>
      <c r="AT245" s="54"/>
      <c r="AU245" s="54"/>
      <c r="AV245" s="58"/>
    </row>
    <row r="246" spans="1:48" ht="20.100000000000001" customHeight="1">
      <c r="A246" s="189">
        <v>245</v>
      </c>
      <c r="B246" s="50" t="s">
        <v>1665</v>
      </c>
      <c r="C246" s="51" t="s">
        <v>74</v>
      </c>
      <c r="D246" s="51" t="s">
        <v>478</v>
      </c>
      <c r="E246" s="51" t="s">
        <v>1610</v>
      </c>
      <c r="F246" s="51" t="s">
        <v>1664</v>
      </c>
      <c r="G246" s="51" t="s">
        <v>1663</v>
      </c>
      <c r="H246" s="205" t="s">
        <v>1613</v>
      </c>
      <c r="I246" s="51" t="s">
        <v>311</v>
      </c>
      <c r="J246" s="51" t="s">
        <v>1666</v>
      </c>
      <c r="K246" s="205" t="s">
        <v>213</v>
      </c>
      <c r="L246" s="51" t="s">
        <v>241</v>
      </c>
      <c r="M246" s="51" t="s">
        <v>60</v>
      </c>
      <c r="N246" s="51" t="s">
        <v>39</v>
      </c>
      <c r="O246" s="51" t="s">
        <v>27</v>
      </c>
      <c r="P246" s="54" t="s">
        <v>1614</v>
      </c>
      <c r="Q246" s="54" t="s">
        <v>1614</v>
      </c>
      <c r="R246" s="54" t="s">
        <v>1661</v>
      </c>
      <c r="S246" s="54" t="s">
        <v>1661</v>
      </c>
      <c r="T246" s="54">
        <v>44537</v>
      </c>
      <c r="U246" s="54" t="s">
        <v>648</v>
      </c>
      <c r="V246" s="58" t="s">
        <v>1487</v>
      </c>
    </row>
  </sheetData>
  <sortState xmlns:xlrd2="http://schemas.microsoft.com/office/spreadsheetml/2017/richdata2" ref="B2:V246">
    <sortCondition ref="B1"/>
  </sortState>
  <pageMargins left="0.7" right="0.7" top="0.75" bottom="0.75" header="0.3" footer="0.3"/>
  <pageSetup orientation="portrait" verticalDpi="0"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activeCell="F19" sqref="F19"/>
    </sheetView>
  </sheetViews>
  <sheetFormatPr defaultColWidth="9.109375" defaultRowHeight="13.8"/>
  <cols>
    <col min="1" max="1" width="6.5546875" style="1" customWidth="1"/>
    <col min="2" max="2" width="22.6640625" style="1" customWidth="1"/>
    <col min="3" max="16384" width="9.109375" style="1"/>
  </cols>
  <sheetData>
    <row r="1" spans="1:4" ht="18" customHeight="1">
      <c r="A1" s="3" t="s">
        <v>61</v>
      </c>
      <c r="B1" s="3" t="s">
        <v>0</v>
      </c>
      <c r="C1" s="3" t="s">
        <v>1</v>
      </c>
      <c r="D1" s="1">
        <f>COUNTA(A:A)</f>
        <v>6</v>
      </c>
    </row>
    <row r="2" spans="1:4">
      <c r="A2" s="2">
        <v>1</v>
      </c>
      <c r="B2" s="2" t="s">
        <v>62</v>
      </c>
    </row>
    <row r="3" spans="1:4">
      <c r="A3" s="2">
        <v>2</v>
      </c>
      <c r="B3" s="2" t="s">
        <v>63</v>
      </c>
    </row>
    <row r="4" spans="1:4">
      <c r="A4" s="2">
        <v>3</v>
      </c>
      <c r="B4" s="2" t="s">
        <v>64</v>
      </c>
    </row>
    <row r="5" spans="1:4">
      <c r="A5" s="2">
        <v>4</v>
      </c>
      <c r="B5" s="2" t="s">
        <v>65</v>
      </c>
    </row>
    <row r="6" spans="1:4">
      <c r="A6" s="2">
        <v>5</v>
      </c>
      <c r="B6" s="2" t="s">
        <v>66</v>
      </c>
    </row>
    <row r="7" spans="1:4">
      <c r="A7" s="2"/>
      <c r="B7" s="2"/>
    </row>
    <row r="8" spans="1:4">
      <c r="A8" s="2"/>
      <c r="B8" s="2"/>
    </row>
    <row r="9" spans="1:4">
      <c r="A9" s="2"/>
      <c r="B9" s="2"/>
    </row>
    <row r="10" spans="1:4">
      <c r="A10" s="2"/>
      <c r="B10" s="2"/>
    </row>
    <row r="11" spans="1:4">
      <c r="A11" s="2"/>
      <c r="B11" s="2"/>
    </row>
    <row r="12" spans="1:4">
      <c r="A12" s="2"/>
      <c r="B12" s="2"/>
    </row>
    <row r="13" spans="1:4">
      <c r="A13" s="2"/>
      <c r="B13" s="2"/>
    </row>
    <row r="14" spans="1:4">
      <c r="A14" s="2"/>
      <c r="B14" s="2"/>
    </row>
    <row r="15" spans="1:4">
      <c r="A15" s="2"/>
      <c r="B15" s="2"/>
    </row>
    <row r="16" spans="1:4">
      <c r="A16" s="2"/>
      <c r="B16" s="2"/>
    </row>
    <row r="17" spans="1:2">
      <c r="A17" s="2"/>
      <c r="B17" s="2"/>
    </row>
    <row r="18" spans="1:2">
      <c r="A18" s="2"/>
      <c r="B18" s="2"/>
    </row>
    <row r="19" spans="1:2">
      <c r="A19" s="2"/>
      <c r="B19" s="2"/>
    </row>
    <row r="20" spans="1:2">
      <c r="A20" s="2"/>
      <c r="B20" s="2"/>
    </row>
    <row r="21" spans="1:2">
      <c r="A21" s="2"/>
      <c r="B21" s="2"/>
    </row>
    <row r="22" spans="1:2">
      <c r="A22" s="2"/>
      <c r="B22" s="2"/>
    </row>
    <row r="23" spans="1:2">
      <c r="A23" s="2"/>
      <c r="B23" s="2"/>
    </row>
    <row r="24" spans="1:2">
      <c r="A24" s="2"/>
      <c r="B24" s="2"/>
    </row>
    <row r="25" spans="1:2">
      <c r="A25" s="2"/>
      <c r="B25" s="2"/>
    </row>
    <row r="26" spans="1:2">
      <c r="A26" s="2"/>
      <c r="B26" s="2"/>
    </row>
    <row r="27" spans="1:2">
      <c r="A27" s="2"/>
      <c r="B27" s="2"/>
    </row>
    <row r="28" spans="1:2">
      <c r="A28" s="2"/>
      <c r="B28" s="2"/>
    </row>
    <row r="29" spans="1:2">
      <c r="A29" s="2"/>
      <c r="B29" s="2"/>
    </row>
    <row r="30" spans="1:2">
      <c r="A30" s="2"/>
      <c r="B30" s="2"/>
    </row>
    <row r="31" spans="1:2">
      <c r="A31" s="2"/>
      <c r="B31" s="2"/>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K416"/>
  <sheetViews>
    <sheetView topLeftCell="A97" workbookViewId="0">
      <selection activeCell="G129" sqref="G129"/>
    </sheetView>
  </sheetViews>
  <sheetFormatPr defaultColWidth="9.109375" defaultRowHeight="13.8"/>
  <cols>
    <col min="1" max="1" width="5.33203125" style="1" bestFit="1" customWidth="1"/>
    <col min="2" max="2" width="12.33203125" style="1" bestFit="1" customWidth="1"/>
    <col min="3" max="4" width="15.109375" style="1" bestFit="1" customWidth="1"/>
    <col min="5" max="5" width="3.88671875" style="22" bestFit="1" customWidth="1"/>
    <col min="6" max="6" width="9.109375" style="1" bestFit="1" customWidth="1"/>
    <col min="7" max="7" width="7" style="1" bestFit="1" customWidth="1"/>
    <col min="8" max="8" width="11" style="27" bestFit="1" customWidth="1"/>
    <col min="9" max="16384" width="9.109375" style="1"/>
  </cols>
  <sheetData>
    <row r="1" spans="1:8" ht="18.75" customHeight="1">
      <c r="A1" s="4" t="s">
        <v>2</v>
      </c>
      <c r="B1" s="4" t="s">
        <v>0</v>
      </c>
      <c r="C1" s="4" t="s">
        <v>3</v>
      </c>
      <c r="D1" s="4" t="s">
        <v>4</v>
      </c>
      <c r="E1" s="20" t="s">
        <v>5</v>
      </c>
      <c r="F1" s="4" t="s">
        <v>6</v>
      </c>
      <c r="G1" s="4" t="s">
        <v>7</v>
      </c>
      <c r="H1" s="25" t="s">
        <v>8</v>
      </c>
    </row>
    <row r="2" spans="1:8">
      <c r="A2" s="2">
        <f>ROW()-1</f>
        <v>1</v>
      </c>
      <c r="B2" s="2" t="s">
        <v>62</v>
      </c>
      <c r="C2" s="2" t="s">
        <v>9</v>
      </c>
      <c r="D2" s="2" t="s">
        <v>10</v>
      </c>
      <c r="E2" s="21">
        <v>227</v>
      </c>
      <c r="F2" s="2"/>
      <c r="G2" s="2"/>
      <c r="H2" s="26">
        <v>44440</v>
      </c>
    </row>
    <row r="3" spans="1:8">
      <c r="A3" s="2">
        <v>2</v>
      </c>
      <c r="B3" s="2" t="s">
        <v>62</v>
      </c>
      <c r="C3" s="2" t="s">
        <v>54</v>
      </c>
      <c r="D3" s="2" t="s">
        <v>89</v>
      </c>
      <c r="E3" s="21">
        <v>62</v>
      </c>
      <c r="F3" s="2"/>
      <c r="G3" s="2"/>
      <c r="H3" s="26">
        <v>44440</v>
      </c>
    </row>
    <row r="4" spans="1:8">
      <c r="A4" s="2">
        <v>3</v>
      </c>
      <c r="B4" s="2" t="s">
        <v>62</v>
      </c>
      <c r="C4" s="2" t="s">
        <v>50</v>
      </c>
      <c r="D4" s="2" t="s">
        <v>89</v>
      </c>
      <c r="E4" s="21">
        <v>20</v>
      </c>
      <c r="F4" s="2"/>
      <c r="G4" s="2"/>
      <c r="H4" s="26">
        <v>44440</v>
      </c>
    </row>
    <row r="5" spans="1:8">
      <c r="A5" s="2">
        <f>ROW()-1</f>
        <v>4</v>
      </c>
      <c r="B5" s="2" t="s">
        <v>62</v>
      </c>
      <c r="C5" s="2" t="s">
        <v>1555</v>
      </c>
      <c r="D5" s="2" t="s">
        <v>10</v>
      </c>
      <c r="E5" s="21">
        <v>1</v>
      </c>
      <c r="F5" s="2" t="s">
        <v>1498</v>
      </c>
      <c r="G5" s="2" t="s">
        <v>36</v>
      </c>
      <c r="H5" s="26">
        <v>44441</v>
      </c>
    </row>
    <row r="6" spans="1:8">
      <c r="A6" s="2">
        <v>5</v>
      </c>
      <c r="B6" s="2" t="s">
        <v>62</v>
      </c>
      <c r="C6" s="2" t="s">
        <v>1555</v>
      </c>
      <c r="D6" s="2" t="s">
        <v>10</v>
      </c>
      <c r="E6" s="21">
        <v>1</v>
      </c>
      <c r="F6" s="2" t="s">
        <v>1499</v>
      </c>
      <c r="G6" s="2" t="s">
        <v>36</v>
      </c>
      <c r="H6" s="26">
        <v>44441</v>
      </c>
    </row>
    <row r="7" spans="1:8">
      <c r="A7" s="2">
        <v>6</v>
      </c>
      <c r="B7" s="2" t="s">
        <v>62</v>
      </c>
      <c r="C7" s="2" t="s">
        <v>1555</v>
      </c>
      <c r="D7" s="2" t="s">
        <v>10</v>
      </c>
      <c r="E7" s="21">
        <v>1</v>
      </c>
      <c r="F7" s="2" t="s">
        <v>127</v>
      </c>
      <c r="G7" s="2" t="s">
        <v>36</v>
      </c>
      <c r="H7" s="26">
        <v>44441</v>
      </c>
    </row>
    <row r="8" spans="1:8">
      <c r="A8" s="2">
        <v>7</v>
      </c>
      <c r="B8" s="2" t="s">
        <v>62</v>
      </c>
      <c r="C8" s="2" t="s">
        <v>1555</v>
      </c>
      <c r="D8" s="2" t="s">
        <v>10</v>
      </c>
      <c r="E8" s="21">
        <v>1</v>
      </c>
      <c r="F8" s="2" t="s">
        <v>1500</v>
      </c>
      <c r="G8" s="2" t="s">
        <v>36</v>
      </c>
      <c r="H8" s="26">
        <v>44441</v>
      </c>
    </row>
    <row r="9" spans="1:8">
      <c r="A9" s="2">
        <v>8</v>
      </c>
      <c r="B9" s="2" t="s">
        <v>62</v>
      </c>
      <c r="C9" s="2" t="s">
        <v>1555</v>
      </c>
      <c r="D9" s="2" t="s">
        <v>10</v>
      </c>
      <c r="E9" s="21">
        <v>1</v>
      </c>
      <c r="F9" s="2" t="s">
        <v>1501</v>
      </c>
      <c r="G9" s="2" t="s">
        <v>36</v>
      </c>
      <c r="H9" s="26">
        <v>44441</v>
      </c>
    </row>
    <row r="10" spans="1:8">
      <c r="A10" s="2">
        <v>9</v>
      </c>
      <c r="B10" s="2" t="s">
        <v>62</v>
      </c>
      <c r="C10" s="2" t="s">
        <v>1555</v>
      </c>
      <c r="D10" s="2" t="s">
        <v>10</v>
      </c>
      <c r="E10" s="21">
        <v>1</v>
      </c>
      <c r="F10" s="2" t="s">
        <v>1502</v>
      </c>
      <c r="G10" s="2" t="s">
        <v>36</v>
      </c>
      <c r="H10" s="26">
        <v>44441</v>
      </c>
    </row>
    <row r="11" spans="1:8">
      <c r="A11" s="2">
        <v>10</v>
      </c>
      <c r="B11" s="2" t="s">
        <v>62</v>
      </c>
      <c r="C11" s="2" t="s">
        <v>1555</v>
      </c>
      <c r="D11" s="2" t="s">
        <v>10</v>
      </c>
      <c r="E11" s="21">
        <v>1</v>
      </c>
      <c r="F11" s="2" t="s">
        <v>1503</v>
      </c>
      <c r="G11" s="2" t="s">
        <v>36</v>
      </c>
      <c r="H11" s="26">
        <v>44441</v>
      </c>
    </row>
    <row r="12" spans="1:8">
      <c r="A12" s="2">
        <v>11</v>
      </c>
      <c r="B12" s="2" t="s">
        <v>62</v>
      </c>
      <c r="C12" s="2" t="s">
        <v>1555</v>
      </c>
      <c r="D12" s="2" t="s">
        <v>10</v>
      </c>
      <c r="E12" s="21">
        <v>1</v>
      </c>
      <c r="F12" s="2" t="s">
        <v>1504</v>
      </c>
      <c r="G12" s="2" t="s">
        <v>36</v>
      </c>
      <c r="H12" s="26">
        <v>44441</v>
      </c>
    </row>
    <row r="13" spans="1:8">
      <c r="A13" s="2">
        <v>12</v>
      </c>
      <c r="B13" s="2" t="s">
        <v>62</v>
      </c>
      <c r="C13" s="2" t="s">
        <v>1555</v>
      </c>
      <c r="D13" s="2" t="s">
        <v>10</v>
      </c>
      <c r="E13" s="21">
        <v>1</v>
      </c>
      <c r="F13" s="2" t="s">
        <v>1504</v>
      </c>
      <c r="G13" s="2" t="s">
        <v>36</v>
      </c>
      <c r="H13" s="26">
        <v>44441</v>
      </c>
    </row>
    <row r="14" spans="1:8">
      <c r="A14" s="2">
        <v>13</v>
      </c>
      <c r="B14" s="2" t="s">
        <v>62</v>
      </c>
      <c r="C14" s="2" t="s">
        <v>1555</v>
      </c>
      <c r="D14" s="2" t="s">
        <v>10</v>
      </c>
      <c r="E14" s="21">
        <v>1</v>
      </c>
      <c r="F14" s="2" t="s">
        <v>1505</v>
      </c>
      <c r="G14" s="2" t="s">
        <v>36</v>
      </c>
      <c r="H14" s="26">
        <v>44441</v>
      </c>
    </row>
    <row r="15" spans="1:8">
      <c r="A15" s="2">
        <v>14</v>
      </c>
      <c r="B15" s="2" t="s">
        <v>62</v>
      </c>
      <c r="C15" s="2" t="s">
        <v>1555</v>
      </c>
      <c r="D15" s="2" t="s">
        <v>10</v>
      </c>
      <c r="E15" s="21">
        <v>1</v>
      </c>
      <c r="F15" s="2" t="s">
        <v>1506</v>
      </c>
      <c r="G15" s="2" t="s">
        <v>36</v>
      </c>
      <c r="H15" s="26">
        <v>44441</v>
      </c>
    </row>
    <row r="16" spans="1:8">
      <c r="A16" s="2">
        <v>15</v>
      </c>
      <c r="B16" s="2" t="s">
        <v>62</v>
      </c>
      <c r="C16" s="2" t="s">
        <v>1555</v>
      </c>
      <c r="D16" s="2" t="s">
        <v>10</v>
      </c>
      <c r="E16" s="21">
        <v>1</v>
      </c>
      <c r="F16" s="2" t="s">
        <v>1507</v>
      </c>
      <c r="G16" s="2" t="s">
        <v>36</v>
      </c>
      <c r="H16" s="26">
        <v>44441</v>
      </c>
    </row>
    <row r="17" spans="1:11">
      <c r="A17" s="2">
        <v>16</v>
      </c>
      <c r="B17" s="2" t="s">
        <v>62</v>
      </c>
      <c r="C17" s="2" t="s">
        <v>1555</v>
      </c>
      <c r="D17" s="2" t="s">
        <v>10</v>
      </c>
      <c r="E17" s="21">
        <v>1</v>
      </c>
      <c r="F17" s="2" t="s">
        <v>1450</v>
      </c>
      <c r="G17" s="2" t="s">
        <v>36</v>
      </c>
      <c r="H17" s="26">
        <v>44441</v>
      </c>
    </row>
    <row r="18" spans="1:11">
      <c r="A18" s="2">
        <v>17</v>
      </c>
      <c r="B18" s="2" t="s">
        <v>62</v>
      </c>
      <c r="C18" s="2" t="s">
        <v>1555</v>
      </c>
      <c r="D18" s="2" t="s">
        <v>10</v>
      </c>
      <c r="E18" s="21">
        <v>1</v>
      </c>
      <c r="F18" s="2" t="s">
        <v>1508</v>
      </c>
      <c r="G18" s="2" t="s">
        <v>36</v>
      </c>
      <c r="H18" s="26">
        <v>44441</v>
      </c>
      <c r="K18" s="1" t="s">
        <v>1497</v>
      </c>
    </row>
    <row r="19" spans="1:11">
      <c r="A19" s="2">
        <v>18</v>
      </c>
      <c r="B19" s="2" t="s">
        <v>62</v>
      </c>
      <c r="C19" s="2" t="s">
        <v>1555</v>
      </c>
      <c r="D19" s="2" t="s">
        <v>10</v>
      </c>
      <c r="E19" s="21">
        <v>1</v>
      </c>
      <c r="F19" s="2" t="s">
        <v>124</v>
      </c>
      <c r="G19" s="2" t="s">
        <v>36</v>
      </c>
      <c r="H19" s="26">
        <v>44441</v>
      </c>
    </row>
    <row r="20" spans="1:11">
      <c r="A20" s="2">
        <v>19</v>
      </c>
      <c r="B20" s="2" t="s">
        <v>62</v>
      </c>
      <c r="C20" s="2" t="s">
        <v>1555</v>
      </c>
      <c r="D20" s="2" t="s">
        <v>10</v>
      </c>
      <c r="E20" s="21">
        <v>1</v>
      </c>
      <c r="F20" s="2" t="s">
        <v>125</v>
      </c>
      <c r="G20" s="2" t="s">
        <v>36</v>
      </c>
      <c r="H20" s="26">
        <v>44441</v>
      </c>
    </row>
    <row r="21" spans="1:11">
      <c r="A21" s="2">
        <v>20</v>
      </c>
      <c r="B21" s="2" t="s">
        <v>62</v>
      </c>
      <c r="C21" s="2" t="s">
        <v>1555</v>
      </c>
      <c r="D21" s="2" t="s">
        <v>10</v>
      </c>
      <c r="E21" s="21">
        <v>1</v>
      </c>
      <c r="F21" s="2" t="s">
        <v>126</v>
      </c>
      <c r="G21" s="2" t="s">
        <v>36</v>
      </c>
      <c r="H21" s="26">
        <v>44441</v>
      </c>
    </row>
    <row r="22" spans="1:11">
      <c r="A22" s="2">
        <v>21</v>
      </c>
      <c r="B22" s="2" t="s">
        <v>62</v>
      </c>
      <c r="C22" s="2" t="s">
        <v>1555</v>
      </c>
      <c r="D22" s="2" t="s">
        <v>10</v>
      </c>
      <c r="E22" s="21">
        <v>1</v>
      </c>
      <c r="F22" s="2" t="s">
        <v>135</v>
      </c>
      <c r="G22" s="2" t="s">
        <v>36</v>
      </c>
      <c r="H22" s="26">
        <v>44441</v>
      </c>
    </row>
    <row r="23" spans="1:11">
      <c r="A23" s="2">
        <v>22</v>
      </c>
      <c r="B23" s="2" t="s">
        <v>62</v>
      </c>
      <c r="C23" s="2" t="s">
        <v>1555</v>
      </c>
      <c r="D23" s="2" t="s">
        <v>10</v>
      </c>
      <c r="E23" s="21">
        <v>1</v>
      </c>
      <c r="F23" s="2" t="s">
        <v>129</v>
      </c>
      <c r="G23" s="2" t="s">
        <v>36</v>
      </c>
      <c r="H23" s="26">
        <v>44441</v>
      </c>
    </row>
    <row r="24" spans="1:11">
      <c r="A24" s="2">
        <v>23</v>
      </c>
      <c r="B24" s="2" t="s">
        <v>62</v>
      </c>
      <c r="C24" s="2" t="s">
        <v>1555</v>
      </c>
      <c r="D24" s="2" t="s">
        <v>10</v>
      </c>
      <c r="E24" s="21">
        <v>1</v>
      </c>
      <c r="F24" s="2" t="s">
        <v>136</v>
      </c>
      <c r="G24" s="2" t="s">
        <v>36</v>
      </c>
      <c r="H24" s="26">
        <v>44441</v>
      </c>
    </row>
    <row r="25" spans="1:11">
      <c r="A25" s="2">
        <v>24</v>
      </c>
      <c r="B25" s="2" t="s">
        <v>62</v>
      </c>
      <c r="C25" s="2" t="s">
        <v>1555</v>
      </c>
      <c r="D25" s="2" t="s">
        <v>10</v>
      </c>
      <c r="E25" s="21">
        <v>1</v>
      </c>
      <c r="F25" s="2" t="s">
        <v>112</v>
      </c>
      <c r="G25" s="2" t="s">
        <v>36</v>
      </c>
      <c r="H25" s="26">
        <v>44441</v>
      </c>
    </row>
    <row r="26" spans="1:11">
      <c r="A26" s="2">
        <v>25</v>
      </c>
      <c r="B26" s="2" t="s">
        <v>62</v>
      </c>
      <c r="C26" s="2" t="s">
        <v>1555</v>
      </c>
      <c r="D26" s="2" t="s">
        <v>10</v>
      </c>
      <c r="E26" s="21">
        <v>1</v>
      </c>
      <c r="F26" s="2" t="s">
        <v>115</v>
      </c>
      <c r="G26" s="2" t="s">
        <v>36</v>
      </c>
      <c r="H26" s="26">
        <v>44441</v>
      </c>
    </row>
    <row r="27" spans="1:11">
      <c r="A27" s="2">
        <v>26</v>
      </c>
      <c r="B27" s="2" t="s">
        <v>62</v>
      </c>
      <c r="C27" s="2" t="s">
        <v>1555</v>
      </c>
      <c r="D27" s="2" t="s">
        <v>10</v>
      </c>
      <c r="E27" s="21">
        <v>1</v>
      </c>
      <c r="F27" s="2" t="s">
        <v>116</v>
      </c>
      <c r="G27" s="2" t="s">
        <v>36</v>
      </c>
      <c r="H27" s="26">
        <v>44441</v>
      </c>
    </row>
    <row r="28" spans="1:11">
      <c r="A28" s="2">
        <v>27</v>
      </c>
      <c r="B28" s="2" t="s">
        <v>62</v>
      </c>
      <c r="C28" s="2" t="s">
        <v>1555</v>
      </c>
      <c r="D28" s="2" t="s">
        <v>10</v>
      </c>
      <c r="E28" s="21">
        <v>1</v>
      </c>
      <c r="F28" s="2" t="s">
        <v>114</v>
      </c>
      <c r="G28" s="2" t="s">
        <v>36</v>
      </c>
      <c r="H28" s="26">
        <v>44441</v>
      </c>
    </row>
    <row r="29" spans="1:11">
      <c r="A29" s="2">
        <v>28</v>
      </c>
      <c r="B29" s="2" t="s">
        <v>62</v>
      </c>
      <c r="C29" s="2" t="s">
        <v>1555</v>
      </c>
      <c r="D29" s="2" t="s">
        <v>10</v>
      </c>
      <c r="E29" s="21">
        <v>1</v>
      </c>
      <c r="F29" s="2" t="s">
        <v>137</v>
      </c>
      <c r="G29" s="2" t="s">
        <v>36</v>
      </c>
      <c r="H29" s="26">
        <v>44441</v>
      </c>
    </row>
    <row r="30" spans="1:11">
      <c r="A30" s="2">
        <v>29</v>
      </c>
      <c r="B30" s="2" t="s">
        <v>62</v>
      </c>
      <c r="C30" s="2" t="s">
        <v>1555</v>
      </c>
      <c r="D30" s="2" t="s">
        <v>10</v>
      </c>
      <c r="E30" s="21">
        <v>1</v>
      </c>
      <c r="F30" s="2" t="s">
        <v>1453</v>
      </c>
      <c r="G30" s="2" t="s">
        <v>36</v>
      </c>
      <c r="H30" s="26">
        <v>44441</v>
      </c>
    </row>
    <row r="31" spans="1:11">
      <c r="A31" s="2">
        <v>30</v>
      </c>
      <c r="B31" s="2" t="s">
        <v>62</v>
      </c>
      <c r="C31" s="2" t="s">
        <v>1555</v>
      </c>
      <c r="D31" s="2" t="s">
        <v>10</v>
      </c>
      <c r="E31" s="21">
        <v>1</v>
      </c>
      <c r="F31" s="2" t="s">
        <v>138</v>
      </c>
      <c r="G31" s="2" t="s">
        <v>36</v>
      </c>
      <c r="H31" s="26">
        <v>44441</v>
      </c>
    </row>
    <row r="32" spans="1:11">
      <c r="A32" s="2">
        <v>31</v>
      </c>
      <c r="B32" s="2" t="s">
        <v>62</v>
      </c>
      <c r="C32" s="2" t="s">
        <v>1555</v>
      </c>
      <c r="D32" s="2" t="s">
        <v>10</v>
      </c>
      <c r="E32" s="21">
        <v>1</v>
      </c>
      <c r="F32" s="2" t="s">
        <v>121</v>
      </c>
      <c r="G32" s="2" t="s">
        <v>36</v>
      </c>
      <c r="H32" s="26">
        <v>44441</v>
      </c>
    </row>
    <row r="33" spans="1:8">
      <c r="A33" s="2">
        <v>32</v>
      </c>
      <c r="B33" s="2" t="s">
        <v>62</v>
      </c>
      <c r="C33" s="2" t="s">
        <v>1555</v>
      </c>
      <c r="D33" s="2" t="s">
        <v>10</v>
      </c>
      <c r="E33" s="21">
        <v>1</v>
      </c>
      <c r="F33" s="2" t="s">
        <v>439</v>
      </c>
      <c r="G33" s="2" t="s">
        <v>36</v>
      </c>
      <c r="H33" s="26">
        <v>44441</v>
      </c>
    </row>
    <row r="34" spans="1:8">
      <c r="A34" s="2">
        <v>33</v>
      </c>
      <c r="B34" s="2" t="s">
        <v>62</v>
      </c>
      <c r="C34" s="2" t="s">
        <v>1555</v>
      </c>
      <c r="D34" s="2" t="s">
        <v>10</v>
      </c>
      <c r="E34" s="21">
        <v>1</v>
      </c>
      <c r="F34" s="2" t="s">
        <v>140</v>
      </c>
      <c r="G34" s="2" t="s">
        <v>36</v>
      </c>
      <c r="H34" s="26">
        <v>44441</v>
      </c>
    </row>
    <row r="35" spans="1:8">
      <c r="A35" s="2">
        <v>34</v>
      </c>
      <c r="B35" s="2" t="s">
        <v>62</v>
      </c>
      <c r="C35" s="2" t="s">
        <v>1555</v>
      </c>
      <c r="D35" s="2" t="s">
        <v>10</v>
      </c>
      <c r="E35" s="21">
        <v>1</v>
      </c>
      <c r="F35" s="2" t="s">
        <v>1451</v>
      </c>
      <c r="G35" s="2" t="s">
        <v>36</v>
      </c>
      <c r="H35" s="26">
        <v>44441</v>
      </c>
    </row>
    <row r="36" spans="1:8">
      <c r="A36" s="2">
        <v>35</v>
      </c>
      <c r="B36" s="2" t="s">
        <v>62</v>
      </c>
      <c r="C36" s="2" t="s">
        <v>1555</v>
      </c>
      <c r="D36" s="2" t="s">
        <v>10</v>
      </c>
      <c r="E36" s="21">
        <v>1</v>
      </c>
      <c r="F36" s="2" t="s">
        <v>1452</v>
      </c>
      <c r="G36" s="2" t="s">
        <v>36</v>
      </c>
      <c r="H36" s="26">
        <v>44441</v>
      </c>
    </row>
    <row r="37" spans="1:8">
      <c r="A37" s="2">
        <v>36</v>
      </c>
      <c r="B37" s="2" t="s">
        <v>62</v>
      </c>
      <c r="C37" s="2" t="s">
        <v>1555</v>
      </c>
      <c r="D37" s="2" t="s">
        <v>10</v>
      </c>
      <c r="E37" s="21">
        <v>1</v>
      </c>
      <c r="F37" s="2" t="s">
        <v>139</v>
      </c>
      <c r="G37" s="2" t="s">
        <v>36</v>
      </c>
      <c r="H37" s="26">
        <v>44441</v>
      </c>
    </row>
    <row r="38" spans="1:8">
      <c r="A38" s="2">
        <v>37</v>
      </c>
      <c r="B38" s="2" t="s">
        <v>62</v>
      </c>
      <c r="C38" s="2" t="s">
        <v>1555</v>
      </c>
      <c r="D38" s="2" t="s">
        <v>10</v>
      </c>
      <c r="E38" s="21">
        <v>1</v>
      </c>
      <c r="F38" s="2" t="s">
        <v>198</v>
      </c>
      <c r="G38" s="2" t="s">
        <v>36</v>
      </c>
      <c r="H38" s="26">
        <v>44441</v>
      </c>
    </row>
    <row r="39" spans="1:8">
      <c r="A39" s="2">
        <v>38</v>
      </c>
      <c r="B39" s="2" t="s">
        <v>62</v>
      </c>
      <c r="C39" s="2" t="s">
        <v>1555</v>
      </c>
      <c r="D39" s="2" t="s">
        <v>10</v>
      </c>
      <c r="E39" s="21">
        <v>1</v>
      </c>
      <c r="F39" s="2" t="s">
        <v>200</v>
      </c>
      <c r="G39" s="2" t="s">
        <v>36</v>
      </c>
      <c r="H39" s="26">
        <v>44441</v>
      </c>
    </row>
    <row r="40" spans="1:8">
      <c r="A40" s="2">
        <v>39</v>
      </c>
      <c r="B40" s="2" t="s">
        <v>62</v>
      </c>
      <c r="C40" s="2" t="s">
        <v>1555</v>
      </c>
      <c r="D40" s="2" t="s">
        <v>10</v>
      </c>
      <c r="E40" s="21">
        <v>1</v>
      </c>
      <c r="F40" s="2" t="s">
        <v>455</v>
      </c>
      <c r="G40" s="2" t="s">
        <v>36</v>
      </c>
      <c r="H40" s="26">
        <v>44441</v>
      </c>
    </row>
    <row r="41" spans="1:8">
      <c r="A41" s="2">
        <v>40</v>
      </c>
      <c r="B41" s="2" t="s">
        <v>62</v>
      </c>
      <c r="C41" s="2" t="s">
        <v>1555</v>
      </c>
      <c r="D41" s="2" t="s">
        <v>10</v>
      </c>
      <c r="E41" s="21">
        <v>1</v>
      </c>
      <c r="F41" s="2" t="s">
        <v>201</v>
      </c>
      <c r="G41" s="2" t="s">
        <v>36</v>
      </c>
      <c r="H41" s="26">
        <v>44441</v>
      </c>
    </row>
    <row r="42" spans="1:8">
      <c r="A42" s="2">
        <v>41</v>
      </c>
      <c r="B42" s="2" t="s">
        <v>62</v>
      </c>
      <c r="C42" s="2" t="s">
        <v>1555</v>
      </c>
      <c r="D42" s="2" t="s">
        <v>10</v>
      </c>
      <c r="E42" s="21">
        <v>1</v>
      </c>
      <c r="F42" s="2" t="s">
        <v>463</v>
      </c>
      <c r="G42" s="2" t="s">
        <v>36</v>
      </c>
      <c r="H42" s="26">
        <v>44441</v>
      </c>
    </row>
    <row r="43" spans="1:8">
      <c r="A43" s="2">
        <v>42</v>
      </c>
      <c r="B43" s="2" t="s">
        <v>62</v>
      </c>
      <c r="C43" s="2" t="s">
        <v>1555</v>
      </c>
      <c r="D43" s="2" t="s">
        <v>10</v>
      </c>
      <c r="E43" s="21">
        <v>1</v>
      </c>
      <c r="F43" s="2" t="s">
        <v>128</v>
      </c>
      <c r="G43" s="2" t="s">
        <v>36</v>
      </c>
      <c r="H43" s="26">
        <v>44441</v>
      </c>
    </row>
    <row r="44" spans="1:8">
      <c r="A44" s="2">
        <v>43</v>
      </c>
      <c r="B44" s="2" t="s">
        <v>62</v>
      </c>
      <c r="C44" s="2" t="s">
        <v>1555</v>
      </c>
      <c r="D44" s="2" t="s">
        <v>10</v>
      </c>
      <c r="E44" s="21">
        <v>1</v>
      </c>
      <c r="F44" s="2" t="s">
        <v>1509</v>
      </c>
      <c r="G44" s="2" t="s">
        <v>36</v>
      </c>
      <c r="H44" s="26">
        <v>44441</v>
      </c>
    </row>
    <row r="45" spans="1:8">
      <c r="A45" s="2">
        <v>44</v>
      </c>
      <c r="B45" s="2" t="s">
        <v>62</v>
      </c>
      <c r="C45" s="2" t="s">
        <v>1555</v>
      </c>
      <c r="D45" s="2" t="s">
        <v>10</v>
      </c>
      <c r="E45" s="21">
        <v>1</v>
      </c>
      <c r="F45" s="2" t="s">
        <v>1440</v>
      </c>
      <c r="G45" s="2" t="s">
        <v>36</v>
      </c>
      <c r="H45" s="26">
        <v>44441</v>
      </c>
    </row>
    <row r="46" spans="1:8">
      <c r="A46" s="2">
        <v>45</v>
      </c>
      <c r="B46" s="2" t="s">
        <v>62</v>
      </c>
      <c r="C46" s="2" t="s">
        <v>1555</v>
      </c>
      <c r="D46" s="2" t="s">
        <v>10</v>
      </c>
      <c r="E46" s="21">
        <v>1</v>
      </c>
      <c r="F46" s="2" t="s">
        <v>1445</v>
      </c>
      <c r="G46" s="2" t="s">
        <v>36</v>
      </c>
      <c r="H46" s="26">
        <v>44441</v>
      </c>
    </row>
    <row r="47" spans="1:8">
      <c r="A47" s="2">
        <v>46</v>
      </c>
      <c r="B47" s="2" t="s">
        <v>62</v>
      </c>
      <c r="C47" s="2" t="s">
        <v>1555</v>
      </c>
      <c r="D47" s="2" t="s">
        <v>10</v>
      </c>
      <c r="E47" s="21">
        <v>1</v>
      </c>
      <c r="F47" s="2" t="s">
        <v>1446</v>
      </c>
      <c r="G47" s="2" t="s">
        <v>36</v>
      </c>
      <c r="H47" s="26">
        <v>44441</v>
      </c>
    </row>
    <row r="48" spans="1:8">
      <c r="A48" s="2">
        <v>47</v>
      </c>
      <c r="B48" s="2" t="s">
        <v>62</v>
      </c>
      <c r="C48" s="2" t="s">
        <v>1555</v>
      </c>
      <c r="D48" s="2" t="s">
        <v>10</v>
      </c>
      <c r="E48" s="21">
        <v>1</v>
      </c>
      <c r="F48" s="2" t="s">
        <v>1510</v>
      </c>
      <c r="G48" s="2" t="s">
        <v>36</v>
      </c>
      <c r="H48" s="26">
        <v>44441</v>
      </c>
    </row>
    <row r="49" spans="1:8">
      <c r="A49" s="2">
        <v>48</v>
      </c>
      <c r="B49" s="2" t="s">
        <v>62</v>
      </c>
      <c r="C49" s="2" t="s">
        <v>1555</v>
      </c>
      <c r="D49" s="2" t="s">
        <v>10</v>
      </c>
      <c r="E49" s="21">
        <v>1</v>
      </c>
      <c r="F49" s="2" t="s">
        <v>1511</v>
      </c>
      <c r="G49" s="2" t="s">
        <v>36</v>
      </c>
      <c r="H49" s="26">
        <v>44441</v>
      </c>
    </row>
    <row r="50" spans="1:8">
      <c r="A50" s="2">
        <v>49</v>
      </c>
      <c r="B50" s="2" t="s">
        <v>62</v>
      </c>
      <c r="C50" s="2" t="s">
        <v>1555</v>
      </c>
      <c r="D50" s="2" t="s">
        <v>10</v>
      </c>
      <c r="E50" s="21">
        <v>1</v>
      </c>
      <c r="F50" s="2" t="s">
        <v>203</v>
      </c>
      <c r="G50" s="2" t="s">
        <v>1512</v>
      </c>
      <c r="H50" s="26">
        <v>44441</v>
      </c>
    </row>
    <row r="51" spans="1:8">
      <c r="A51" s="2">
        <v>50</v>
      </c>
      <c r="B51" s="2" t="s">
        <v>62</v>
      </c>
      <c r="C51" s="2" t="s">
        <v>1555</v>
      </c>
      <c r="D51" s="2" t="s">
        <v>10</v>
      </c>
      <c r="E51" s="21">
        <v>1</v>
      </c>
      <c r="F51" s="2" t="s">
        <v>205</v>
      </c>
      <c r="G51" s="2" t="s">
        <v>1512</v>
      </c>
      <c r="H51" s="26">
        <v>44441</v>
      </c>
    </row>
    <row r="52" spans="1:8">
      <c r="A52" s="2">
        <v>51</v>
      </c>
      <c r="B52" s="2" t="s">
        <v>62</v>
      </c>
      <c r="C52" s="2" t="s">
        <v>1555</v>
      </c>
      <c r="D52" s="2" t="s">
        <v>10</v>
      </c>
      <c r="E52" s="21">
        <v>1</v>
      </c>
      <c r="F52" s="2" t="s">
        <v>207</v>
      </c>
      <c r="G52" s="2" t="s">
        <v>1512</v>
      </c>
      <c r="H52" s="26">
        <v>44441</v>
      </c>
    </row>
    <row r="53" spans="1:8">
      <c r="A53" s="2">
        <v>52</v>
      </c>
      <c r="B53" s="2" t="s">
        <v>62</v>
      </c>
      <c r="C53" s="2" t="s">
        <v>1555</v>
      </c>
      <c r="D53" s="2" t="s">
        <v>10</v>
      </c>
      <c r="E53" s="21">
        <v>1</v>
      </c>
      <c r="F53" s="2" t="s">
        <v>210</v>
      </c>
      <c r="G53" s="2" t="s">
        <v>1512</v>
      </c>
      <c r="H53" s="26">
        <v>44441</v>
      </c>
    </row>
    <row r="54" spans="1:8">
      <c r="A54" s="2">
        <v>53</v>
      </c>
      <c r="B54" s="2" t="s">
        <v>62</v>
      </c>
      <c r="C54" s="2" t="s">
        <v>1555</v>
      </c>
      <c r="D54" s="2" t="s">
        <v>10</v>
      </c>
      <c r="E54" s="21">
        <v>1</v>
      </c>
      <c r="F54" s="2" t="s">
        <v>1513</v>
      </c>
      <c r="G54" s="2" t="s">
        <v>1514</v>
      </c>
      <c r="H54" s="26">
        <v>44441</v>
      </c>
    </row>
    <row r="55" spans="1:8">
      <c r="A55" s="2">
        <v>54</v>
      </c>
      <c r="B55" s="2" t="s">
        <v>62</v>
      </c>
      <c r="C55" s="2" t="s">
        <v>1555</v>
      </c>
      <c r="D55" s="2" t="s">
        <v>10</v>
      </c>
      <c r="E55" s="21">
        <v>1</v>
      </c>
      <c r="F55" s="2" t="s">
        <v>1515</v>
      </c>
      <c r="G55" s="2" t="s">
        <v>36</v>
      </c>
      <c r="H55" s="26">
        <v>44441</v>
      </c>
    </row>
    <row r="56" spans="1:8">
      <c r="A56" s="2">
        <v>55</v>
      </c>
      <c r="B56" s="2" t="s">
        <v>62</v>
      </c>
      <c r="C56" s="2" t="s">
        <v>1555</v>
      </c>
      <c r="D56" s="2" t="s">
        <v>10</v>
      </c>
      <c r="E56" s="21">
        <v>1</v>
      </c>
      <c r="F56" s="2" t="s">
        <v>1516</v>
      </c>
      <c r="G56" s="2" t="s">
        <v>36</v>
      </c>
      <c r="H56" s="26">
        <v>44441</v>
      </c>
    </row>
    <row r="57" spans="1:8">
      <c r="A57" s="2">
        <v>56</v>
      </c>
      <c r="B57" s="2" t="s">
        <v>62</v>
      </c>
      <c r="C57" s="2" t="s">
        <v>1555</v>
      </c>
      <c r="D57" s="2" t="s">
        <v>10</v>
      </c>
      <c r="E57" s="21">
        <v>1</v>
      </c>
      <c r="F57" s="2" t="s">
        <v>111</v>
      </c>
      <c r="G57" s="2" t="s">
        <v>38</v>
      </c>
      <c r="H57" s="26">
        <v>44441</v>
      </c>
    </row>
    <row r="58" spans="1:8">
      <c r="A58" s="2">
        <v>57</v>
      </c>
      <c r="B58" s="2" t="s">
        <v>62</v>
      </c>
      <c r="C58" s="2" t="s">
        <v>1555</v>
      </c>
      <c r="D58" s="2" t="s">
        <v>10</v>
      </c>
      <c r="E58" s="21">
        <v>1</v>
      </c>
      <c r="F58" s="2" t="s">
        <v>1517</v>
      </c>
      <c r="G58" s="2" t="s">
        <v>38</v>
      </c>
      <c r="H58" s="26">
        <v>44441</v>
      </c>
    </row>
    <row r="59" spans="1:8">
      <c r="A59" s="2">
        <v>58</v>
      </c>
      <c r="B59" s="2" t="s">
        <v>62</v>
      </c>
      <c r="C59" s="2" t="s">
        <v>1555</v>
      </c>
      <c r="D59" s="2" t="s">
        <v>10</v>
      </c>
      <c r="E59" s="21">
        <v>1</v>
      </c>
      <c r="F59" s="2" t="s">
        <v>1518</v>
      </c>
      <c r="G59" s="2" t="s">
        <v>38</v>
      </c>
      <c r="H59" s="26">
        <v>44441</v>
      </c>
    </row>
    <row r="60" spans="1:8">
      <c r="A60" s="2">
        <v>59</v>
      </c>
      <c r="B60" s="2" t="s">
        <v>62</v>
      </c>
      <c r="C60" s="2" t="s">
        <v>1555</v>
      </c>
      <c r="D60" s="2" t="s">
        <v>10</v>
      </c>
      <c r="E60" s="21">
        <v>1</v>
      </c>
      <c r="F60" s="2" t="s">
        <v>1519</v>
      </c>
      <c r="G60" s="2" t="s">
        <v>38</v>
      </c>
      <c r="H60" s="26">
        <v>44441</v>
      </c>
    </row>
    <row r="61" spans="1:8">
      <c r="A61" s="2">
        <v>60</v>
      </c>
      <c r="B61" s="2" t="s">
        <v>62</v>
      </c>
      <c r="C61" s="2" t="s">
        <v>1555</v>
      </c>
      <c r="D61" s="2" t="s">
        <v>10</v>
      </c>
      <c r="E61" s="21">
        <v>1</v>
      </c>
      <c r="F61" s="2" t="s">
        <v>1520</v>
      </c>
      <c r="G61" s="2" t="s">
        <v>38</v>
      </c>
      <c r="H61" s="26">
        <v>44441</v>
      </c>
    </row>
    <row r="62" spans="1:8">
      <c r="A62" s="2">
        <v>61</v>
      </c>
      <c r="B62" s="2" t="s">
        <v>62</v>
      </c>
      <c r="C62" s="2" t="s">
        <v>1555</v>
      </c>
      <c r="D62" s="2" t="s">
        <v>10</v>
      </c>
      <c r="E62" s="21">
        <v>1</v>
      </c>
      <c r="F62" s="2" t="s">
        <v>1513</v>
      </c>
      <c r="G62" s="2" t="s">
        <v>38</v>
      </c>
      <c r="H62" s="26">
        <v>44441</v>
      </c>
    </row>
    <row r="63" spans="1:8">
      <c r="A63" s="2">
        <v>62</v>
      </c>
      <c r="B63" s="2" t="s">
        <v>62</v>
      </c>
      <c r="C63" s="2" t="s">
        <v>1555</v>
      </c>
      <c r="D63" s="2" t="s">
        <v>10</v>
      </c>
      <c r="E63" s="21">
        <v>1</v>
      </c>
      <c r="F63" s="2" t="s">
        <v>1521</v>
      </c>
      <c r="G63" s="2" t="s">
        <v>38</v>
      </c>
      <c r="H63" s="26">
        <v>44441</v>
      </c>
    </row>
    <row r="64" spans="1:8">
      <c r="A64" s="2">
        <v>63</v>
      </c>
      <c r="B64" s="2" t="s">
        <v>62</v>
      </c>
      <c r="C64" s="2" t="s">
        <v>1555</v>
      </c>
      <c r="D64" s="2" t="s">
        <v>10</v>
      </c>
      <c r="E64" s="21">
        <v>1</v>
      </c>
      <c r="F64" s="2" t="s">
        <v>1522</v>
      </c>
      <c r="G64" s="2" t="s">
        <v>38</v>
      </c>
      <c r="H64" s="26">
        <v>44441</v>
      </c>
    </row>
    <row r="65" spans="1:8">
      <c r="A65" s="2">
        <v>64</v>
      </c>
      <c r="B65" s="2" t="s">
        <v>62</v>
      </c>
      <c r="C65" s="2" t="s">
        <v>1555</v>
      </c>
      <c r="D65" s="2" t="s">
        <v>10</v>
      </c>
      <c r="E65" s="21">
        <v>1</v>
      </c>
      <c r="F65" s="2" t="s">
        <v>1523</v>
      </c>
      <c r="G65" s="2" t="s">
        <v>38</v>
      </c>
      <c r="H65" s="26">
        <v>44441</v>
      </c>
    </row>
    <row r="66" spans="1:8">
      <c r="A66" s="2">
        <v>65</v>
      </c>
      <c r="B66" s="2" t="s">
        <v>62</v>
      </c>
      <c r="C66" s="2" t="s">
        <v>1555</v>
      </c>
      <c r="D66" s="2" t="s">
        <v>10</v>
      </c>
      <c r="E66" s="21">
        <v>1</v>
      </c>
      <c r="F66" s="2" t="s">
        <v>1524</v>
      </c>
      <c r="G66" s="2" t="s">
        <v>38</v>
      </c>
      <c r="H66" s="26">
        <v>44441</v>
      </c>
    </row>
    <row r="67" spans="1:8">
      <c r="A67" s="2">
        <v>66</v>
      </c>
      <c r="B67" s="2" t="s">
        <v>62</v>
      </c>
      <c r="C67" s="2" t="s">
        <v>1555</v>
      </c>
      <c r="D67" s="2" t="s">
        <v>10</v>
      </c>
      <c r="E67" s="21">
        <v>1</v>
      </c>
      <c r="F67" s="2" t="s">
        <v>203</v>
      </c>
      <c r="G67" s="2" t="s">
        <v>38</v>
      </c>
      <c r="H67" s="26">
        <v>44441</v>
      </c>
    </row>
    <row r="68" spans="1:8">
      <c r="A68" s="2">
        <v>67</v>
      </c>
      <c r="B68" s="2" t="s">
        <v>62</v>
      </c>
      <c r="C68" s="2" t="s">
        <v>1555</v>
      </c>
      <c r="D68" s="2" t="s">
        <v>10</v>
      </c>
      <c r="E68" s="21">
        <v>1</v>
      </c>
      <c r="F68" s="2" t="s">
        <v>1525</v>
      </c>
      <c r="G68" s="2" t="s">
        <v>38</v>
      </c>
      <c r="H68" s="26">
        <v>44441</v>
      </c>
    </row>
    <row r="69" spans="1:8">
      <c r="A69" s="2">
        <v>68</v>
      </c>
      <c r="B69" s="2" t="s">
        <v>62</v>
      </c>
      <c r="C69" s="2" t="s">
        <v>1555</v>
      </c>
      <c r="D69" s="2" t="s">
        <v>10</v>
      </c>
      <c r="E69" s="21">
        <v>1</v>
      </c>
      <c r="F69" s="2" t="s">
        <v>205</v>
      </c>
      <c r="G69" s="2" t="s">
        <v>38</v>
      </c>
      <c r="H69" s="26">
        <v>44441</v>
      </c>
    </row>
    <row r="70" spans="1:8">
      <c r="A70" s="2">
        <v>69</v>
      </c>
      <c r="B70" s="2" t="s">
        <v>62</v>
      </c>
      <c r="C70" s="2" t="s">
        <v>1555</v>
      </c>
      <c r="D70" s="2" t="s">
        <v>10</v>
      </c>
      <c r="E70" s="21">
        <v>1</v>
      </c>
      <c r="F70" s="2" t="s">
        <v>1526</v>
      </c>
      <c r="G70" s="2" t="s">
        <v>38</v>
      </c>
      <c r="H70" s="26">
        <v>44441</v>
      </c>
    </row>
    <row r="71" spans="1:8">
      <c r="A71" s="2">
        <v>70</v>
      </c>
      <c r="B71" s="2" t="s">
        <v>62</v>
      </c>
      <c r="C71" s="2" t="s">
        <v>1555</v>
      </c>
      <c r="D71" s="2" t="s">
        <v>10</v>
      </c>
      <c r="E71" s="21">
        <v>1</v>
      </c>
      <c r="F71" s="2" t="s">
        <v>1527</v>
      </c>
      <c r="G71" s="2" t="s">
        <v>38</v>
      </c>
      <c r="H71" s="26">
        <v>44441</v>
      </c>
    </row>
    <row r="72" spans="1:8">
      <c r="A72" s="2">
        <v>71</v>
      </c>
      <c r="B72" s="2" t="s">
        <v>62</v>
      </c>
      <c r="C72" s="2" t="s">
        <v>1555</v>
      </c>
      <c r="D72" s="2" t="s">
        <v>10</v>
      </c>
      <c r="E72" s="21">
        <v>1</v>
      </c>
      <c r="F72" s="2" t="s">
        <v>1187</v>
      </c>
      <c r="G72" s="2" t="s">
        <v>38</v>
      </c>
      <c r="H72" s="26">
        <v>44441</v>
      </c>
    </row>
    <row r="73" spans="1:8">
      <c r="A73" s="2">
        <v>72</v>
      </c>
      <c r="B73" s="2" t="s">
        <v>62</v>
      </c>
      <c r="C73" s="2" t="s">
        <v>1555</v>
      </c>
      <c r="D73" s="2" t="s">
        <v>10</v>
      </c>
      <c r="E73" s="21">
        <v>1</v>
      </c>
      <c r="F73" s="2" t="s">
        <v>1117</v>
      </c>
      <c r="G73" s="2" t="s">
        <v>38</v>
      </c>
      <c r="H73" s="26">
        <v>44441</v>
      </c>
    </row>
    <row r="74" spans="1:8">
      <c r="A74" s="2">
        <v>73</v>
      </c>
      <c r="B74" s="2" t="s">
        <v>62</v>
      </c>
      <c r="C74" s="2" t="s">
        <v>1555</v>
      </c>
      <c r="D74" s="2" t="s">
        <v>10</v>
      </c>
      <c r="E74" s="21">
        <v>1</v>
      </c>
      <c r="F74" s="2" t="s">
        <v>1528</v>
      </c>
      <c r="G74" s="2" t="s">
        <v>38</v>
      </c>
      <c r="H74" s="26">
        <v>44441</v>
      </c>
    </row>
    <row r="75" spans="1:8">
      <c r="A75" s="2">
        <v>74</v>
      </c>
      <c r="B75" s="2" t="s">
        <v>62</v>
      </c>
      <c r="C75" s="2" t="s">
        <v>1555</v>
      </c>
      <c r="D75" s="2" t="s">
        <v>10</v>
      </c>
      <c r="E75" s="21">
        <v>1</v>
      </c>
      <c r="F75" s="2" t="s">
        <v>207</v>
      </c>
      <c r="G75" s="2" t="s">
        <v>38</v>
      </c>
      <c r="H75" s="26">
        <v>44441</v>
      </c>
    </row>
    <row r="76" spans="1:8">
      <c r="A76" s="2">
        <v>75</v>
      </c>
      <c r="B76" s="2" t="s">
        <v>62</v>
      </c>
      <c r="C76" s="2" t="s">
        <v>1555</v>
      </c>
      <c r="D76" s="2" t="s">
        <v>10</v>
      </c>
      <c r="E76" s="21">
        <v>1</v>
      </c>
      <c r="F76" s="2" t="s">
        <v>1529</v>
      </c>
      <c r="G76" s="2" t="s">
        <v>38</v>
      </c>
      <c r="H76" s="26">
        <v>44441</v>
      </c>
    </row>
    <row r="77" spans="1:8">
      <c r="A77" s="2">
        <v>76</v>
      </c>
      <c r="B77" s="2" t="s">
        <v>62</v>
      </c>
      <c r="C77" s="2" t="s">
        <v>1555</v>
      </c>
      <c r="D77" s="2" t="s">
        <v>10</v>
      </c>
      <c r="E77" s="21">
        <v>1</v>
      </c>
      <c r="F77" s="2" t="s">
        <v>1122</v>
      </c>
      <c r="G77" s="2" t="s">
        <v>38</v>
      </c>
      <c r="H77" s="26">
        <v>44441</v>
      </c>
    </row>
    <row r="78" spans="1:8">
      <c r="A78" s="2">
        <v>77</v>
      </c>
      <c r="B78" s="2" t="s">
        <v>62</v>
      </c>
      <c r="C78" s="2" t="s">
        <v>1555</v>
      </c>
      <c r="D78" s="2" t="s">
        <v>10</v>
      </c>
      <c r="E78" s="21">
        <v>1</v>
      </c>
      <c r="F78" s="2" t="s">
        <v>1530</v>
      </c>
      <c r="G78" s="2" t="s">
        <v>38</v>
      </c>
      <c r="H78" s="26">
        <v>44441</v>
      </c>
    </row>
    <row r="79" spans="1:8">
      <c r="A79" s="2">
        <v>78</v>
      </c>
      <c r="B79" s="2" t="s">
        <v>62</v>
      </c>
      <c r="C79" s="2" t="s">
        <v>1555</v>
      </c>
      <c r="D79" s="2" t="s">
        <v>10</v>
      </c>
      <c r="E79" s="21">
        <v>1</v>
      </c>
      <c r="F79" s="2" t="s">
        <v>1121</v>
      </c>
      <c r="G79" s="2" t="s">
        <v>38</v>
      </c>
      <c r="H79" s="26">
        <v>44441</v>
      </c>
    </row>
    <row r="80" spans="1:8">
      <c r="A80" s="2">
        <v>79</v>
      </c>
      <c r="B80" s="2" t="s">
        <v>62</v>
      </c>
      <c r="C80" s="2" t="s">
        <v>1555</v>
      </c>
      <c r="D80" s="2" t="s">
        <v>10</v>
      </c>
      <c r="E80" s="21">
        <v>1</v>
      </c>
      <c r="F80" s="2" t="s">
        <v>210</v>
      </c>
      <c r="G80" s="2" t="s">
        <v>38</v>
      </c>
      <c r="H80" s="26">
        <v>44441</v>
      </c>
    </row>
    <row r="81" spans="1:8">
      <c r="A81" s="2">
        <v>80</v>
      </c>
      <c r="B81" s="2" t="s">
        <v>62</v>
      </c>
      <c r="C81" s="2" t="s">
        <v>1555</v>
      </c>
      <c r="D81" s="2" t="s">
        <v>10</v>
      </c>
      <c r="E81" s="21">
        <v>1</v>
      </c>
      <c r="F81" s="2" t="s">
        <v>1531</v>
      </c>
      <c r="G81" s="2" t="s">
        <v>38</v>
      </c>
      <c r="H81" s="26">
        <v>44441</v>
      </c>
    </row>
    <row r="82" spans="1:8">
      <c r="A82" s="2">
        <v>81</v>
      </c>
      <c r="B82" s="2" t="s">
        <v>62</v>
      </c>
      <c r="C82" s="2" t="s">
        <v>1555</v>
      </c>
      <c r="D82" s="2" t="s">
        <v>10</v>
      </c>
      <c r="E82" s="21">
        <v>1</v>
      </c>
      <c r="F82" s="2" t="s">
        <v>1532</v>
      </c>
      <c r="G82" s="2" t="s">
        <v>38</v>
      </c>
      <c r="H82" s="26">
        <v>44441</v>
      </c>
    </row>
    <row r="83" spans="1:8">
      <c r="A83" s="2">
        <v>82</v>
      </c>
      <c r="B83" s="2" t="s">
        <v>62</v>
      </c>
      <c r="C83" s="2" t="s">
        <v>1555</v>
      </c>
      <c r="D83" s="2" t="s">
        <v>10</v>
      </c>
      <c r="E83" s="21">
        <v>1</v>
      </c>
      <c r="F83" s="2" t="s">
        <v>1533</v>
      </c>
      <c r="G83" s="2" t="s">
        <v>38</v>
      </c>
      <c r="H83" s="26">
        <v>44441</v>
      </c>
    </row>
    <row r="84" spans="1:8">
      <c r="A84" s="2">
        <v>83</v>
      </c>
      <c r="B84" s="2" t="s">
        <v>62</v>
      </c>
      <c r="C84" s="2" t="s">
        <v>1555</v>
      </c>
      <c r="D84" s="2" t="s">
        <v>10</v>
      </c>
      <c r="E84" s="21">
        <v>1</v>
      </c>
      <c r="F84" s="2" t="s">
        <v>1534</v>
      </c>
      <c r="G84" s="2" t="s">
        <v>38</v>
      </c>
      <c r="H84" s="26">
        <v>44441</v>
      </c>
    </row>
    <row r="85" spans="1:8">
      <c r="A85" s="2">
        <v>84</v>
      </c>
      <c r="B85" s="2" t="s">
        <v>62</v>
      </c>
      <c r="C85" s="2" t="s">
        <v>1555</v>
      </c>
      <c r="D85" s="2" t="s">
        <v>10</v>
      </c>
      <c r="E85" s="21">
        <v>1</v>
      </c>
      <c r="F85" s="2" t="s">
        <v>1535</v>
      </c>
      <c r="G85" s="2" t="s">
        <v>38</v>
      </c>
      <c r="H85" s="26">
        <v>44441</v>
      </c>
    </row>
    <row r="86" spans="1:8">
      <c r="A86" s="2">
        <v>85</v>
      </c>
      <c r="B86" s="2" t="s">
        <v>62</v>
      </c>
      <c r="C86" s="2" t="s">
        <v>1555</v>
      </c>
      <c r="D86" s="2" t="s">
        <v>10</v>
      </c>
      <c r="E86" s="21">
        <v>1</v>
      </c>
      <c r="F86" s="2" t="s">
        <v>1536</v>
      </c>
      <c r="G86" s="2" t="s">
        <v>38</v>
      </c>
      <c r="H86" s="26">
        <v>44441</v>
      </c>
    </row>
    <row r="87" spans="1:8">
      <c r="A87" s="2">
        <v>86</v>
      </c>
      <c r="B87" s="2" t="s">
        <v>62</v>
      </c>
      <c r="C87" s="2" t="s">
        <v>1555</v>
      </c>
      <c r="D87" s="2" t="s">
        <v>10</v>
      </c>
      <c r="E87" s="21">
        <v>1</v>
      </c>
      <c r="F87" s="2" t="s">
        <v>119</v>
      </c>
      <c r="G87" s="2" t="s">
        <v>38</v>
      </c>
      <c r="H87" s="26">
        <v>44441</v>
      </c>
    </row>
    <row r="88" spans="1:8">
      <c r="A88" s="2">
        <v>87</v>
      </c>
      <c r="B88" s="2" t="s">
        <v>62</v>
      </c>
      <c r="C88" s="2" t="s">
        <v>1555</v>
      </c>
      <c r="D88" s="2" t="s">
        <v>10</v>
      </c>
      <c r="E88" s="21">
        <v>1</v>
      </c>
      <c r="F88" s="2" t="s">
        <v>1537</v>
      </c>
      <c r="G88" s="2" t="s">
        <v>38</v>
      </c>
      <c r="H88" s="26">
        <v>44441</v>
      </c>
    </row>
    <row r="89" spans="1:8">
      <c r="A89" s="2">
        <v>88</v>
      </c>
      <c r="B89" s="2" t="s">
        <v>62</v>
      </c>
      <c r="C89" s="2" t="s">
        <v>1555</v>
      </c>
      <c r="D89" s="2" t="s">
        <v>10</v>
      </c>
      <c r="E89" s="21">
        <v>1</v>
      </c>
      <c r="F89" s="2" t="s">
        <v>1538</v>
      </c>
      <c r="G89" s="2" t="s">
        <v>38</v>
      </c>
      <c r="H89" s="26">
        <v>44441</v>
      </c>
    </row>
    <row r="90" spans="1:8">
      <c r="A90" s="2">
        <v>89</v>
      </c>
      <c r="B90" s="2" t="s">
        <v>62</v>
      </c>
      <c r="C90" s="2" t="s">
        <v>1555</v>
      </c>
      <c r="D90" s="2" t="s">
        <v>10</v>
      </c>
      <c r="E90" s="21">
        <v>1</v>
      </c>
      <c r="F90" s="2" t="s">
        <v>1539</v>
      </c>
      <c r="G90" s="2" t="s">
        <v>38</v>
      </c>
      <c r="H90" s="26">
        <v>44441</v>
      </c>
    </row>
    <row r="91" spans="1:8">
      <c r="A91" s="2">
        <v>90</v>
      </c>
      <c r="B91" s="2" t="s">
        <v>62</v>
      </c>
      <c r="C91" s="2" t="s">
        <v>1555</v>
      </c>
      <c r="D91" s="2" t="s">
        <v>10</v>
      </c>
      <c r="E91" s="21">
        <v>1</v>
      </c>
      <c r="F91" s="2" t="s">
        <v>118</v>
      </c>
      <c r="G91" s="2" t="s">
        <v>38</v>
      </c>
      <c r="H91" s="26">
        <v>44441</v>
      </c>
    </row>
    <row r="92" spans="1:8">
      <c r="A92" s="2">
        <v>91</v>
      </c>
      <c r="B92" s="2" t="s">
        <v>62</v>
      </c>
      <c r="C92" s="2" t="s">
        <v>1555</v>
      </c>
      <c r="D92" s="2" t="s">
        <v>10</v>
      </c>
      <c r="E92" s="21">
        <v>1</v>
      </c>
      <c r="F92" s="2" t="s">
        <v>1540</v>
      </c>
      <c r="G92" s="2" t="s">
        <v>37</v>
      </c>
      <c r="H92" s="26">
        <v>44441</v>
      </c>
    </row>
    <row r="93" spans="1:8">
      <c r="A93" s="2">
        <v>92</v>
      </c>
      <c r="B93" s="2" t="s">
        <v>62</v>
      </c>
      <c r="C93" s="2" t="s">
        <v>1555</v>
      </c>
      <c r="D93" s="2" t="s">
        <v>10</v>
      </c>
      <c r="E93" s="21">
        <v>1</v>
      </c>
      <c r="F93" s="2" t="s">
        <v>1170</v>
      </c>
      <c r="G93" s="2" t="s">
        <v>37</v>
      </c>
      <c r="H93" s="26">
        <v>44441</v>
      </c>
    </row>
    <row r="94" spans="1:8">
      <c r="A94" s="2">
        <v>93</v>
      </c>
      <c r="B94" s="2" t="s">
        <v>62</v>
      </c>
      <c r="C94" s="2" t="s">
        <v>1555</v>
      </c>
      <c r="D94" s="2" t="s">
        <v>10</v>
      </c>
      <c r="E94" s="21">
        <v>1</v>
      </c>
      <c r="F94" s="2" t="s">
        <v>1541</v>
      </c>
      <c r="G94" s="2" t="s">
        <v>38</v>
      </c>
      <c r="H94" s="26">
        <v>44441</v>
      </c>
    </row>
    <row r="95" spans="1:8">
      <c r="A95" s="2">
        <v>94</v>
      </c>
      <c r="B95" s="2" t="s">
        <v>62</v>
      </c>
      <c r="C95" s="2" t="s">
        <v>1555</v>
      </c>
      <c r="D95" s="2" t="s">
        <v>10</v>
      </c>
      <c r="E95" s="21">
        <v>1</v>
      </c>
      <c r="F95" s="2" t="s">
        <v>1542</v>
      </c>
      <c r="G95" s="2" t="s">
        <v>38</v>
      </c>
      <c r="H95" s="26">
        <v>44441</v>
      </c>
    </row>
    <row r="96" spans="1:8">
      <c r="A96" s="2">
        <v>95</v>
      </c>
      <c r="B96" s="2" t="s">
        <v>62</v>
      </c>
      <c r="C96" s="2" t="s">
        <v>1555</v>
      </c>
      <c r="D96" s="2" t="s">
        <v>10</v>
      </c>
      <c r="E96" s="21">
        <v>1</v>
      </c>
      <c r="F96" s="2" t="s">
        <v>1543</v>
      </c>
      <c r="G96" s="2" t="s">
        <v>38</v>
      </c>
      <c r="H96" s="26">
        <v>44441</v>
      </c>
    </row>
    <row r="97" spans="1:8">
      <c r="A97" s="2">
        <v>96</v>
      </c>
      <c r="B97" s="2" t="s">
        <v>62</v>
      </c>
      <c r="C97" s="2" t="s">
        <v>1555</v>
      </c>
      <c r="D97" s="2" t="s">
        <v>10</v>
      </c>
      <c r="E97" s="21">
        <v>1</v>
      </c>
      <c r="F97" s="2" t="s">
        <v>1544</v>
      </c>
      <c r="G97" s="2" t="s">
        <v>38</v>
      </c>
      <c r="H97" s="26">
        <v>44441</v>
      </c>
    </row>
    <row r="98" spans="1:8">
      <c r="A98" s="2">
        <v>97</v>
      </c>
      <c r="B98" s="2" t="s">
        <v>62</v>
      </c>
      <c r="C98" s="2" t="s">
        <v>1555</v>
      </c>
      <c r="D98" s="2" t="s">
        <v>10</v>
      </c>
      <c r="E98" s="21">
        <v>1</v>
      </c>
      <c r="F98" s="2" t="s">
        <v>1545</v>
      </c>
      <c r="G98" s="2" t="s">
        <v>38</v>
      </c>
      <c r="H98" s="26">
        <v>44441</v>
      </c>
    </row>
    <row r="99" spans="1:8">
      <c r="A99" s="2">
        <v>98</v>
      </c>
      <c r="B99" s="2" t="s">
        <v>62</v>
      </c>
      <c r="C99" s="2" t="s">
        <v>1555</v>
      </c>
      <c r="D99" s="2" t="s">
        <v>10</v>
      </c>
      <c r="E99" s="21">
        <v>1</v>
      </c>
      <c r="F99" s="2" t="s">
        <v>1546</v>
      </c>
      <c r="G99" s="2" t="s">
        <v>38</v>
      </c>
      <c r="H99" s="26">
        <v>44441</v>
      </c>
    </row>
    <row r="100" spans="1:8">
      <c r="A100" s="2">
        <v>99</v>
      </c>
      <c r="B100" s="2" t="s">
        <v>62</v>
      </c>
      <c r="C100" s="2" t="s">
        <v>1555</v>
      </c>
      <c r="D100" s="2" t="s">
        <v>10</v>
      </c>
      <c r="E100" s="21">
        <v>1</v>
      </c>
      <c r="F100" s="2" t="s">
        <v>1547</v>
      </c>
      <c r="G100" s="2" t="s">
        <v>38</v>
      </c>
      <c r="H100" s="26">
        <v>44441</v>
      </c>
    </row>
    <row r="101" spans="1:8">
      <c r="A101" s="2">
        <v>100</v>
      </c>
      <c r="B101" s="2" t="s">
        <v>62</v>
      </c>
      <c r="C101" s="2" t="s">
        <v>1555</v>
      </c>
      <c r="D101" s="2" t="s">
        <v>10</v>
      </c>
      <c r="E101" s="21">
        <v>1</v>
      </c>
      <c r="F101" s="2" t="s">
        <v>1548</v>
      </c>
      <c r="G101" s="2" t="s">
        <v>38</v>
      </c>
      <c r="H101" s="26">
        <v>44441</v>
      </c>
    </row>
    <row r="102" spans="1:8">
      <c r="A102" s="2">
        <v>101</v>
      </c>
      <c r="B102" s="2" t="s">
        <v>62</v>
      </c>
      <c r="C102" s="2" t="s">
        <v>1555</v>
      </c>
      <c r="D102" s="2" t="s">
        <v>10</v>
      </c>
      <c r="E102" s="21">
        <v>1</v>
      </c>
      <c r="F102" s="2" t="s">
        <v>1549</v>
      </c>
      <c r="G102" s="2" t="s">
        <v>38</v>
      </c>
      <c r="H102" s="26">
        <v>44441</v>
      </c>
    </row>
    <row r="103" spans="1:8">
      <c r="A103" s="2">
        <v>102</v>
      </c>
      <c r="B103" s="2" t="s">
        <v>62</v>
      </c>
      <c r="C103" s="2" t="s">
        <v>1555</v>
      </c>
      <c r="D103" s="2" t="s">
        <v>10</v>
      </c>
      <c r="E103" s="21">
        <v>1</v>
      </c>
      <c r="F103" s="2" t="s">
        <v>1550</v>
      </c>
      <c r="G103" s="2" t="s">
        <v>38</v>
      </c>
      <c r="H103" s="26">
        <v>44441</v>
      </c>
    </row>
    <row r="104" spans="1:8">
      <c r="A104" s="2">
        <v>103</v>
      </c>
      <c r="B104" s="2" t="s">
        <v>62</v>
      </c>
      <c r="C104" s="2" t="s">
        <v>1555</v>
      </c>
      <c r="D104" s="2" t="s">
        <v>10</v>
      </c>
      <c r="E104" s="21">
        <v>1</v>
      </c>
      <c r="F104" s="2" t="s">
        <v>1551</v>
      </c>
      <c r="G104" s="2" t="s">
        <v>38</v>
      </c>
      <c r="H104" s="26">
        <v>44441</v>
      </c>
    </row>
    <row r="105" spans="1:8">
      <c r="A105" s="2">
        <v>104</v>
      </c>
      <c r="B105" s="2" t="s">
        <v>62</v>
      </c>
      <c r="C105" s="2" t="s">
        <v>1555</v>
      </c>
      <c r="D105" s="2" t="s">
        <v>10</v>
      </c>
      <c r="E105" s="21">
        <v>1</v>
      </c>
      <c r="F105" s="2" t="s">
        <v>1443</v>
      </c>
      <c r="G105" s="2" t="s">
        <v>37</v>
      </c>
      <c r="H105" s="26">
        <v>44441</v>
      </c>
    </row>
    <row r="106" spans="1:8">
      <c r="A106" s="2">
        <v>105</v>
      </c>
      <c r="B106" s="2" t="s">
        <v>62</v>
      </c>
      <c r="C106" s="2" t="s">
        <v>1555</v>
      </c>
      <c r="D106" s="2" t="s">
        <v>10</v>
      </c>
      <c r="E106" s="21">
        <v>1</v>
      </c>
      <c r="F106" s="2" t="s">
        <v>1444</v>
      </c>
      <c r="G106" s="2" t="s">
        <v>37</v>
      </c>
      <c r="H106" s="26">
        <v>44441</v>
      </c>
    </row>
    <row r="107" spans="1:8">
      <c r="A107" s="2">
        <v>106</v>
      </c>
      <c r="B107" s="2" t="s">
        <v>62</v>
      </c>
      <c r="C107" s="2" t="s">
        <v>1555</v>
      </c>
      <c r="D107" s="2" t="s">
        <v>10</v>
      </c>
      <c r="E107" s="21">
        <v>1</v>
      </c>
      <c r="F107" s="2" t="s">
        <v>202</v>
      </c>
      <c r="G107" s="2" t="s">
        <v>38</v>
      </c>
      <c r="H107" s="26">
        <v>44441</v>
      </c>
    </row>
    <row r="108" spans="1:8">
      <c r="A108" s="2">
        <v>107</v>
      </c>
      <c r="B108" s="2" t="s">
        <v>62</v>
      </c>
      <c r="C108" s="2" t="s">
        <v>1555</v>
      </c>
      <c r="D108" s="2" t="s">
        <v>10</v>
      </c>
      <c r="E108" s="21">
        <v>1</v>
      </c>
      <c r="F108" s="2" t="s">
        <v>1552</v>
      </c>
      <c r="G108" s="2" t="s">
        <v>38</v>
      </c>
      <c r="H108" s="26">
        <v>44441</v>
      </c>
    </row>
    <row r="109" spans="1:8">
      <c r="A109" s="2">
        <v>108</v>
      </c>
      <c r="B109" s="2" t="s">
        <v>62</v>
      </c>
      <c r="C109" s="2" t="s">
        <v>1555</v>
      </c>
      <c r="D109" s="2" t="s">
        <v>10</v>
      </c>
      <c r="E109" s="21">
        <v>1</v>
      </c>
      <c r="F109" s="2" t="s">
        <v>109</v>
      </c>
      <c r="G109" s="2" t="s">
        <v>38</v>
      </c>
      <c r="H109" s="26">
        <v>44441</v>
      </c>
    </row>
    <row r="110" spans="1:8">
      <c r="A110" s="2">
        <v>109</v>
      </c>
      <c r="B110" s="2" t="s">
        <v>62</v>
      </c>
      <c r="C110" s="2" t="s">
        <v>1555</v>
      </c>
      <c r="D110" s="2" t="s">
        <v>10</v>
      </c>
      <c r="E110" s="21">
        <v>1</v>
      </c>
      <c r="F110" s="2" t="s">
        <v>110</v>
      </c>
      <c r="G110" s="2" t="s">
        <v>37</v>
      </c>
      <c r="H110" s="26">
        <v>44441</v>
      </c>
    </row>
    <row r="111" spans="1:8">
      <c r="A111" s="2">
        <v>110</v>
      </c>
      <c r="B111" s="2" t="s">
        <v>62</v>
      </c>
      <c r="C111" s="2" t="s">
        <v>1555</v>
      </c>
      <c r="D111" s="2" t="s">
        <v>10</v>
      </c>
      <c r="E111" s="21">
        <v>1</v>
      </c>
      <c r="F111" s="2" t="s">
        <v>117</v>
      </c>
      <c r="G111" s="2" t="s">
        <v>37</v>
      </c>
      <c r="H111" s="26">
        <v>44441</v>
      </c>
    </row>
    <row r="112" spans="1:8">
      <c r="A112" s="2">
        <v>111</v>
      </c>
      <c r="B112" s="2" t="s">
        <v>62</v>
      </c>
      <c r="C112" s="2" t="s">
        <v>1555</v>
      </c>
      <c r="D112" s="2" t="s">
        <v>10</v>
      </c>
      <c r="E112" s="21">
        <v>1</v>
      </c>
      <c r="F112" s="2" t="s">
        <v>106</v>
      </c>
      <c r="G112" s="2" t="s">
        <v>38</v>
      </c>
      <c r="H112" s="26">
        <v>44441</v>
      </c>
    </row>
    <row r="113" spans="1:8">
      <c r="A113" s="2">
        <v>112</v>
      </c>
      <c r="B113" s="2" t="s">
        <v>62</v>
      </c>
      <c r="C113" s="2" t="s">
        <v>1555</v>
      </c>
      <c r="D113" s="2" t="s">
        <v>10</v>
      </c>
      <c r="E113" s="21">
        <v>1</v>
      </c>
      <c r="F113" s="2" t="s">
        <v>1553</v>
      </c>
      <c r="G113" s="2" t="s">
        <v>38</v>
      </c>
      <c r="H113" s="26">
        <v>44441</v>
      </c>
    </row>
    <row r="114" spans="1:8">
      <c r="A114" s="2">
        <v>113</v>
      </c>
      <c r="B114" s="2" t="s">
        <v>62</v>
      </c>
      <c r="C114" s="2" t="s">
        <v>1555</v>
      </c>
      <c r="D114" s="2" t="s">
        <v>10</v>
      </c>
      <c r="E114" s="21">
        <v>1</v>
      </c>
      <c r="F114" s="2" t="s">
        <v>123</v>
      </c>
      <c r="G114" s="2" t="s">
        <v>37</v>
      </c>
      <c r="H114" s="26">
        <v>44441</v>
      </c>
    </row>
    <row r="115" spans="1:8">
      <c r="A115" s="2">
        <v>114</v>
      </c>
      <c r="B115" s="2" t="s">
        <v>62</v>
      </c>
      <c r="C115" s="2" t="s">
        <v>1555</v>
      </c>
      <c r="D115" s="2" t="s">
        <v>10</v>
      </c>
      <c r="E115" s="21">
        <v>1</v>
      </c>
      <c r="F115" s="2" t="s">
        <v>122</v>
      </c>
      <c r="G115" s="2" t="s">
        <v>37</v>
      </c>
      <c r="H115" s="26">
        <v>44441</v>
      </c>
    </row>
    <row r="116" spans="1:8">
      <c r="A116" s="2">
        <v>115</v>
      </c>
      <c r="B116" s="2" t="s">
        <v>62</v>
      </c>
      <c r="C116" s="2" t="s">
        <v>1555</v>
      </c>
      <c r="D116" s="2" t="s">
        <v>10</v>
      </c>
      <c r="E116" s="21">
        <v>1</v>
      </c>
      <c r="F116" s="2" t="s">
        <v>1378</v>
      </c>
      <c r="G116" s="2" t="s">
        <v>37</v>
      </c>
      <c r="H116" s="26">
        <v>44441</v>
      </c>
    </row>
    <row r="117" spans="1:8">
      <c r="A117" s="2">
        <v>116</v>
      </c>
      <c r="B117" s="2" t="s">
        <v>62</v>
      </c>
      <c r="C117" s="2" t="s">
        <v>1555</v>
      </c>
      <c r="D117" s="2" t="s">
        <v>10</v>
      </c>
      <c r="E117" s="21">
        <v>1</v>
      </c>
      <c r="F117" s="2" t="s">
        <v>132</v>
      </c>
      <c r="G117" s="2" t="s">
        <v>38</v>
      </c>
      <c r="H117" s="26">
        <v>44441</v>
      </c>
    </row>
    <row r="118" spans="1:8">
      <c r="A118" s="2">
        <v>117</v>
      </c>
      <c r="B118" s="2" t="s">
        <v>62</v>
      </c>
      <c r="C118" s="2" t="s">
        <v>1555</v>
      </c>
      <c r="D118" s="2" t="s">
        <v>10</v>
      </c>
      <c r="E118" s="21">
        <v>1</v>
      </c>
      <c r="F118" s="2" t="s">
        <v>131</v>
      </c>
      <c r="G118" s="2" t="s">
        <v>38</v>
      </c>
      <c r="H118" s="26">
        <v>44441</v>
      </c>
    </row>
    <row r="119" spans="1:8">
      <c r="A119" s="2">
        <v>118</v>
      </c>
      <c r="B119" s="2" t="s">
        <v>62</v>
      </c>
      <c r="C119" s="2" t="s">
        <v>1555</v>
      </c>
      <c r="D119" s="2" t="s">
        <v>10</v>
      </c>
      <c r="E119" s="21">
        <v>1</v>
      </c>
      <c r="F119" s="2" t="s">
        <v>134</v>
      </c>
      <c r="G119" s="2" t="s">
        <v>38</v>
      </c>
      <c r="H119" s="26">
        <v>44441</v>
      </c>
    </row>
    <row r="120" spans="1:8">
      <c r="A120" s="2">
        <v>119</v>
      </c>
      <c r="B120" s="2" t="s">
        <v>62</v>
      </c>
      <c r="C120" s="2" t="s">
        <v>1555</v>
      </c>
      <c r="D120" s="2" t="s">
        <v>10</v>
      </c>
      <c r="E120" s="21">
        <v>1</v>
      </c>
      <c r="F120" s="2" t="s">
        <v>133</v>
      </c>
      <c r="G120" s="2" t="s">
        <v>38</v>
      </c>
      <c r="H120" s="26">
        <v>44441</v>
      </c>
    </row>
    <row r="121" spans="1:8">
      <c r="A121" s="2">
        <v>120</v>
      </c>
      <c r="B121" s="2" t="s">
        <v>62</v>
      </c>
      <c r="C121" s="2" t="s">
        <v>1555</v>
      </c>
      <c r="D121" s="2" t="s">
        <v>10</v>
      </c>
      <c r="E121" s="21">
        <v>1</v>
      </c>
      <c r="F121" s="2" t="s">
        <v>107</v>
      </c>
      <c r="G121" s="2" t="s">
        <v>38</v>
      </c>
      <c r="H121" s="26">
        <v>44441</v>
      </c>
    </row>
    <row r="122" spans="1:8">
      <c r="A122" s="2">
        <v>121</v>
      </c>
      <c r="B122" s="2" t="s">
        <v>62</v>
      </c>
      <c r="C122" s="2" t="s">
        <v>1555</v>
      </c>
      <c r="D122" s="2" t="s">
        <v>10</v>
      </c>
      <c r="E122" s="21">
        <v>1</v>
      </c>
      <c r="F122" s="2" t="s">
        <v>108</v>
      </c>
      <c r="G122" s="2" t="s">
        <v>38</v>
      </c>
      <c r="H122" s="26">
        <v>44441</v>
      </c>
    </row>
    <row r="123" spans="1:8">
      <c r="A123" s="2">
        <v>122</v>
      </c>
      <c r="B123" s="2" t="s">
        <v>62</v>
      </c>
      <c r="C123" s="2" t="s">
        <v>1555</v>
      </c>
      <c r="D123" s="2" t="s">
        <v>10</v>
      </c>
      <c r="E123" s="21">
        <v>1</v>
      </c>
      <c r="F123" s="2" t="s">
        <v>1554</v>
      </c>
      <c r="G123" s="2" t="s">
        <v>38</v>
      </c>
      <c r="H123" s="26">
        <v>44441</v>
      </c>
    </row>
    <row r="124" spans="1:8">
      <c r="A124" s="2">
        <v>123</v>
      </c>
      <c r="B124" s="2" t="s">
        <v>62</v>
      </c>
      <c r="C124" s="2" t="s">
        <v>1555</v>
      </c>
      <c r="D124" s="2" t="s">
        <v>10</v>
      </c>
      <c r="E124" s="21">
        <v>1</v>
      </c>
      <c r="F124" s="1" t="s">
        <v>459</v>
      </c>
      <c r="G124" s="2" t="s">
        <v>199</v>
      </c>
      <c r="H124" s="26">
        <v>44485</v>
      </c>
    </row>
    <row r="125" spans="1:8">
      <c r="A125" s="2">
        <v>124</v>
      </c>
      <c r="B125" s="2" t="s">
        <v>62</v>
      </c>
      <c r="C125" s="2" t="s">
        <v>1555</v>
      </c>
      <c r="D125" s="2" t="s">
        <v>10</v>
      </c>
      <c r="E125" s="21">
        <v>1</v>
      </c>
      <c r="F125" s="2" t="s">
        <v>457</v>
      </c>
      <c r="G125" s="2" t="s">
        <v>36</v>
      </c>
      <c r="H125" s="26">
        <v>44486</v>
      </c>
    </row>
    <row r="126" spans="1:8">
      <c r="A126" s="2">
        <v>125</v>
      </c>
      <c r="B126" s="2" t="s">
        <v>62</v>
      </c>
      <c r="C126" s="2" t="s">
        <v>1555</v>
      </c>
      <c r="D126" s="2" t="s">
        <v>10</v>
      </c>
      <c r="E126" s="21">
        <v>1</v>
      </c>
      <c r="F126" s="2" t="s">
        <v>467</v>
      </c>
      <c r="G126" s="2" t="s">
        <v>36</v>
      </c>
      <c r="H126" s="26">
        <v>44486</v>
      </c>
    </row>
    <row r="127" spans="1:8">
      <c r="A127" s="2">
        <v>126</v>
      </c>
      <c r="B127" s="2" t="s">
        <v>62</v>
      </c>
      <c r="C127" s="2" t="s">
        <v>1555</v>
      </c>
      <c r="D127" s="2" t="s">
        <v>54</v>
      </c>
      <c r="E127" s="21">
        <v>1</v>
      </c>
      <c r="F127" s="2" t="s">
        <v>1572</v>
      </c>
      <c r="G127" s="2" t="s">
        <v>1573</v>
      </c>
      <c r="H127" s="26">
        <v>44487</v>
      </c>
    </row>
    <row r="128" spans="1:8">
      <c r="A128" s="2">
        <v>127</v>
      </c>
      <c r="B128" s="2" t="s">
        <v>62</v>
      </c>
      <c r="C128" s="2" t="s">
        <v>1555</v>
      </c>
      <c r="D128" s="2" t="s">
        <v>54</v>
      </c>
      <c r="E128" s="21">
        <v>1</v>
      </c>
      <c r="F128" s="2" t="s">
        <v>1623</v>
      </c>
      <c r="G128" s="2" t="s">
        <v>1624</v>
      </c>
      <c r="H128" s="26">
        <v>44492</v>
      </c>
    </row>
    <row r="129" spans="1:8">
      <c r="A129" s="2">
        <v>128</v>
      </c>
      <c r="B129" s="2" t="s">
        <v>62</v>
      </c>
      <c r="C129" s="2" t="s">
        <v>54</v>
      </c>
      <c r="D129" s="2" t="s">
        <v>49</v>
      </c>
      <c r="E129" s="21">
        <v>1</v>
      </c>
      <c r="F129" s="2" t="s">
        <v>1649</v>
      </c>
      <c r="G129" s="2" t="s">
        <v>1650</v>
      </c>
      <c r="H129" s="26">
        <v>44518</v>
      </c>
    </row>
    <row r="130" spans="1:8">
      <c r="A130" s="2">
        <v>129</v>
      </c>
      <c r="B130" s="2" t="s">
        <v>62</v>
      </c>
      <c r="C130" s="2" t="s">
        <v>54</v>
      </c>
      <c r="D130" s="2" t="s">
        <v>49</v>
      </c>
      <c r="E130" s="21">
        <v>1</v>
      </c>
      <c r="F130" s="2" t="s">
        <v>1651</v>
      </c>
      <c r="G130" s="2" t="s">
        <v>1650</v>
      </c>
      <c r="H130" s="26">
        <v>44518</v>
      </c>
    </row>
    <row r="131" spans="1:8">
      <c r="A131" s="2">
        <v>130</v>
      </c>
      <c r="B131" s="2" t="s">
        <v>62</v>
      </c>
      <c r="C131" s="2" t="s">
        <v>1555</v>
      </c>
      <c r="D131" s="2" t="s">
        <v>10</v>
      </c>
      <c r="E131" s="21">
        <v>1</v>
      </c>
      <c r="F131" s="2" t="s">
        <v>1623</v>
      </c>
      <c r="G131" s="2" t="s">
        <v>1652</v>
      </c>
      <c r="H131" s="26">
        <v>44518</v>
      </c>
    </row>
    <row r="132" spans="1:8">
      <c r="A132" s="2">
        <v>131</v>
      </c>
      <c r="B132" s="2" t="s">
        <v>65</v>
      </c>
      <c r="C132" s="2" t="s">
        <v>9</v>
      </c>
      <c r="D132" s="2" t="s">
        <v>10</v>
      </c>
      <c r="E132" s="21">
        <v>20</v>
      </c>
      <c r="F132" s="2"/>
      <c r="G132" s="2" t="s">
        <v>1653</v>
      </c>
      <c r="H132" s="26">
        <v>44518</v>
      </c>
    </row>
    <row r="133" spans="1:8">
      <c r="A133" s="2">
        <v>132</v>
      </c>
      <c r="B133" s="2" t="s">
        <v>62</v>
      </c>
      <c r="C133" s="2" t="s">
        <v>1555</v>
      </c>
      <c r="D133" s="2" t="s">
        <v>10</v>
      </c>
      <c r="E133" s="21">
        <v>1</v>
      </c>
      <c r="F133" s="2" t="s">
        <v>1655</v>
      </c>
      <c r="G133" s="2" t="s">
        <v>199</v>
      </c>
      <c r="H133" s="26">
        <v>44533</v>
      </c>
    </row>
    <row r="134" spans="1:8">
      <c r="A134" s="2">
        <v>133</v>
      </c>
      <c r="B134" s="2" t="s">
        <v>62</v>
      </c>
      <c r="C134" s="2" t="s">
        <v>1555</v>
      </c>
      <c r="D134" s="2" t="s">
        <v>10</v>
      </c>
      <c r="E134" s="21">
        <v>1</v>
      </c>
      <c r="F134" s="2" t="s">
        <v>1656</v>
      </c>
      <c r="G134" s="2" t="s">
        <v>199</v>
      </c>
      <c r="H134" s="26">
        <v>44533</v>
      </c>
    </row>
    <row r="135" spans="1:8">
      <c r="A135" s="2">
        <v>134</v>
      </c>
      <c r="B135" s="2" t="s">
        <v>62</v>
      </c>
      <c r="C135" s="2" t="s">
        <v>1555</v>
      </c>
      <c r="D135" s="2" t="s">
        <v>10</v>
      </c>
      <c r="E135" s="21">
        <v>1</v>
      </c>
      <c r="F135" s="2" t="s">
        <v>1657</v>
      </c>
      <c r="G135" s="2" t="s">
        <v>199</v>
      </c>
      <c r="H135" s="26">
        <v>44536</v>
      </c>
    </row>
    <row r="136" spans="1:8">
      <c r="A136" s="2"/>
      <c r="B136" s="2"/>
      <c r="C136" s="2"/>
      <c r="D136" s="2"/>
      <c r="E136" s="21"/>
      <c r="F136" s="2"/>
      <c r="G136" s="2"/>
      <c r="H136" s="26"/>
    </row>
    <row r="137" spans="1:8">
      <c r="A137" s="2"/>
      <c r="B137" s="2"/>
      <c r="C137" s="2"/>
      <c r="D137" s="2"/>
      <c r="E137" s="21"/>
      <c r="F137" s="2"/>
      <c r="G137" s="2"/>
      <c r="H137" s="26"/>
    </row>
    <row r="138" spans="1:8">
      <c r="A138" s="2"/>
      <c r="B138" s="2"/>
      <c r="C138" s="2"/>
      <c r="D138" s="2"/>
      <c r="E138" s="21"/>
      <c r="F138" s="2"/>
      <c r="G138" s="2"/>
      <c r="H138" s="26"/>
    </row>
    <row r="139" spans="1:8">
      <c r="A139" s="2"/>
      <c r="B139" s="2"/>
      <c r="C139" s="2"/>
      <c r="D139" s="2"/>
      <c r="E139" s="21"/>
      <c r="F139" s="2"/>
      <c r="G139" s="2"/>
      <c r="H139" s="26"/>
    </row>
    <row r="140" spans="1:8">
      <c r="A140" s="2"/>
      <c r="B140" s="2"/>
      <c r="C140" s="2"/>
      <c r="D140" s="2"/>
      <c r="E140" s="21"/>
      <c r="F140" s="2"/>
      <c r="G140" s="2"/>
      <c r="H140" s="26"/>
    </row>
    <row r="141" spans="1:8">
      <c r="A141" s="2"/>
      <c r="B141" s="2"/>
      <c r="C141" s="2"/>
      <c r="D141" s="2"/>
      <c r="E141" s="21"/>
      <c r="F141" s="2"/>
      <c r="G141" s="2"/>
      <c r="H141" s="26"/>
    </row>
    <row r="142" spans="1:8">
      <c r="A142" s="2"/>
      <c r="B142" s="2"/>
      <c r="C142" s="2"/>
      <c r="D142" s="2"/>
      <c r="E142" s="21"/>
      <c r="F142" s="2"/>
      <c r="G142" s="2"/>
      <c r="H142" s="26"/>
    </row>
    <row r="143" spans="1:8">
      <c r="A143" s="2"/>
      <c r="B143" s="2"/>
      <c r="C143" s="2"/>
      <c r="D143" s="2"/>
      <c r="E143" s="21"/>
      <c r="F143" s="2"/>
      <c r="G143" s="2"/>
      <c r="H143" s="26"/>
    </row>
    <row r="144" spans="1:8">
      <c r="A144" s="2"/>
      <c r="B144" s="2"/>
      <c r="C144" s="2"/>
      <c r="D144" s="2"/>
      <c r="E144" s="21"/>
      <c r="F144" s="2"/>
      <c r="G144" s="2"/>
      <c r="H144" s="26"/>
    </row>
    <row r="145" spans="1:8">
      <c r="A145" s="2"/>
      <c r="B145" s="2"/>
      <c r="C145" s="2"/>
      <c r="D145" s="2"/>
      <c r="E145" s="21"/>
      <c r="F145" s="2"/>
      <c r="G145" s="2"/>
      <c r="H145" s="26"/>
    </row>
    <row r="146" spans="1:8">
      <c r="A146" s="2"/>
      <c r="B146" s="2"/>
      <c r="C146" s="2"/>
      <c r="D146" s="2"/>
      <c r="E146" s="21"/>
      <c r="F146" s="2"/>
      <c r="G146" s="2"/>
      <c r="H146" s="26"/>
    </row>
    <row r="147" spans="1:8">
      <c r="A147" s="2"/>
      <c r="B147" s="2"/>
      <c r="C147" s="2"/>
      <c r="D147" s="2"/>
      <c r="E147" s="21"/>
      <c r="F147" s="2"/>
      <c r="G147" s="2"/>
      <c r="H147" s="26"/>
    </row>
    <row r="148" spans="1:8">
      <c r="A148" s="2"/>
      <c r="B148" s="2"/>
      <c r="C148" s="2"/>
      <c r="D148" s="2"/>
      <c r="E148" s="21"/>
      <c r="F148" s="2"/>
      <c r="G148" s="2"/>
      <c r="H148" s="26"/>
    </row>
    <row r="149" spans="1:8">
      <c r="A149" s="2"/>
      <c r="B149" s="2"/>
      <c r="C149" s="2"/>
      <c r="D149" s="2"/>
      <c r="E149" s="21"/>
      <c r="F149" s="2"/>
      <c r="G149" s="2"/>
      <c r="H149" s="26"/>
    </row>
    <row r="150" spans="1:8">
      <c r="A150" s="2"/>
      <c r="B150" s="2"/>
      <c r="C150" s="2"/>
      <c r="D150" s="2"/>
      <c r="E150" s="21"/>
      <c r="F150" s="2"/>
      <c r="G150" s="2"/>
      <c r="H150" s="26"/>
    </row>
    <row r="151" spans="1:8">
      <c r="A151" s="2"/>
      <c r="B151" s="2"/>
      <c r="C151" s="2"/>
      <c r="D151" s="2"/>
      <c r="E151" s="21"/>
      <c r="F151" s="2"/>
      <c r="G151" s="2"/>
      <c r="H151" s="26"/>
    </row>
    <row r="152" spans="1:8">
      <c r="A152" s="2"/>
      <c r="B152" s="2"/>
      <c r="C152" s="2"/>
      <c r="D152" s="2"/>
      <c r="E152" s="21"/>
      <c r="F152" s="2"/>
      <c r="G152" s="2"/>
      <c r="H152" s="26"/>
    </row>
    <row r="153" spans="1:8">
      <c r="A153" s="2"/>
      <c r="B153" s="2"/>
      <c r="C153" s="2"/>
      <c r="D153" s="2"/>
      <c r="E153" s="21"/>
      <c r="F153" s="2"/>
      <c r="G153" s="2"/>
      <c r="H153" s="26"/>
    </row>
    <row r="154" spans="1:8">
      <c r="A154" s="2"/>
      <c r="B154" s="2"/>
      <c r="C154" s="2"/>
      <c r="D154" s="2"/>
      <c r="E154" s="21"/>
      <c r="F154" s="2"/>
      <c r="G154" s="2"/>
      <c r="H154" s="26"/>
    </row>
    <row r="155" spans="1:8">
      <c r="A155" s="2"/>
      <c r="B155" s="2"/>
      <c r="C155" s="2"/>
      <c r="D155" s="2"/>
      <c r="E155" s="21"/>
      <c r="F155" s="2"/>
      <c r="G155" s="2"/>
      <c r="H155" s="26"/>
    </row>
    <row r="156" spans="1:8">
      <c r="A156" s="2"/>
      <c r="B156" s="2"/>
      <c r="C156" s="2"/>
      <c r="D156" s="2"/>
      <c r="E156" s="21"/>
      <c r="F156" s="2"/>
      <c r="G156" s="2"/>
      <c r="H156" s="26"/>
    </row>
    <row r="157" spans="1:8">
      <c r="A157" s="2"/>
      <c r="B157" s="2"/>
      <c r="C157" s="2"/>
      <c r="D157" s="2"/>
      <c r="E157" s="21"/>
      <c r="F157" s="2"/>
      <c r="G157" s="2"/>
      <c r="H157" s="26"/>
    </row>
    <row r="158" spans="1:8">
      <c r="A158" s="2"/>
      <c r="B158" s="2"/>
      <c r="C158" s="2"/>
      <c r="D158" s="2"/>
      <c r="E158" s="21"/>
      <c r="F158" s="2"/>
      <c r="G158" s="2"/>
      <c r="H158" s="26"/>
    </row>
    <row r="159" spans="1:8">
      <c r="A159" s="2"/>
      <c r="B159" s="2"/>
      <c r="C159" s="2"/>
      <c r="D159" s="2"/>
      <c r="E159" s="21"/>
      <c r="F159" s="2"/>
      <c r="G159" s="2"/>
      <c r="H159" s="26"/>
    </row>
    <row r="160" spans="1:8">
      <c r="A160" s="2"/>
      <c r="B160" s="2"/>
      <c r="C160" s="2"/>
      <c r="D160" s="2"/>
      <c r="E160" s="21"/>
      <c r="F160" s="2"/>
      <c r="G160" s="2"/>
      <c r="H160" s="26"/>
    </row>
    <row r="161" spans="1:8">
      <c r="A161" s="2"/>
      <c r="B161" s="2"/>
      <c r="C161" s="2"/>
      <c r="D161" s="2"/>
      <c r="E161" s="21"/>
      <c r="F161" s="2"/>
      <c r="G161" s="2"/>
      <c r="H161" s="26"/>
    </row>
    <row r="162" spans="1:8">
      <c r="A162" s="2"/>
      <c r="B162" s="2"/>
      <c r="C162" s="2"/>
      <c r="D162" s="2"/>
      <c r="E162" s="21"/>
      <c r="F162" s="2"/>
      <c r="G162" s="2"/>
      <c r="H162" s="26"/>
    </row>
    <row r="163" spans="1:8">
      <c r="A163" s="2"/>
      <c r="B163" s="2"/>
      <c r="C163" s="2"/>
      <c r="D163" s="2"/>
      <c r="E163" s="21"/>
      <c r="F163" s="2"/>
      <c r="G163" s="2"/>
      <c r="H163" s="26"/>
    </row>
    <row r="164" spans="1:8">
      <c r="A164" s="2"/>
      <c r="B164" s="2"/>
      <c r="C164" s="2"/>
      <c r="D164" s="2"/>
      <c r="E164" s="21"/>
      <c r="F164" s="2"/>
      <c r="G164" s="2"/>
      <c r="H164" s="26"/>
    </row>
    <row r="165" spans="1:8">
      <c r="A165" s="2"/>
      <c r="B165" s="2"/>
      <c r="C165" s="2"/>
      <c r="D165" s="2"/>
      <c r="E165" s="21"/>
      <c r="F165" s="2"/>
      <c r="G165" s="2"/>
      <c r="H165" s="26"/>
    </row>
    <row r="166" spans="1:8">
      <c r="A166" s="2"/>
      <c r="B166" s="2"/>
      <c r="C166" s="2"/>
      <c r="D166" s="2"/>
      <c r="E166" s="21"/>
      <c r="F166" s="2"/>
      <c r="G166" s="2"/>
      <c r="H166" s="26"/>
    </row>
    <row r="167" spans="1:8">
      <c r="A167" s="2"/>
      <c r="B167" s="2"/>
      <c r="C167" s="2"/>
      <c r="D167" s="2"/>
      <c r="E167" s="21"/>
      <c r="F167" s="2"/>
      <c r="G167" s="2"/>
      <c r="H167" s="26"/>
    </row>
    <row r="168" spans="1:8">
      <c r="A168" s="2"/>
      <c r="B168" s="2"/>
      <c r="C168" s="2"/>
      <c r="D168" s="2"/>
      <c r="E168" s="21"/>
      <c r="F168" s="2"/>
      <c r="G168" s="2"/>
      <c r="H168" s="26"/>
    </row>
    <row r="169" spans="1:8">
      <c r="A169" s="2"/>
      <c r="B169" s="2"/>
      <c r="C169" s="2"/>
      <c r="D169" s="2"/>
      <c r="E169" s="21"/>
      <c r="F169" s="2"/>
      <c r="G169" s="2"/>
      <c r="H169" s="26"/>
    </row>
    <row r="170" spans="1:8">
      <c r="A170" s="2"/>
      <c r="B170" s="2"/>
      <c r="C170" s="2"/>
      <c r="D170" s="2"/>
      <c r="E170" s="21"/>
      <c r="F170" s="2"/>
      <c r="G170" s="2"/>
      <c r="H170" s="26"/>
    </row>
    <row r="171" spans="1:8">
      <c r="A171" s="2"/>
      <c r="B171" s="2"/>
      <c r="C171" s="2"/>
      <c r="D171" s="2"/>
      <c r="E171" s="21"/>
      <c r="F171" s="2"/>
      <c r="G171" s="2"/>
      <c r="H171" s="26"/>
    </row>
    <row r="172" spans="1:8">
      <c r="A172" s="2"/>
      <c r="B172" s="2"/>
      <c r="C172" s="2"/>
      <c r="D172" s="2"/>
      <c r="E172" s="21"/>
      <c r="F172" s="2"/>
      <c r="G172" s="2"/>
      <c r="H172" s="26"/>
    </row>
    <row r="173" spans="1:8">
      <c r="A173" s="2"/>
      <c r="B173" s="2"/>
      <c r="C173" s="2"/>
      <c r="D173" s="2"/>
      <c r="E173" s="21"/>
      <c r="F173" s="2"/>
      <c r="G173" s="2"/>
      <c r="H173" s="26"/>
    </row>
    <row r="174" spans="1:8">
      <c r="A174" s="2"/>
      <c r="B174" s="2"/>
      <c r="C174" s="2"/>
      <c r="D174" s="2"/>
      <c r="E174" s="21"/>
      <c r="F174" s="2"/>
      <c r="G174" s="2"/>
      <c r="H174" s="26"/>
    </row>
    <row r="175" spans="1:8">
      <c r="A175" s="2"/>
      <c r="B175" s="2"/>
      <c r="C175" s="2"/>
      <c r="D175" s="2"/>
      <c r="E175" s="21"/>
      <c r="F175" s="2"/>
      <c r="G175" s="2"/>
      <c r="H175" s="26"/>
    </row>
    <row r="176" spans="1:8">
      <c r="A176" s="2"/>
      <c r="B176" s="2"/>
      <c r="C176" s="2"/>
      <c r="D176" s="2"/>
      <c r="E176" s="21"/>
      <c r="F176" s="2"/>
      <c r="G176" s="2"/>
      <c r="H176" s="26"/>
    </row>
    <row r="177" spans="1:8">
      <c r="A177" s="2"/>
      <c r="B177" s="2"/>
      <c r="C177" s="2"/>
      <c r="D177" s="2"/>
      <c r="E177" s="21"/>
      <c r="F177" s="2"/>
      <c r="G177" s="2"/>
      <c r="H177" s="26"/>
    </row>
    <row r="178" spans="1:8">
      <c r="A178" s="2"/>
      <c r="B178" s="2"/>
      <c r="C178" s="2"/>
      <c r="D178" s="2"/>
      <c r="E178" s="21"/>
      <c r="F178" s="2"/>
      <c r="G178" s="2"/>
      <c r="H178" s="26"/>
    </row>
    <row r="179" spans="1:8">
      <c r="A179" s="2"/>
      <c r="B179" s="2"/>
      <c r="C179" s="2"/>
      <c r="D179" s="2"/>
      <c r="E179" s="21"/>
      <c r="F179" s="2"/>
      <c r="G179" s="2"/>
      <c r="H179" s="26"/>
    </row>
    <row r="180" spans="1:8">
      <c r="A180" s="2"/>
      <c r="B180" s="2"/>
      <c r="C180" s="2"/>
      <c r="D180" s="2"/>
      <c r="E180" s="21"/>
      <c r="F180" s="2"/>
      <c r="G180" s="2"/>
      <c r="H180" s="26"/>
    </row>
    <row r="181" spans="1:8">
      <c r="A181" s="2"/>
      <c r="B181" s="2"/>
      <c r="C181" s="2"/>
      <c r="D181" s="2"/>
      <c r="E181" s="21"/>
      <c r="F181" s="2"/>
      <c r="G181" s="2"/>
      <c r="H181" s="26"/>
    </row>
    <row r="182" spans="1:8">
      <c r="A182" s="2"/>
      <c r="B182" s="2"/>
      <c r="C182" s="2"/>
      <c r="D182" s="2"/>
      <c r="E182" s="21"/>
      <c r="F182" s="2"/>
      <c r="G182" s="2"/>
      <c r="H182" s="26"/>
    </row>
    <row r="183" spans="1:8">
      <c r="A183" s="2"/>
      <c r="B183" s="2"/>
      <c r="C183" s="2"/>
      <c r="D183" s="2"/>
      <c r="E183" s="21"/>
      <c r="F183" s="2"/>
      <c r="G183" s="2"/>
      <c r="H183" s="26"/>
    </row>
    <row r="184" spans="1:8">
      <c r="A184" s="2"/>
      <c r="B184" s="2"/>
      <c r="C184" s="2"/>
      <c r="D184" s="2"/>
      <c r="E184" s="21"/>
      <c r="F184" s="2"/>
      <c r="G184" s="2"/>
      <c r="H184" s="26"/>
    </row>
    <row r="185" spans="1:8">
      <c r="A185" s="2"/>
      <c r="B185" s="2"/>
      <c r="C185" s="2"/>
      <c r="D185" s="2"/>
      <c r="E185" s="21"/>
      <c r="F185" s="2"/>
      <c r="G185" s="2"/>
      <c r="H185" s="26"/>
    </row>
    <row r="186" spans="1:8">
      <c r="A186" s="2"/>
      <c r="B186" s="2"/>
      <c r="C186" s="2"/>
      <c r="D186" s="2"/>
      <c r="E186" s="21"/>
      <c r="F186" s="2"/>
      <c r="G186" s="2"/>
      <c r="H186" s="26"/>
    </row>
    <row r="187" spans="1:8">
      <c r="A187" s="2"/>
      <c r="B187" s="2"/>
      <c r="C187" s="2"/>
      <c r="D187" s="2"/>
      <c r="E187" s="21"/>
      <c r="F187" s="2"/>
      <c r="G187" s="2"/>
      <c r="H187" s="26"/>
    </row>
    <row r="188" spans="1:8">
      <c r="A188" s="2"/>
      <c r="B188" s="2"/>
      <c r="C188" s="2"/>
      <c r="D188" s="2"/>
      <c r="E188" s="21"/>
      <c r="F188" s="2"/>
      <c r="G188" s="2"/>
      <c r="H188" s="26"/>
    </row>
    <row r="189" spans="1:8">
      <c r="A189" s="2"/>
      <c r="B189" s="2"/>
      <c r="C189" s="2"/>
      <c r="D189" s="2"/>
      <c r="E189" s="21"/>
      <c r="F189" s="2"/>
      <c r="G189" s="2"/>
      <c r="H189" s="26"/>
    </row>
    <row r="190" spans="1:8">
      <c r="A190" s="2"/>
      <c r="B190" s="2"/>
      <c r="C190" s="2"/>
      <c r="D190" s="2"/>
      <c r="E190" s="21"/>
      <c r="F190" s="2"/>
      <c r="G190" s="2"/>
      <c r="H190" s="26"/>
    </row>
    <row r="191" spans="1:8">
      <c r="A191" s="2"/>
      <c r="B191" s="2"/>
      <c r="C191" s="2"/>
      <c r="D191" s="2"/>
      <c r="E191" s="21"/>
      <c r="F191" s="2"/>
      <c r="G191" s="2"/>
      <c r="H191" s="26"/>
    </row>
    <row r="192" spans="1:8">
      <c r="A192" s="2"/>
      <c r="B192" s="2"/>
      <c r="C192" s="2"/>
      <c r="D192" s="2"/>
      <c r="E192" s="21"/>
      <c r="F192" s="2"/>
      <c r="G192" s="2"/>
      <c r="H192" s="26"/>
    </row>
    <row r="193" spans="1:8">
      <c r="A193" s="2"/>
      <c r="B193" s="2"/>
      <c r="C193" s="2"/>
      <c r="D193" s="2"/>
      <c r="E193" s="21"/>
      <c r="F193" s="2"/>
      <c r="G193" s="2"/>
      <c r="H193" s="26"/>
    </row>
    <row r="194" spans="1:8">
      <c r="A194" s="2"/>
      <c r="B194" s="2"/>
      <c r="C194" s="2"/>
      <c r="D194" s="2"/>
      <c r="E194" s="21"/>
      <c r="F194" s="2"/>
      <c r="G194" s="2"/>
      <c r="H194" s="26"/>
    </row>
    <row r="195" spans="1:8">
      <c r="A195" s="2"/>
      <c r="B195" s="2"/>
      <c r="C195" s="2"/>
      <c r="D195" s="2"/>
      <c r="E195" s="21"/>
      <c r="F195" s="2"/>
      <c r="G195" s="2"/>
      <c r="H195" s="26"/>
    </row>
    <row r="196" spans="1:8">
      <c r="A196" s="2"/>
      <c r="B196" s="2"/>
      <c r="C196" s="2"/>
      <c r="D196" s="2"/>
      <c r="E196" s="21"/>
      <c r="F196" s="2"/>
      <c r="G196" s="2"/>
      <c r="H196" s="26"/>
    </row>
    <row r="197" spans="1:8">
      <c r="A197" s="2"/>
      <c r="B197" s="2"/>
      <c r="C197" s="2"/>
      <c r="D197" s="2"/>
      <c r="E197" s="21"/>
      <c r="F197" s="2"/>
      <c r="G197" s="2"/>
      <c r="H197" s="26"/>
    </row>
    <row r="198" spans="1:8">
      <c r="A198" s="2"/>
      <c r="B198" s="2"/>
      <c r="C198" s="2"/>
      <c r="D198" s="2"/>
      <c r="E198" s="21"/>
      <c r="F198" s="2"/>
      <c r="G198" s="2"/>
      <c r="H198" s="26"/>
    </row>
    <row r="199" spans="1:8">
      <c r="A199" s="2"/>
      <c r="B199" s="2"/>
      <c r="C199" s="2"/>
      <c r="D199" s="2"/>
      <c r="E199" s="21"/>
      <c r="F199" s="2"/>
      <c r="G199" s="2"/>
      <c r="H199" s="26"/>
    </row>
    <row r="200" spans="1:8">
      <c r="A200" s="2"/>
      <c r="B200" s="2"/>
      <c r="C200" s="2"/>
      <c r="D200" s="2"/>
      <c r="E200" s="21"/>
      <c r="F200" s="2"/>
      <c r="G200" s="2"/>
      <c r="H200" s="26"/>
    </row>
    <row r="201" spans="1:8">
      <c r="A201" s="2"/>
      <c r="B201" s="2"/>
      <c r="C201" s="2"/>
      <c r="D201" s="2"/>
      <c r="E201" s="21"/>
      <c r="F201" s="2"/>
      <c r="G201" s="2"/>
      <c r="H201" s="26"/>
    </row>
    <row r="202" spans="1:8">
      <c r="A202" s="2"/>
      <c r="B202" s="2"/>
      <c r="C202" s="2"/>
      <c r="D202" s="2"/>
      <c r="E202" s="21"/>
      <c r="F202" s="2"/>
      <c r="G202" s="2"/>
      <c r="H202" s="26"/>
    </row>
    <row r="203" spans="1:8">
      <c r="A203" s="2"/>
      <c r="B203" s="2"/>
      <c r="C203" s="2"/>
      <c r="D203" s="2"/>
      <c r="E203" s="21"/>
      <c r="F203" s="2"/>
      <c r="G203" s="2"/>
      <c r="H203" s="26"/>
    </row>
    <row r="204" spans="1:8">
      <c r="A204" s="2"/>
      <c r="B204" s="2"/>
      <c r="C204" s="2"/>
      <c r="D204" s="2"/>
      <c r="E204" s="21"/>
      <c r="F204" s="2"/>
      <c r="G204" s="2"/>
      <c r="H204" s="26"/>
    </row>
    <row r="205" spans="1:8">
      <c r="A205" s="2"/>
      <c r="B205" s="2"/>
      <c r="C205" s="2"/>
      <c r="D205" s="2"/>
      <c r="E205" s="21"/>
      <c r="F205" s="2"/>
      <c r="G205" s="2"/>
      <c r="H205" s="26"/>
    </row>
    <row r="206" spans="1:8">
      <c r="A206" s="2"/>
      <c r="B206" s="2"/>
      <c r="C206" s="2"/>
      <c r="D206" s="2"/>
      <c r="E206" s="21"/>
      <c r="F206" s="2"/>
      <c r="G206" s="2"/>
      <c r="H206" s="26"/>
    </row>
    <row r="207" spans="1:8">
      <c r="A207" s="2"/>
      <c r="B207" s="2"/>
      <c r="C207" s="2"/>
      <c r="D207" s="2"/>
      <c r="E207" s="21"/>
      <c r="F207" s="2"/>
      <c r="G207" s="2"/>
      <c r="H207" s="26"/>
    </row>
    <row r="208" spans="1:8">
      <c r="A208" s="2"/>
      <c r="B208" s="2"/>
      <c r="C208" s="2"/>
      <c r="D208" s="2"/>
      <c r="E208" s="21"/>
      <c r="F208" s="2"/>
      <c r="G208" s="2"/>
      <c r="H208" s="26"/>
    </row>
    <row r="209" spans="1:8">
      <c r="A209" s="2"/>
      <c r="B209" s="2"/>
      <c r="C209" s="2"/>
      <c r="D209" s="2"/>
      <c r="E209" s="21"/>
      <c r="F209" s="2"/>
      <c r="G209" s="2"/>
      <c r="H209" s="26"/>
    </row>
    <row r="210" spans="1:8">
      <c r="A210" s="2"/>
      <c r="B210" s="2"/>
      <c r="C210" s="2"/>
      <c r="D210" s="2"/>
      <c r="E210" s="21"/>
      <c r="F210" s="2"/>
      <c r="G210" s="2"/>
      <c r="H210" s="26"/>
    </row>
    <row r="211" spans="1:8">
      <c r="A211" s="2"/>
      <c r="B211" s="2"/>
      <c r="C211" s="2"/>
      <c r="D211" s="2"/>
      <c r="E211" s="21"/>
      <c r="F211" s="2"/>
      <c r="G211" s="2"/>
      <c r="H211" s="26"/>
    </row>
    <row r="212" spans="1:8">
      <c r="A212" s="2"/>
      <c r="B212" s="2"/>
      <c r="C212" s="2"/>
      <c r="D212" s="2"/>
      <c r="E212" s="21"/>
      <c r="F212" s="2"/>
      <c r="G212" s="2"/>
      <c r="H212" s="26"/>
    </row>
    <row r="213" spans="1:8">
      <c r="A213" s="2"/>
      <c r="B213" s="2"/>
      <c r="C213" s="2"/>
      <c r="D213" s="2"/>
      <c r="E213" s="21"/>
      <c r="F213" s="2"/>
      <c r="G213" s="2"/>
      <c r="H213" s="26"/>
    </row>
    <row r="214" spans="1:8">
      <c r="A214" s="2"/>
      <c r="B214" s="2"/>
      <c r="C214" s="2"/>
      <c r="D214" s="2"/>
      <c r="E214" s="21"/>
      <c r="F214" s="2"/>
      <c r="G214" s="2"/>
      <c r="H214" s="26"/>
    </row>
    <row r="215" spans="1:8">
      <c r="A215" s="2"/>
      <c r="B215" s="2"/>
      <c r="C215" s="2"/>
      <c r="D215" s="2"/>
      <c r="E215" s="21"/>
      <c r="F215" s="2"/>
      <c r="G215" s="2"/>
      <c r="H215" s="26"/>
    </row>
    <row r="216" spans="1:8">
      <c r="A216" s="2"/>
      <c r="B216" s="2"/>
      <c r="C216" s="2"/>
      <c r="D216" s="2"/>
      <c r="E216" s="21"/>
      <c r="F216" s="2"/>
      <c r="G216" s="2"/>
      <c r="H216" s="26"/>
    </row>
    <row r="217" spans="1:8">
      <c r="A217" s="2"/>
      <c r="B217" s="2"/>
      <c r="C217" s="2"/>
      <c r="D217" s="2"/>
      <c r="E217" s="21"/>
      <c r="F217" s="2"/>
      <c r="G217" s="2"/>
      <c r="H217" s="26"/>
    </row>
    <row r="218" spans="1:8">
      <c r="A218" s="2"/>
      <c r="B218" s="2"/>
      <c r="C218" s="2"/>
      <c r="D218" s="2"/>
      <c r="E218" s="21"/>
      <c r="F218" s="2"/>
      <c r="G218" s="2"/>
      <c r="H218" s="26"/>
    </row>
    <row r="219" spans="1:8">
      <c r="A219" s="2"/>
      <c r="B219" s="2"/>
      <c r="C219" s="2"/>
      <c r="D219" s="2"/>
      <c r="E219" s="21"/>
      <c r="F219" s="2"/>
      <c r="G219" s="2"/>
      <c r="H219" s="26"/>
    </row>
    <row r="220" spans="1:8">
      <c r="A220" s="2"/>
      <c r="B220" s="2"/>
      <c r="C220" s="2"/>
      <c r="D220" s="2"/>
      <c r="E220" s="21"/>
      <c r="F220" s="2"/>
      <c r="G220" s="2"/>
      <c r="H220" s="26"/>
    </row>
    <row r="221" spans="1:8">
      <c r="A221" s="2"/>
      <c r="B221" s="2"/>
      <c r="C221" s="2"/>
      <c r="D221" s="2"/>
      <c r="E221" s="21"/>
      <c r="F221" s="2"/>
      <c r="G221" s="2"/>
      <c r="H221" s="26"/>
    </row>
    <row r="222" spans="1:8">
      <c r="A222" s="2"/>
      <c r="B222" s="2"/>
      <c r="C222" s="2"/>
      <c r="D222" s="2"/>
      <c r="E222" s="21"/>
      <c r="F222" s="2"/>
      <c r="G222" s="2"/>
      <c r="H222" s="26"/>
    </row>
    <row r="223" spans="1:8">
      <c r="A223" s="2"/>
      <c r="B223" s="2"/>
      <c r="C223" s="2"/>
      <c r="D223" s="2"/>
      <c r="E223" s="21"/>
      <c r="F223" s="2"/>
      <c r="G223" s="2"/>
      <c r="H223" s="26"/>
    </row>
    <row r="224" spans="1:8">
      <c r="A224" s="2"/>
      <c r="B224" s="2"/>
      <c r="C224" s="2"/>
      <c r="D224" s="2"/>
      <c r="E224" s="21"/>
      <c r="F224" s="2"/>
      <c r="G224" s="2"/>
      <c r="H224" s="26"/>
    </row>
    <row r="225" spans="1:8">
      <c r="A225" s="2"/>
      <c r="B225" s="2"/>
      <c r="C225" s="2"/>
      <c r="D225" s="2"/>
      <c r="E225" s="21"/>
      <c r="F225" s="2"/>
      <c r="G225" s="2"/>
      <c r="H225" s="26"/>
    </row>
    <row r="226" spans="1:8">
      <c r="A226" s="2"/>
      <c r="B226" s="2"/>
      <c r="C226" s="2"/>
      <c r="D226" s="2"/>
      <c r="E226" s="21"/>
      <c r="F226" s="2"/>
      <c r="G226" s="2"/>
      <c r="H226" s="26"/>
    </row>
    <row r="227" spans="1:8">
      <c r="A227" s="2"/>
      <c r="B227" s="2"/>
      <c r="C227" s="2"/>
      <c r="D227" s="2"/>
      <c r="E227" s="21"/>
      <c r="F227" s="2"/>
      <c r="G227" s="2"/>
      <c r="H227" s="26"/>
    </row>
    <row r="228" spans="1:8">
      <c r="A228" s="2"/>
      <c r="B228" s="2"/>
      <c r="C228" s="2"/>
      <c r="D228" s="2"/>
      <c r="E228" s="21"/>
      <c r="F228" s="2"/>
      <c r="G228" s="2"/>
      <c r="H228" s="26"/>
    </row>
    <row r="229" spans="1:8">
      <c r="A229" s="2"/>
      <c r="B229" s="2"/>
      <c r="C229" s="2"/>
      <c r="D229" s="2"/>
      <c r="E229" s="21"/>
      <c r="F229" s="2"/>
      <c r="G229" s="2"/>
      <c r="H229" s="26"/>
    </row>
    <row r="230" spans="1:8">
      <c r="A230" s="2"/>
      <c r="B230" s="2"/>
      <c r="C230" s="2"/>
      <c r="D230" s="2"/>
      <c r="E230" s="21"/>
      <c r="F230" s="2"/>
      <c r="G230" s="2"/>
      <c r="H230" s="26"/>
    </row>
    <row r="231" spans="1:8">
      <c r="A231" s="2"/>
      <c r="B231" s="2"/>
      <c r="C231" s="2"/>
      <c r="D231" s="2"/>
      <c r="E231" s="21"/>
      <c r="F231" s="2"/>
      <c r="G231" s="2"/>
      <c r="H231" s="26"/>
    </row>
    <row r="232" spans="1:8">
      <c r="A232" s="2"/>
      <c r="B232" s="2"/>
      <c r="C232" s="2"/>
      <c r="D232" s="2"/>
      <c r="E232" s="21"/>
      <c r="F232" s="2"/>
      <c r="G232" s="2"/>
      <c r="H232" s="26"/>
    </row>
    <row r="233" spans="1:8">
      <c r="A233" s="2"/>
      <c r="B233" s="2"/>
      <c r="C233" s="2"/>
      <c r="D233" s="2"/>
      <c r="E233" s="21"/>
      <c r="F233" s="2"/>
      <c r="G233" s="2"/>
      <c r="H233" s="26"/>
    </row>
    <row r="234" spans="1:8">
      <c r="A234" s="2"/>
      <c r="B234" s="2"/>
      <c r="C234" s="2"/>
      <c r="D234" s="2"/>
      <c r="E234" s="21"/>
      <c r="F234" s="2"/>
      <c r="G234" s="2"/>
      <c r="H234" s="26"/>
    </row>
    <row r="235" spans="1:8">
      <c r="A235" s="2"/>
      <c r="B235" s="2"/>
      <c r="C235" s="2"/>
      <c r="D235" s="2"/>
      <c r="E235" s="21"/>
      <c r="F235" s="2"/>
      <c r="G235" s="2"/>
      <c r="H235" s="26"/>
    </row>
    <row r="236" spans="1:8">
      <c r="A236" s="2"/>
      <c r="B236" s="2"/>
      <c r="C236" s="2"/>
      <c r="D236" s="2"/>
      <c r="E236" s="21"/>
      <c r="F236" s="2"/>
      <c r="G236" s="2"/>
      <c r="H236" s="26"/>
    </row>
    <row r="237" spans="1:8">
      <c r="A237" s="2"/>
      <c r="B237" s="2"/>
      <c r="C237" s="2"/>
      <c r="D237" s="2"/>
      <c r="E237" s="21"/>
      <c r="F237" s="2"/>
      <c r="G237" s="2"/>
      <c r="H237" s="26"/>
    </row>
    <row r="238" spans="1:8">
      <c r="A238" s="2"/>
      <c r="B238" s="2"/>
      <c r="C238" s="2"/>
      <c r="D238" s="2"/>
      <c r="E238" s="21"/>
      <c r="F238" s="2"/>
      <c r="G238" s="2"/>
      <c r="H238" s="26"/>
    </row>
    <row r="239" spans="1:8">
      <c r="A239" s="2"/>
      <c r="B239" s="2"/>
      <c r="C239" s="2"/>
      <c r="D239" s="2"/>
      <c r="E239" s="21"/>
      <c r="F239" s="2"/>
      <c r="G239" s="2"/>
      <c r="H239" s="26"/>
    </row>
    <row r="240" spans="1:8">
      <c r="A240" s="2"/>
      <c r="B240" s="2"/>
      <c r="C240" s="2"/>
      <c r="D240" s="2"/>
      <c r="E240" s="21"/>
      <c r="F240" s="2"/>
      <c r="G240" s="2"/>
      <c r="H240" s="26"/>
    </row>
    <row r="241" spans="1:8">
      <c r="A241" s="2"/>
      <c r="B241" s="2"/>
      <c r="C241" s="2"/>
      <c r="D241" s="2"/>
      <c r="E241" s="21"/>
      <c r="F241" s="2"/>
      <c r="G241" s="2"/>
      <c r="H241" s="26"/>
    </row>
    <row r="242" spans="1:8">
      <c r="A242" s="2"/>
      <c r="B242" s="2"/>
      <c r="C242" s="2"/>
      <c r="D242" s="2"/>
      <c r="E242" s="21"/>
      <c r="F242" s="2"/>
      <c r="G242" s="2"/>
      <c r="H242" s="26"/>
    </row>
    <row r="243" spans="1:8">
      <c r="A243" s="2"/>
      <c r="B243" s="2"/>
      <c r="C243" s="2"/>
      <c r="D243" s="2"/>
      <c r="E243" s="21"/>
      <c r="F243" s="2"/>
      <c r="G243" s="2"/>
      <c r="H243" s="26"/>
    </row>
    <row r="244" spans="1:8">
      <c r="A244" s="2"/>
      <c r="B244" s="2"/>
      <c r="C244" s="2"/>
      <c r="D244" s="2"/>
      <c r="E244" s="21"/>
      <c r="F244" s="2"/>
      <c r="G244" s="2"/>
      <c r="H244" s="26"/>
    </row>
    <row r="245" spans="1:8">
      <c r="A245" s="2"/>
      <c r="B245" s="2"/>
      <c r="C245" s="2"/>
      <c r="D245" s="2"/>
      <c r="E245" s="21"/>
      <c r="F245" s="2"/>
      <c r="G245" s="2"/>
      <c r="H245" s="26"/>
    </row>
    <row r="246" spans="1:8">
      <c r="A246" s="2"/>
      <c r="B246" s="2"/>
      <c r="C246" s="2"/>
      <c r="D246" s="2"/>
      <c r="E246" s="21"/>
      <c r="F246" s="2"/>
      <c r="G246" s="2"/>
      <c r="H246" s="26"/>
    </row>
    <row r="247" spans="1:8">
      <c r="A247" s="2"/>
      <c r="B247" s="2"/>
      <c r="C247" s="2"/>
      <c r="D247" s="2"/>
      <c r="E247" s="21"/>
      <c r="F247" s="2"/>
      <c r="G247" s="2"/>
      <c r="H247" s="26"/>
    </row>
    <row r="248" spans="1:8">
      <c r="A248" s="2"/>
      <c r="B248" s="2"/>
      <c r="C248" s="2"/>
      <c r="D248" s="2"/>
      <c r="E248" s="21"/>
      <c r="F248" s="2"/>
      <c r="G248" s="2"/>
      <c r="H248" s="26"/>
    </row>
    <row r="249" spans="1:8">
      <c r="A249" s="2"/>
      <c r="B249" s="2"/>
      <c r="C249" s="2"/>
      <c r="D249" s="2"/>
      <c r="E249" s="21"/>
      <c r="F249" s="2"/>
      <c r="G249" s="2"/>
      <c r="H249" s="26"/>
    </row>
    <row r="250" spans="1:8">
      <c r="A250" s="2"/>
      <c r="B250" s="2"/>
      <c r="C250" s="2"/>
      <c r="D250" s="2"/>
      <c r="E250" s="21"/>
      <c r="F250" s="2"/>
      <c r="G250" s="2"/>
      <c r="H250" s="26"/>
    </row>
    <row r="251" spans="1:8">
      <c r="A251" s="2"/>
      <c r="B251" s="2"/>
      <c r="C251" s="2"/>
      <c r="D251" s="2"/>
      <c r="E251" s="21"/>
      <c r="F251" s="2"/>
      <c r="G251" s="2"/>
      <c r="H251" s="26"/>
    </row>
    <row r="252" spans="1:8">
      <c r="A252" s="2"/>
      <c r="B252" s="2"/>
      <c r="C252" s="2"/>
      <c r="D252" s="2"/>
      <c r="E252" s="21"/>
      <c r="F252" s="2"/>
      <c r="G252" s="2"/>
      <c r="H252" s="26"/>
    </row>
    <row r="253" spans="1:8">
      <c r="A253" s="2"/>
      <c r="B253" s="2"/>
      <c r="C253" s="2"/>
      <c r="D253" s="2"/>
      <c r="E253" s="21"/>
      <c r="F253" s="2"/>
      <c r="G253" s="2"/>
      <c r="H253" s="26"/>
    </row>
    <row r="254" spans="1:8">
      <c r="A254" s="2"/>
      <c r="B254" s="2"/>
      <c r="C254" s="2"/>
      <c r="D254" s="2"/>
      <c r="E254" s="21"/>
      <c r="F254" s="2"/>
      <c r="G254" s="2"/>
      <c r="H254" s="26"/>
    </row>
    <row r="255" spans="1:8">
      <c r="A255" s="2"/>
      <c r="B255" s="2"/>
      <c r="C255" s="2"/>
      <c r="D255" s="2"/>
      <c r="E255" s="21"/>
      <c r="F255" s="2"/>
      <c r="G255" s="2"/>
      <c r="H255" s="26"/>
    </row>
    <row r="256" spans="1:8">
      <c r="A256" s="2"/>
      <c r="B256" s="2"/>
      <c r="C256" s="2"/>
      <c r="D256" s="2"/>
      <c r="E256" s="21"/>
      <c r="F256" s="2"/>
      <c r="G256" s="2"/>
      <c r="H256" s="26"/>
    </row>
    <row r="257" spans="1:8">
      <c r="A257" s="2"/>
      <c r="B257" s="2"/>
      <c r="C257" s="2"/>
      <c r="D257" s="2"/>
      <c r="E257" s="21"/>
      <c r="F257" s="2"/>
      <c r="G257" s="2"/>
      <c r="H257" s="26"/>
    </row>
    <row r="258" spans="1:8">
      <c r="A258" s="2"/>
      <c r="B258" s="2"/>
      <c r="C258" s="2"/>
      <c r="D258" s="2"/>
      <c r="E258" s="21"/>
      <c r="F258" s="2"/>
      <c r="G258" s="2"/>
      <c r="H258" s="26"/>
    </row>
    <row r="259" spans="1:8">
      <c r="A259" s="2"/>
      <c r="B259" s="2"/>
      <c r="C259" s="2"/>
      <c r="D259" s="2"/>
      <c r="E259" s="21"/>
      <c r="F259" s="2"/>
      <c r="G259" s="2"/>
      <c r="H259" s="26"/>
    </row>
    <row r="260" spans="1:8">
      <c r="A260" s="2"/>
      <c r="B260" s="2"/>
      <c r="C260" s="2"/>
      <c r="D260" s="2"/>
      <c r="E260" s="21"/>
      <c r="F260" s="2"/>
      <c r="G260" s="2"/>
      <c r="H260" s="26"/>
    </row>
    <row r="261" spans="1:8">
      <c r="A261" s="2"/>
      <c r="B261" s="2"/>
      <c r="C261" s="2"/>
      <c r="D261" s="2"/>
      <c r="E261" s="21"/>
      <c r="F261" s="2"/>
      <c r="G261" s="2"/>
      <c r="H261" s="26"/>
    </row>
    <row r="262" spans="1:8">
      <c r="A262" s="2"/>
      <c r="B262" s="2"/>
      <c r="C262" s="2"/>
      <c r="D262" s="2"/>
      <c r="E262" s="21"/>
      <c r="F262" s="2"/>
      <c r="G262" s="2"/>
      <c r="H262" s="26"/>
    </row>
    <row r="263" spans="1:8">
      <c r="A263" s="2"/>
      <c r="B263" s="2"/>
      <c r="C263" s="2"/>
      <c r="D263" s="2"/>
      <c r="E263" s="21"/>
      <c r="F263" s="2"/>
      <c r="G263" s="2"/>
      <c r="H263" s="26"/>
    </row>
    <row r="264" spans="1:8">
      <c r="A264" s="2"/>
      <c r="B264" s="2"/>
      <c r="C264" s="2"/>
      <c r="D264" s="2"/>
      <c r="E264" s="21"/>
      <c r="F264" s="2"/>
      <c r="G264" s="2"/>
      <c r="H264" s="26"/>
    </row>
    <row r="265" spans="1:8">
      <c r="A265" s="2"/>
      <c r="B265" s="2"/>
      <c r="C265" s="2"/>
      <c r="D265" s="2"/>
      <c r="E265" s="21"/>
      <c r="F265" s="2"/>
      <c r="G265" s="2"/>
      <c r="H265" s="26"/>
    </row>
    <row r="266" spans="1:8">
      <c r="A266" s="2"/>
      <c r="B266" s="2"/>
      <c r="C266" s="2"/>
      <c r="D266" s="2"/>
      <c r="E266" s="21"/>
      <c r="F266" s="2"/>
      <c r="G266" s="2"/>
      <c r="H266" s="26"/>
    </row>
    <row r="267" spans="1:8">
      <c r="A267" s="2"/>
      <c r="B267" s="2"/>
      <c r="C267" s="2"/>
      <c r="D267" s="2"/>
      <c r="E267" s="21"/>
      <c r="F267" s="2"/>
      <c r="G267" s="2"/>
      <c r="H267" s="26"/>
    </row>
    <row r="268" spans="1:8">
      <c r="A268" s="2"/>
      <c r="B268" s="2"/>
      <c r="C268" s="2"/>
      <c r="D268" s="2"/>
      <c r="E268" s="21"/>
      <c r="F268" s="2"/>
      <c r="G268" s="2"/>
      <c r="H268" s="26"/>
    </row>
    <row r="269" spans="1:8">
      <c r="A269" s="2"/>
      <c r="B269" s="2"/>
      <c r="C269" s="2"/>
      <c r="D269" s="2"/>
      <c r="E269" s="21"/>
      <c r="F269" s="2"/>
      <c r="G269" s="2"/>
      <c r="H269" s="26"/>
    </row>
    <row r="270" spans="1:8">
      <c r="A270" s="2"/>
      <c r="B270" s="2"/>
      <c r="C270" s="2"/>
      <c r="D270" s="2"/>
      <c r="E270" s="21"/>
      <c r="F270" s="2"/>
      <c r="G270" s="2"/>
      <c r="H270" s="26"/>
    </row>
    <row r="271" spans="1:8">
      <c r="A271" s="2"/>
      <c r="B271" s="2"/>
      <c r="C271" s="2"/>
      <c r="D271" s="2"/>
      <c r="E271" s="21"/>
      <c r="F271" s="2"/>
      <c r="G271" s="2"/>
      <c r="H271" s="26"/>
    </row>
    <row r="272" spans="1:8">
      <c r="A272" s="2"/>
      <c r="B272" s="2"/>
      <c r="C272" s="2"/>
      <c r="D272" s="2"/>
      <c r="E272" s="21"/>
      <c r="F272" s="2"/>
      <c r="G272" s="2"/>
      <c r="H272" s="26"/>
    </row>
    <row r="273" spans="1:8">
      <c r="A273" s="2"/>
      <c r="B273" s="2"/>
      <c r="C273" s="2"/>
      <c r="D273" s="2"/>
      <c r="E273" s="21"/>
      <c r="F273" s="2"/>
      <c r="G273" s="2"/>
      <c r="H273" s="26"/>
    </row>
    <row r="274" spans="1:8">
      <c r="A274" s="2"/>
      <c r="B274" s="2"/>
      <c r="C274" s="2"/>
      <c r="D274" s="2"/>
      <c r="E274" s="21"/>
      <c r="F274" s="2"/>
      <c r="G274" s="2"/>
      <c r="H274" s="26"/>
    </row>
    <row r="275" spans="1:8">
      <c r="A275" s="2"/>
      <c r="B275" s="2"/>
      <c r="C275" s="2"/>
      <c r="D275" s="2"/>
      <c r="E275" s="21"/>
      <c r="F275" s="2"/>
      <c r="G275" s="2"/>
      <c r="H275" s="26"/>
    </row>
    <row r="276" spans="1:8">
      <c r="A276" s="2"/>
      <c r="B276" s="2"/>
      <c r="C276" s="2"/>
      <c r="D276" s="2"/>
      <c r="E276" s="21"/>
      <c r="F276" s="2"/>
      <c r="G276" s="2"/>
      <c r="H276" s="26"/>
    </row>
    <row r="277" spans="1:8">
      <c r="A277" s="2"/>
      <c r="B277" s="2"/>
      <c r="C277" s="2"/>
      <c r="D277" s="2"/>
      <c r="E277" s="21"/>
      <c r="F277" s="2"/>
      <c r="G277" s="2"/>
      <c r="H277" s="26"/>
    </row>
    <row r="278" spans="1:8">
      <c r="A278" s="2"/>
      <c r="B278" s="2"/>
      <c r="C278" s="2"/>
      <c r="D278" s="2"/>
      <c r="E278" s="21"/>
      <c r="F278" s="2"/>
      <c r="G278" s="2"/>
      <c r="H278" s="26"/>
    </row>
    <row r="279" spans="1:8">
      <c r="A279" s="2"/>
      <c r="B279" s="2"/>
      <c r="C279" s="2"/>
      <c r="D279" s="2"/>
      <c r="E279" s="21"/>
      <c r="F279" s="2"/>
      <c r="G279" s="2"/>
      <c r="H279" s="26"/>
    </row>
    <row r="280" spans="1:8">
      <c r="A280" s="2"/>
      <c r="B280" s="2"/>
      <c r="C280" s="2"/>
      <c r="D280" s="2"/>
      <c r="E280" s="21"/>
      <c r="F280" s="2"/>
      <c r="G280" s="2"/>
      <c r="H280" s="26"/>
    </row>
    <row r="281" spans="1:8">
      <c r="A281" s="2"/>
      <c r="B281" s="2"/>
      <c r="C281" s="2"/>
      <c r="D281" s="2"/>
      <c r="E281" s="21"/>
      <c r="F281" s="2"/>
      <c r="G281" s="2"/>
      <c r="H281" s="26"/>
    </row>
    <row r="282" spans="1:8">
      <c r="A282" s="2"/>
      <c r="B282" s="2"/>
      <c r="C282" s="2"/>
      <c r="D282" s="2"/>
      <c r="E282" s="21"/>
      <c r="F282" s="2"/>
      <c r="G282" s="2"/>
      <c r="H282" s="26"/>
    </row>
    <row r="283" spans="1:8">
      <c r="A283" s="2"/>
      <c r="B283" s="2"/>
      <c r="C283" s="2"/>
      <c r="D283" s="2"/>
      <c r="E283" s="21"/>
      <c r="F283" s="2"/>
      <c r="G283" s="2"/>
      <c r="H283" s="26"/>
    </row>
    <row r="284" spans="1:8">
      <c r="A284" s="2"/>
      <c r="B284" s="2"/>
      <c r="C284" s="2"/>
      <c r="D284" s="2"/>
      <c r="E284" s="21"/>
      <c r="F284" s="2"/>
      <c r="G284" s="2"/>
      <c r="H284" s="26"/>
    </row>
    <row r="285" spans="1:8">
      <c r="A285" s="2"/>
      <c r="B285" s="2"/>
      <c r="C285" s="2"/>
      <c r="D285" s="2"/>
      <c r="E285" s="21"/>
      <c r="F285" s="2"/>
      <c r="G285" s="2"/>
      <c r="H285" s="26"/>
    </row>
    <row r="286" spans="1:8">
      <c r="A286" s="2"/>
      <c r="B286" s="2"/>
      <c r="C286" s="2"/>
      <c r="D286" s="2"/>
      <c r="E286" s="21"/>
      <c r="F286" s="2"/>
      <c r="G286" s="2"/>
      <c r="H286" s="26"/>
    </row>
    <row r="287" spans="1:8">
      <c r="A287" s="2"/>
      <c r="B287" s="2"/>
      <c r="C287" s="2"/>
      <c r="D287" s="2"/>
      <c r="E287" s="21"/>
      <c r="F287" s="2"/>
      <c r="G287" s="2"/>
      <c r="H287" s="26"/>
    </row>
    <row r="288" spans="1:8">
      <c r="A288" s="2"/>
      <c r="B288" s="2"/>
      <c r="C288" s="2"/>
      <c r="D288" s="2"/>
      <c r="E288" s="21"/>
      <c r="F288" s="2"/>
      <c r="G288" s="2"/>
      <c r="H288" s="26"/>
    </row>
    <row r="289" spans="1:8">
      <c r="A289" s="2"/>
      <c r="B289" s="2"/>
      <c r="C289" s="2"/>
      <c r="D289" s="2"/>
      <c r="E289" s="21"/>
      <c r="F289" s="2"/>
      <c r="G289" s="2"/>
      <c r="H289" s="26"/>
    </row>
    <row r="290" spans="1:8">
      <c r="A290" s="2"/>
      <c r="B290" s="2"/>
      <c r="C290" s="2"/>
      <c r="D290" s="2"/>
      <c r="E290" s="21"/>
      <c r="F290" s="2"/>
      <c r="G290" s="2"/>
      <c r="H290" s="26"/>
    </row>
    <row r="291" spans="1:8">
      <c r="A291" s="2"/>
      <c r="B291" s="2"/>
      <c r="C291" s="2"/>
      <c r="D291" s="2"/>
      <c r="E291" s="21"/>
      <c r="F291" s="2"/>
      <c r="G291" s="2"/>
      <c r="H291" s="26"/>
    </row>
    <row r="292" spans="1:8">
      <c r="A292" s="2"/>
      <c r="B292" s="2"/>
      <c r="C292" s="2"/>
      <c r="D292" s="2"/>
      <c r="E292" s="21"/>
      <c r="F292" s="2"/>
      <c r="G292" s="2"/>
      <c r="H292" s="26"/>
    </row>
    <row r="293" spans="1:8">
      <c r="A293" s="2"/>
      <c r="B293" s="2"/>
      <c r="C293" s="2"/>
      <c r="D293" s="2"/>
      <c r="E293" s="21"/>
      <c r="F293" s="2"/>
      <c r="G293" s="2"/>
      <c r="H293" s="26"/>
    </row>
    <row r="294" spans="1:8">
      <c r="A294" s="2"/>
      <c r="B294" s="2"/>
      <c r="C294" s="2"/>
      <c r="D294" s="2"/>
      <c r="E294" s="21"/>
      <c r="F294" s="2"/>
      <c r="G294" s="2"/>
      <c r="H294" s="26"/>
    </row>
    <row r="295" spans="1:8">
      <c r="A295" s="2"/>
      <c r="B295" s="2"/>
      <c r="C295" s="2"/>
      <c r="D295" s="2"/>
      <c r="E295" s="21"/>
      <c r="F295" s="2"/>
      <c r="G295" s="2"/>
      <c r="H295" s="26"/>
    </row>
    <row r="296" spans="1:8">
      <c r="A296" s="2"/>
      <c r="B296" s="2"/>
      <c r="C296" s="2"/>
      <c r="D296" s="2"/>
      <c r="E296" s="21"/>
      <c r="F296" s="2"/>
      <c r="G296" s="2"/>
      <c r="H296" s="26"/>
    </row>
    <row r="297" spans="1:8">
      <c r="A297" s="2"/>
      <c r="B297" s="2"/>
      <c r="C297" s="2"/>
      <c r="D297" s="2"/>
      <c r="E297" s="21"/>
      <c r="F297" s="2"/>
      <c r="G297" s="2"/>
      <c r="H297" s="26"/>
    </row>
    <row r="298" spans="1:8">
      <c r="A298" s="2"/>
      <c r="B298" s="2"/>
      <c r="C298" s="2"/>
      <c r="D298" s="2"/>
      <c r="E298" s="21"/>
      <c r="F298" s="2"/>
      <c r="G298" s="2"/>
      <c r="H298" s="26"/>
    </row>
    <row r="299" spans="1:8">
      <c r="A299" s="2"/>
      <c r="B299" s="2"/>
      <c r="C299" s="2"/>
      <c r="D299" s="2"/>
      <c r="E299" s="21"/>
      <c r="F299" s="2"/>
      <c r="G299" s="2"/>
      <c r="H299" s="26"/>
    </row>
    <row r="300" spans="1:8">
      <c r="A300" s="2"/>
      <c r="B300" s="2"/>
      <c r="C300" s="2"/>
      <c r="D300" s="2"/>
      <c r="E300" s="21"/>
      <c r="F300" s="2"/>
      <c r="G300" s="2"/>
      <c r="H300" s="26"/>
    </row>
    <row r="301" spans="1:8">
      <c r="A301" s="2"/>
      <c r="B301" s="2"/>
      <c r="C301" s="2"/>
      <c r="D301" s="2"/>
      <c r="E301" s="21"/>
      <c r="F301" s="2"/>
      <c r="G301" s="2"/>
      <c r="H301" s="26"/>
    </row>
    <row r="302" spans="1:8">
      <c r="A302" s="2"/>
      <c r="B302" s="2"/>
      <c r="C302" s="2"/>
      <c r="D302" s="2"/>
      <c r="E302" s="21"/>
      <c r="F302" s="2"/>
      <c r="G302" s="2"/>
      <c r="H302" s="26"/>
    </row>
    <row r="303" spans="1:8">
      <c r="A303" s="2"/>
      <c r="B303" s="2"/>
      <c r="C303" s="2"/>
      <c r="D303" s="2"/>
      <c r="E303" s="21"/>
      <c r="F303" s="2"/>
      <c r="G303" s="2"/>
      <c r="H303" s="26"/>
    </row>
    <row r="304" spans="1:8">
      <c r="A304" s="2"/>
      <c r="B304" s="2"/>
      <c r="C304" s="2"/>
      <c r="D304" s="2"/>
      <c r="E304" s="21"/>
      <c r="F304" s="2"/>
      <c r="G304" s="2"/>
      <c r="H304" s="26"/>
    </row>
    <row r="305" spans="1:8">
      <c r="A305" s="2"/>
      <c r="B305" s="2"/>
      <c r="C305" s="2"/>
      <c r="D305" s="2"/>
      <c r="E305" s="21"/>
      <c r="F305" s="2"/>
      <c r="G305" s="2"/>
      <c r="H305" s="26"/>
    </row>
    <row r="306" spans="1:8">
      <c r="A306" s="2"/>
      <c r="B306" s="2"/>
      <c r="C306" s="2"/>
      <c r="D306" s="2"/>
      <c r="E306" s="21"/>
      <c r="F306" s="2"/>
      <c r="G306" s="2"/>
      <c r="H306" s="26"/>
    </row>
    <row r="307" spans="1:8">
      <c r="A307" s="2"/>
      <c r="B307" s="2"/>
      <c r="C307" s="2"/>
      <c r="D307" s="2"/>
      <c r="E307" s="21"/>
      <c r="F307" s="2"/>
      <c r="G307" s="2"/>
      <c r="H307" s="26"/>
    </row>
    <row r="308" spans="1:8">
      <c r="A308" s="2"/>
      <c r="B308" s="2"/>
      <c r="C308" s="2"/>
      <c r="D308" s="2"/>
      <c r="E308" s="21"/>
      <c r="F308" s="2"/>
      <c r="G308" s="2"/>
      <c r="H308" s="26"/>
    </row>
    <row r="309" spans="1:8">
      <c r="A309" s="2"/>
      <c r="B309" s="2"/>
      <c r="C309" s="2"/>
      <c r="D309" s="2"/>
      <c r="E309" s="21"/>
      <c r="F309" s="2"/>
      <c r="G309" s="2"/>
      <c r="H309" s="26"/>
    </row>
    <row r="310" spans="1:8">
      <c r="A310" s="2"/>
      <c r="B310" s="2"/>
      <c r="C310" s="2"/>
      <c r="D310" s="2"/>
      <c r="E310" s="21"/>
      <c r="F310" s="2"/>
      <c r="G310" s="2"/>
      <c r="H310" s="26"/>
    </row>
    <row r="311" spans="1:8">
      <c r="A311" s="2"/>
      <c r="B311" s="2"/>
      <c r="C311" s="2"/>
      <c r="D311" s="2"/>
      <c r="E311" s="21"/>
      <c r="F311" s="2"/>
      <c r="G311" s="2"/>
      <c r="H311" s="26"/>
    </row>
    <row r="312" spans="1:8">
      <c r="A312" s="2"/>
      <c r="B312" s="2"/>
      <c r="C312" s="2"/>
      <c r="D312" s="2"/>
      <c r="E312" s="21"/>
      <c r="F312" s="2"/>
      <c r="G312" s="2"/>
      <c r="H312" s="26"/>
    </row>
    <row r="313" spans="1:8">
      <c r="A313" s="2"/>
      <c r="B313" s="2"/>
      <c r="C313" s="2"/>
      <c r="D313" s="2"/>
      <c r="E313" s="21"/>
      <c r="F313" s="2"/>
      <c r="G313" s="2"/>
      <c r="H313" s="26"/>
    </row>
    <row r="314" spans="1:8">
      <c r="A314" s="2"/>
      <c r="B314" s="2"/>
      <c r="C314" s="2"/>
      <c r="D314" s="2"/>
      <c r="E314" s="21"/>
      <c r="F314" s="2"/>
      <c r="G314" s="2"/>
      <c r="H314" s="26"/>
    </row>
    <row r="315" spans="1:8">
      <c r="A315" s="2"/>
      <c r="B315" s="2"/>
      <c r="C315" s="2"/>
      <c r="D315" s="2"/>
      <c r="E315" s="21"/>
      <c r="F315" s="2"/>
      <c r="G315" s="2"/>
      <c r="H315" s="26"/>
    </row>
    <row r="316" spans="1:8">
      <c r="A316" s="2"/>
      <c r="B316" s="2"/>
      <c r="C316" s="2"/>
      <c r="D316" s="2"/>
      <c r="E316" s="21"/>
      <c r="F316" s="2"/>
      <c r="G316" s="2"/>
      <c r="H316" s="26"/>
    </row>
    <row r="317" spans="1:8">
      <c r="A317" s="2"/>
      <c r="B317" s="2"/>
      <c r="C317" s="2"/>
      <c r="D317" s="2"/>
      <c r="E317" s="21"/>
      <c r="F317" s="2"/>
      <c r="G317" s="2"/>
      <c r="H317" s="26"/>
    </row>
    <row r="318" spans="1:8">
      <c r="A318" s="2"/>
      <c r="B318" s="2"/>
      <c r="C318" s="2"/>
      <c r="D318" s="2"/>
      <c r="E318" s="21"/>
      <c r="F318" s="2"/>
      <c r="G318" s="2"/>
      <c r="H318" s="26"/>
    </row>
    <row r="319" spans="1:8">
      <c r="A319" s="2"/>
      <c r="B319" s="2"/>
      <c r="C319" s="2"/>
      <c r="D319" s="2"/>
      <c r="E319" s="21"/>
      <c r="F319" s="2"/>
      <c r="G319" s="2"/>
      <c r="H319" s="26"/>
    </row>
    <row r="320" spans="1:8">
      <c r="A320" s="2"/>
      <c r="B320" s="2"/>
      <c r="C320" s="2"/>
      <c r="D320" s="2"/>
      <c r="E320" s="21"/>
      <c r="F320" s="2"/>
      <c r="G320" s="2"/>
      <c r="H320" s="26"/>
    </row>
    <row r="321" spans="1:8">
      <c r="A321" s="2"/>
      <c r="B321" s="2"/>
      <c r="C321" s="2"/>
      <c r="D321" s="2"/>
      <c r="E321" s="21"/>
      <c r="F321" s="2"/>
      <c r="G321" s="2"/>
      <c r="H321" s="26"/>
    </row>
    <row r="322" spans="1:8">
      <c r="A322" s="2"/>
      <c r="B322" s="2"/>
      <c r="C322" s="2"/>
      <c r="D322" s="2"/>
      <c r="E322" s="21"/>
      <c r="F322" s="2"/>
      <c r="G322" s="2"/>
      <c r="H322" s="26"/>
    </row>
    <row r="323" spans="1:8">
      <c r="A323" s="2"/>
      <c r="B323" s="2"/>
      <c r="C323" s="2"/>
      <c r="D323" s="2"/>
      <c r="E323" s="21"/>
      <c r="F323" s="2"/>
      <c r="G323" s="2"/>
      <c r="H323" s="26"/>
    </row>
    <row r="324" spans="1:8">
      <c r="A324" s="2"/>
      <c r="B324" s="2"/>
      <c r="C324" s="2"/>
      <c r="D324" s="2"/>
      <c r="E324" s="21"/>
      <c r="F324" s="2"/>
      <c r="G324" s="2"/>
      <c r="H324" s="26"/>
    </row>
    <row r="325" spans="1:8">
      <c r="A325" s="2"/>
      <c r="B325" s="2"/>
      <c r="C325" s="2"/>
      <c r="D325" s="2"/>
      <c r="E325" s="21"/>
      <c r="F325" s="2"/>
      <c r="G325" s="2"/>
      <c r="H325" s="26"/>
    </row>
    <row r="326" spans="1:8">
      <c r="A326" s="2"/>
      <c r="B326" s="2"/>
      <c r="C326" s="2"/>
      <c r="D326" s="2"/>
      <c r="E326" s="21"/>
      <c r="F326" s="2"/>
      <c r="G326" s="2"/>
      <c r="H326" s="26"/>
    </row>
    <row r="327" spans="1:8">
      <c r="A327" s="2"/>
      <c r="B327" s="2"/>
      <c r="C327" s="2"/>
      <c r="D327" s="2"/>
      <c r="E327" s="21"/>
      <c r="F327" s="2"/>
      <c r="G327" s="2"/>
      <c r="H327" s="26"/>
    </row>
    <row r="328" spans="1:8">
      <c r="A328" s="2"/>
      <c r="B328" s="2"/>
      <c r="C328" s="2"/>
      <c r="D328" s="2"/>
      <c r="E328" s="21"/>
      <c r="F328" s="2"/>
      <c r="G328" s="2"/>
      <c r="H328" s="26"/>
    </row>
    <row r="329" spans="1:8">
      <c r="A329" s="2"/>
      <c r="B329" s="2"/>
      <c r="C329" s="2"/>
      <c r="D329" s="2"/>
      <c r="E329" s="21"/>
      <c r="F329" s="2"/>
      <c r="G329" s="2"/>
      <c r="H329" s="26"/>
    </row>
    <row r="330" spans="1:8">
      <c r="A330" s="2"/>
      <c r="B330" s="2"/>
      <c r="C330" s="2"/>
      <c r="D330" s="2"/>
      <c r="E330" s="21"/>
      <c r="F330" s="2"/>
      <c r="G330" s="2"/>
      <c r="H330" s="26"/>
    </row>
    <row r="331" spans="1:8">
      <c r="A331" s="2"/>
      <c r="B331" s="2"/>
      <c r="C331" s="2"/>
      <c r="D331" s="2"/>
      <c r="E331" s="21"/>
      <c r="F331" s="2"/>
      <c r="G331" s="2"/>
      <c r="H331" s="26"/>
    </row>
    <row r="332" spans="1:8">
      <c r="A332" s="2"/>
      <c r="B332" s="2"/>
      <c r="C332" s="2"/>
      <c r="D332" s="2"/>
      <c r="E332" s="21"/>
      <c r="F332" s="2"/>
      <c r="G332" s="2"/>
      <c r="H332" s="26"/>
    </row>
    <row r="333" spans="1:8">
      <c r="A333" s="2"/>
      <c r="B333" s="2"/>
      <c r="C333" s="2"/>
      <c r="D333" s="2"/>
      <c r="E333" s="21"/>
      <c r="F333" s="2"/>
      <c r="G333" s="2"/>
      <c r="H333" s="26"/>
    </row>
    <row r="334" spans="1:8">
      <c r="A334" s="2"/>
      <c r="B334" s="2"/>
      <c r="C334" s="2"/>
      <c r="D334" s="2"/>
      <c r="E334" s="21"/>
      <c r="F334" s="2"/>
      <c r="G334" s="2"/>
      <c r="H334" s="26"/>
    </row>
    <row r="335" spans="1:8">
      <c r="A335" s="2"/>
      <c r="B335" s="2"/>
      <c r="C335" s="2"/>
      <c r="D335" s="2"/>
      <c r="E335" s="21"/>
      <c r="F335" s="2"/>
      <c r="G335" s="2"/>
      <c r="H335" s="26"/>
    </row>
    <row r="336" spans="1:8">
      <c r="A336" s="2"/>
      <c r="B336" s="2"/>
      <c r="C336" s="2"/>
      <c r="D336" s="2"/>
      <c r="E336" s="21"/>
      <c r="F336" s="2"/>
      <c r="G336" s="2"/>
      <c r="H336" s="26"/>
    </row>
    <row r="337" spans="1:8">
      <c r="A337" s="2"/>
      <c r="B337" s="2"/>
      <c r="C337" s="2"/>
      <c r="D337" s="2"/>
      <c r="E337" s="21"/>
      <c r="F337" s="2"/>
      <c r="G337" s="2"/>
      <c r="H337" s="26"/>
    </row>
    <row r="338" spans="1:8">
      <c r="A338" s="2"/>
      <c r="B338" s="2"/>
      <c r="C338" s="2"/>
      <c r="D338" s="2"/>
      <c r="E338" s="21"/>
      <c r="F338" s="2"/>
      <c r="G338" s="2"/>
      <c r="H338" s="26"/>
    </row>
    <row r="339" spans="1:8">
      <c r="A339" s="2"/>
      <c r="B339" s="2"/>
      <c r="C339" s="2"/>
      <c r="D339" s="2"/>
      <c r="E339" s="21"/>
      <c r="F339" s="2"/>
      <c r="G339" s="2"/>
      <c r="H339" s="26"/>
    </row>
    <row r="340" spans="1:8">
      <c r="A340" s="2"/>
      <c r="B340" s="2"/>
      <c r="C340" s="2"/>
      <c r="D340" s="2"/>
      <c r="E340" s="21"/>
      <c r="F340" s="2"/>
      <c r="G340" s="2"/>
      <c r="H340" s="26"/>
    </row>
    <row r="341" spans="1:8">
      <c r="A341" s="2"/>
      <c r="B341" s="2"/>
      <c r="C341" s="2"/>
      <c r="D341" s="2"/>
      <c r="E341" s="21"/>
      <c r="F341" s="2"/>
      <c r="G341" s="2"/>
      <c r="H341" s="26"/>
    </row>
    <row r="342" spans="1:8">
      <c r="A342" s="2"/>
      <c r="B342" s="2"/>
      <c r="C342" s="2"/>
      <c r="D342" s="2"/>
      <c r="E342" s="21"/>
      <c r="F342" s="2"/>
      <c r="G342" s="2"/>
      <c r="H342" s="26"/>
    </row>
    <row r="343" spans="1:8">
      <c r="A343" s="2"/>
      <c r="B343" s="2"/>
      <c r="C343" s="2"/>
      <c r="D343" s="2"/>
      <c r="E343" s="21"/>
      <c r="F343" s="2"/>
      <c r="G343" s="2"/>
      <c r="H343" s="26"/>
    </row>
    <row r="344" spans="1:8">
      <c r="A344" s="2"/>
      <c r="B344" s="2"/>
      <c r="C344" s="2"/>
      <c r="D344" s="2"/>
      <c r="E344" s="21"/>
      <c r="F344" s="2"/>
      <c r="G344" s="2"/>
      <c r="H344" s="26"/>
    </row>
    <row r="345" spans="1:8">
      <c r="A345" s="2"/>
      <c r="B345" s="2"/>
      <c r="C345" s="2"/>
      <c r="D345" s="2"/>
      <c r="E345" s="21"/>
      <c r="F345" s="2"/>
      <c r="G345" s="2"/>
      <c r="H345" s="26"/>
    </row>
    <row r="346" spans="1:8">
      <c r="A346" s="2"/>
      <c r="B346" s="2"/>
      <c r="C346" s="2"/>
      <c r="D346" s="2"/>
      <c r="E346" s="21"/>
      <c r="F346" s="2"/>
      <c r="G346" s="2"/>
      <c r="H346" s="26"/>
    </row>
    <row r="347" spans="1:8">
      <c r="A347" s="2"/>
      <c r="B347" s="2"/>
      <c r="C347" s="2"/>
      <c r="D347" s="2"/>
      <c r="E347" s="21"/>
      <c r="F347" s="2"/>
      <c r="G347" s="2"/>
      <c r="H347" s="26"/>
    </row>
    <row r="348" spans="1:8">
      <c r="A348" s="2"/>
      <c r="B348" s="2"/>
      <c r="C348" s="2"/>
      <c r="D348" s="2"/>
      <c r="E348" s="21"/>
      <c r="F348" s="2"/>
      <c r="G348" s="2"/>
      <c r="H348" s="26"/>
    </row>
    <row r="349" spans="1:8">
      <c r="A349" s="2"/>
      <c r="B349" s="2"/>
      <c r="C349" s="2"/>
      <c r="D349" s="2"/>
      <c r="E349" s="21"/>
      <c r="F349" s="2"/>
      <c r="G349" s="2"/>
      <c r="H349" s="26"/>
    </row>
    <row r="350" spans="1:8">
      <c r="A350" s="2"/>
      <c r="B350" s="2"/>
      <c r="C350" s="2"/>
      <c r="D350" s="2"/>
      <c r="E350" s="21"/>
      <c r="F350" s="2"/>
      <c r="G350" s="2"/>
      <c r="H350" s="26"/>
    </row>
    <row r="351" spans="1:8">
      <c r="A351" s="2"/>
      <c r="B351" s="2"/>
      <c r="C351" s="2"/>
      <c r="D351" s="2"/>
      <c r="E351" s="21"/>
      <c r="F351" s="2"/>
      <c r="G351" s="2"/>
      <c r="H351" s="26"/>
    </row>
    <row r="352" spans="1:8">
      <c r="A352" s="2"/>
      <c r="B352" s="2"/>
      <c r="C352" s="2"/>
      <c r="D352" s="2"/>
      <c r="E352" s="21"/>
      <c r="F352" s="2"/>
      <c r="G352" s="2"/>
      <c r="H352" s="26"/>
    </row>
    <row r="353" spans="1:8">
      <c r="A353" s="2"/>
      <c r="B353" s="2"/>
      <c r="C353" s="2"/>
      <c r="D353" s="2"/>
      <c r="E353" s="21"/>
      <c r="F353" s="2"/>
      <c r="G353" s="2"/>
      <c r="H353" s="26"/>
    </row>
    <row r="354" spans="1:8">
      <c r="A354" s="2"/>
      <c r="B354" s="2"/>
      <c r="C354" s="2"/>
      <c r="D354" s="2"/>
      <c r="E354" s="21"/>
      <c r="F354" s="2"/>
      <c r="G354" s="2"/>
      <c r="H354" s="26"/>
    </row>
    <row r="355" spans="1:8">
      <c r="A355" s="2"/>
      <c r="B355" s="2"/>
      <c r="C355" s="2"/>
      <c r="D355" s="2"/>
      <c r="E355" s="21"/>
      <c r="F355" s="2"/>
      <c r="G355" s="2"/>
      <c r="H355" s="26"/>
    </row>
    <row r="356" spans="1:8">
      <c r="A356" s="2"/>
      <c r="B356" s="2"/>
      <c r="C356" s="2"/>
      <c r="D356" s="2"/>
      <c r="E356" s="21"/>
      <c r="F356" s="2"/>
      <c r="G356" s="2"/>
      <c r="H356" s="26"/>
    </row>
    <row r="357" spans="1:8">
      <c r="A357" s="2"/>
      <c r="B357" s="2"/>
      <c r="C357" s="2"/>
      <c r="D357" s="2"/>
      <c r="E357" s="21"/>
      <c r="F357" s="2"/>
      <c r="G357" s="2"/>
      <c r="H357" s="26"/>
    </row>
    <row r="358" spans="1:8">
      <c r="A358" s="2"/>
      <c r="B358" s="2"/>
      <c r="C358" s="2"/>
      <c r="D358" s="2"/>
      <c r="E358" s="21"/>
      <c r="F358" s="2"/>
      <c r="G358" s="2"/>
      <c r="H358" s="26"/>
    </row>
    <row r="359" spans="1:8">
      <c r="A359" s="2"/>
      <c r="B359" s="2"/>
      <c r="C359" s="2"/>
      <c r="D359" s="2"/>
      <c r="E359" s="21"/>
      <c r="F359" s="2"/>
      <c r="G359" s="2"/>
      <c r="H359" s="26"/>
    </row>
    <row r="360" spans="1:8">
      <c r="A360" s="2"/>
      <c r="B360" s="2"/>
      <c r="C360" s="2"/>
      <c r="D360" s="2"/>
      <c r="E360" s="21"/>
      <c r="F360" s="2"/>
      <c r="G360" s="2"/>
      <c r="H360" s="26"/>
    </row>
    <row r="361" spans="1:8">
      <c r="A361" s="2"/>
      <c r="B361" s="2"/>
      <c r="C361" s="2"/>
      <c r="D361" s="2"/>
      <c r="E361" s="21"/>
      <c r="F361" s="2"/>
      <c r="G361" s="2"/>
      <c r="H361" s="26"/>
    </row>
    <row r="362" spans="1:8">
      <c r="A362" s="2"/>
      <c r="B362" s="2"/>
      <c r="C362" s="2"/>
      <c r="D362" s="2"/>
      <c r="E362" s="21"/>
      <c r="F362" s="2"/>
      <c r="G362" s="2"/>
      <c r="H362" s="26"/>
    </row>
    <row r="363" spans="1:8">
      <c r="A363" s="2"/>
      <c r="B363" s="2"/>
      <c r="C363" s="2"/>
      <c r="D363" s="2"/>
      <c r="E363" s="21"/>
      <c r="F363" s="2"/>
      <c r="G363" s="2"/>
      <c r="H363" s="26"/>
    </row>
    <row r="364" spans="1:8">
      <c r="A364" s="2"/>
      <c r="B364" s="2"/>
      <c r="C364" s="2"/>
      <c r="D364" s="2"/>
      <c r="E364" s="21"/>
      <c r="F364" s="2"/>
      <c r="G364" s="2"/>
      <c r="H364" s="26"/>
    </row>
    <row r="365" spans="1:8">
      <c r="A365" s="2"/>
      <c r="B365" s="2"/>
      <c r="C365" s="2"/>
      <c r="D365" s="2"/>
      <c r="E365" s="21"/>
      <c r="F365" s="2"/>
      <c r="G365" s="2"/>
      <c r="H365" s="26"/>
    </row>
    <row r="366" spans="1:8">
      <c r="A366" s="2"/>
      <c r="B366" s="2"/>
      <c r="C366" s="2"/>
      <c r="D366" s="2"/>
      <c r="E366" s="21"/>
      <c r="F366" s="2"/>
      <c r="G366" s="2"/>
      <c r="H366" s="26"/>
    </row>
    <row r="367" spans="1:8">
      <c r="A367" s="2"/>
      <c r="B367" s="2"/>
      <c r="C367" s="2"/>
      <c r="D367" s="2"/>
      <c r="E367" s="21"/>
      <c r="F367" s="2"/>
      <c r="G367" s="2"/>
      <c r="H367" s="26"/>
    </row>
    <row r="368" spans="1:8">
      <c r="A368" s="2"/>
      <c r="B368" s="2"/>
      <c r="C368" s="2"/>
      <c r="D368" s="2"/>
      <c r="E368" s="21"/>
      <c r="F368" s="2"/>
      <c r="G368" s="2"/>
      <c r="H368" s="26"/>
    </row>
    <row r="369" spans="1:8">
      <c r="A369" s="2"/>
      <c r="B369" s="2"/>
      <c r="C369" s="2"/>
      <c r="D369" s="2"/>
      <c r="E369" s="21"/>
      <c r="F369" s="2"/>
      <c r="G369" s="2"/>
      <c r="H369" s="26"/>
    </row>
    <row r="370" spans="1:8">
      <c r="A370" s="2"/>
      <c r="B370" s="2"/>
      <c r="C370" s="2"/>
      <c r="D370" s="2"/>
      <c r="E370" s="21"/>
      <c r="F370" s="2"/>
      <c r="G370" s="2"/>
      <c r="H370" s="26"/>
    </row>
    <row r="371" spans="1:8">
      <c r="A371" s="2"/>
      <c r="B371" s="2"/>
      <c r="C371" s="2"/>
      <c r="D371" s="2"/>
      <c r="E371" s="21"/>
      <c r="F371" s="2"/>
      <c r="G371" s="2"/>
      <c r="H371" s="26"/>
    </row>
    <row r="372" spans="1:8">
      <c r="A372" s="2"/>
      <c r="B372" s="2"/>
      <c r="C372" s="2"/>
      <c r="D372" s="2"/>
      <c r="E372" s="21"/>
      <c r="F372" s="2"/>
      <c r="G372" s="2"/>
      <c r="H372" s="26"/>
    </row>
    <row r="373" spans="1:8">
      <c r="A373" s="2"/>
      <c r="B373" s="2"/>
      <c r="C373" s="2"/>
      <c r="D373" s="2"/>
      <c r="E373" s="21"/>
      <c r="F373" s="2"/>
      <c r="G373" s="2"/>
      <c r="H373" s="26"/>
    </row>
    <row r="374" spans="1:8">
      <c r="A374" s="2"/>
      <c r="B374" s="2"/>
      <c r="C374" s="2"/>
      <c r="D374" s="2"/>
      <c r="E374" s="21"/>
      <c r="F374" s="2"/>
      <c r="G374" s="2"/>
      <c r="H374" s="26"/>
    </row>
    <row r="375" spans="1:8">
      <c r="A375" s="2"/>
      <c r="B375" s="2"/>
      <c r="C375" s="2"/>
      <c r="D375" s="2"/>
      <c r="E375" s="21"/>
      <c r="F375" s="2"/>
      <c r="G375" s="2"/>
      <c r="H375" s="26"/>
    </row>
    <row r="376" spans="1:8">
      <c r="A376" s="2"/>
      <c r="B376" s="2"/>
      <c r="C376" s="2"/>
      <c r="D376" s="2"/>
      <c r="E376" s="21"/>
      <c r="F376" s="2"/>
      <c r="G376" s="2"/>
      <c r="H376" s="26"/>
    </row>
    <row r="377" spans="1:8">
      <c r="A377" s="2"/>
      <c r="B377" s="2"/>
      <c r="C377" s="2"/>
      <c r="D377" s="2"/>
      <c r="E377" s="21"/>
      <c r="F377" s="2"/>
      <c r="G377" s="2"/>
      <c r="H377" s="26"/>
    </row>
    <row r="378" spans="1:8">
      <c r="A378" s="2"/>
      <c r="B378" s="2"/>
      <c r="C378" s="2"/>
      <c r="D378" s="2"/>
      <c r="E378" s="21"/>
      <c r="F378" s="2"/>
      <c r="G378" s="2"/>
      <c r="H378" s="26"/>
    </row>
    <row r="379" spans="1:8">
      <c r="A379" s="2"/>
      <c r="B379" s="2"/>
      <c r="C379" s="2"/>
      <c r="D379" s="2"/>
      <c r="E379" s="21"/>
      <c r="F379" s="2"/>
      <c r="G379" s="2"/>
      <c r="H379" s="26"/>
    </row>
    <row r="380" spans="1:8">
      <c r="A380" s="2"/>
      <c r="B380" s="2"/>
      <c r="C380" s="2"/>
      <c r="D380" s="2"/>
      <c r="E380" s="21"/>
      <c r="F380" s="2"/>
      <c r="G380" s="2"/>
      <c r="H380" s="26"/>
    </row>
    <row r="381" spans="1:8">
      <c r="A381" s="2"/>
      <c r="B381" s="2"/>
      <c r="C381" s="2"/>
      <c r="D381" s="2"/>
      <c r="E381" s="21"/>
      <c r="F381" s="2"/>
      <c r="G381" s="2"/>
      <c r="H381" s="26"/>
    </row>
    <row r="382" spans="1:8">
      <c r="A382" s="2"/>
      <c r="B382" s="2"/>
      <c r="C382" s="2"/>
      <c r="D382" s="2"/>
      <c r="E382" s="21"/>
      <c r="F382" s="2"/>
      <c r="G382" s="2"/>
      <c r="H382" s="26"/>
    </row>
    <row r="383" spans="1:8">
      <c r="A383" s="2"/>
      <c r="B383" s="2"/>
      <c r="C383" s="2"/>
      <c r="D383" s="2"/>
      <c r="E383" s="21"/>
      <c r="F383" s="2"/>
      <c r="G383" s="2"/>
      <c r="H383" s="26"/>
    </row>
    <row r="384" spans="1:8">
      <c r="A384" s="2"/>
      <c r="B384" s="2"/>
      <c r="C384" s="2"/>
      <c r="D384" s="2"/>
      <c r="E384" s="21"/>
      <c r="F384" s="2"/>
      <c r="G384" s="2"/>
      <c r="H384" s="26"/>
    </row>
    <row r="385" spans="1:8">
      <c r="A385" s="2"/>
      <c r="B385" s="2"/>
      <c r="C385" s="2"/>
      <c r="D385" s="2"/>
      <c r="E385" s="21"/>
      <c r="F385" s="2"/>
      <c r="G385" s="2"/>
      <c r="H385" s="26"/>
    </row>
    <row r="386" spans="1:8">
      <c r="A386" s="2"/>
      <c r="B386" s="2"/>
      <c r="C386" s="2"/>
      <c r="D386" s="2"/>
      <c r="E386" s="21"/>
      <c r="F386" s="2"/>
      <c r="G386" s="2"/>
      <c r="H386" s="26"/>
    </row>
    <row r="387" spans="1:8">
      <c r="A387" s="2"/>
      <c r="B387" s="2"/>
      <c r="C387" s="2"/>
      <c r="D387" s="2"/>
      <c r="E387" s="21"/>
      <c r="F387" s="2"/>
      <c r="G387" s="2"/>
      <c r="H387" s="26"/>
    </row>
    <row r="388" spans="1:8">
      <c r="A388" s="2"/>
      <c r="B388" s="2"/>
      <c r="C388" s="2"/>
      <c r="D388" s="2"/>
      <c r="E388" s="21"/>
      <c r="F388" s="2"/>
      <c r="G388" s="2"/>
      <c r="H388" s="26"/>
    </row>
    <row r="389" spans="1:8">
      <c r="A389" s="2"/>
      <c r="B389" s="2"/>
      <c r="C389" s="2"/>
      <c r="D389" s="2"/>
      <c r="E389" s="21"/>
      <c r="F389" s="2"/>
      <c r="G389" s="2"/>
      <c r="H389" s="26"/>
    </row>
    <row r="390" spans="1:8">
      <c r="A390" s="2"/>
      <c r="B390" s="2"/>
      <c r="C390" s="2"/>
      <c r="D390" s="2"/>
      <c r="E390" s="21"/>
      <c r="F390" s="2"/>
      <c r="G390" s="2"/>
      <c r="H390" s="26"/>
    </row>
    <row r="391" spans="1:8">
      <c r="A391" s="2"/>
      <c r="B391" s="2"/>
      <c r="C391" s="2"/>
      <c r="D391" s="2"/>
      <c r="E391" s="21"/>
      <c r="F391" s="2"/>
      <c r="G391" s="2"/>
      <c r="H391" s="26"/>
    </row>
    <row r="392" spans="1:8">
      <c r="A392" s="2"/>
      <c r="B392" s="2"/>
      <c r="C392" s="2"/>
      <c r="D392" s="2"/>
      <c r="E392" s="21"/>
      <c r="F392" s="2"/>
      <c r="G392" s="2"/>
      <c r="H392" s="26"/>
    </row>
    <row r="393" spans="1:8">
      <c r="A393" s="2"/>
      <c r="B393" s="2"/>
      <c r="C393" s="2"/>
      <c r="D393" s="2"/>
      <c r="E393" s="21"/>
      <c r="F393" s="2"/>
      <c r="G393" s="2"/>
      <c r="H393" s="26"/>
    </row>
    <row r="394" spans="1:8">
      <c r="A394" s="2"/>
      <c r="B394" s="2"/>
      <c r="C394" s="2"/>
      <c r="D394" s="2"/>
      <c r="E394" s="21"/>
      <c r="F394" s="2"/>
      <c r="G394" s="2"/>
      <c r="H394" s="26"/>
    </row>
    <row r="395" spans="1:8">
      <c r="A395" s="2"/>
      <c r="B395" s="2"/>
      <c r="C395" s="2"/>
      <c r="D395" s="2"/>
      <c r="E395" s="21"/>
      <c r="F395" s="2"/>
      <c r="G395" s="2"/>
      <c r="H395" s="26"/>
    </row>
    <row r="396" spans="1:8">
      <c r="A396" s="2"/>
      <c r="B396" s="2"/>
      <c r="C396" s="2"/>
      <c r="D396" s="2"/>
      <c r="E396" s="21"/>
      <c r="F396" s="2"/>
      <c r="G396" s="2"/>
      <c r="H396" s="26"/>
    </row>
    <row r="397" spans="1:8">
      <c r="A397" s="2"/>
      <c r="B397" s="2"/>
      <c r="C397" s="2"/>
      <c r="D397" s="2"/>
      <c r="E397" s="21"/>
      <c r="F397" s="2"/>
      <c r="G397" s="2"/>
      <c r="H397" s="26"/>
    </row>
    <row r="398" spans="1:8">
      <c r="A398" s="2"/>
      <c r="B398" s="2"/>
      <c r="C398" s="2"/>
      <c r="D398" s="2"/>
      <c r="E398" s="21"/>
      <c r="F398" s="2"/>
      <c r="G398" s="2"/>
      <c r="H398" s="26"/>
    </row>
    <row r="399" spans="1:8">
      <c r="A399" s="2"/>
      <c r="B399" s="2"/>
      <c r="C399" s="2"/>
      <c r="D399" s="2"/>
      <c r="E399" s="21"/>
      <c r="F399" s="2"/>
      <c r="G399" s="2"/>
      <c r="H399" s="26"/>
    </row>
    <row r="400" spans="1:8">
      <c r="A400" s="2"/>
      <c r="B400" s="2"/>
      <c r="C400" s="2"/>
      <c r="D400" s="2"/>
      <c r="E400" s="21"/>
      <c r="F400" s="2"/>
      <c r="G400" s="2"/>
      <c r="H400" s="26"/>
    </row>
    <row r="401" spans="1:8">
      <c r="A401" s="2"/>
      <c r="B401" s="2"/>
      <c r="C401" s="2"/>
      <c r="D401" s="2"/>
      <c r="E401" s="21"/>
      <c r="F401" s="2"/>
      <c r="G401" s="2"/>
      <c r="H401" s="26"/>
    </row>
    <row r="402" spans="1:8">
      <c r="A402" s="2"/>
      <c r="B402" s="2"/>
      <c r="C402" s="2"/>
      <c r="D402" s="2"/>
      <c r="E402" s="21"/>
      <c r="F402" s="2"/>
      <c r="G402" s="2"/>
      <c r="H402" s="26"/>
    </row>
    <row r="403" spans="1:8">
      <c r="A403" s="2"/>
      <c r="B403" s="2"/>
      <c r="C403" s="2"/>
      <c r="D403" s="2"/>
      <c r="E403" s="21"/>
      <c r="F403" s="2"/>
      <c r="G403" s="2"/>
      <c r="H403" s="26"/>
    </row>
    <row r="404" spans="1:8">
      <c r="A404" s="2"/>
      <c r="B404" s="2"/>
      <c r="C404" s="2"/>
      <c r="D404" s="2"/>
      <c r="E404" s="21"/>
      <c r="F404" s="2"/>
      <c r="G404" s="2"/>
      <c r="H404" s="26"/>
    </row>
    <row r="405" spans="1:8">
      <c r="A405" s="2"/>
      <c r="B405" s="2"/>
      <c r="C405" s="2"/>
      <c r="D405" s="2"/>
      <c r="E405" s="21"/>
      <c r="F405" s="2"/>
      <c r="G405" s="2"/>
      <c r="H405" s="26"/>
    </row>
    <row r="406" spans="1:8">
      <c r="A406" s="2"/>
      <c r="B406" s="2"/>
      <c r="C406" s="2"/>
      <c r="D406" s="2"/>
      <c r="E406" s="21"/>
      <c r="F406" s="2"/>
      <c r="G406" s="2"/>
      <c r="H406" s="26"/>
    </row>
    <row r="407" spans="1:8">
      <c r="A407" s="2"/>
      <c r="B407" s="2"/>
      <c r="C407" s="2"/>
      <c r="D407" s="2"/>
      <c r="E407" s="21"/>
      <c r="F407" s="2"/>
      <c r="G407" s="2"/>
      <c r="H407" s="26"/>
    </row>
    <row r="408" spans="1:8">
      <c r="A408" s="2"/>
      <c r="B408" s="2"/>
      <c r="C408" s="2"/>
      <c r="D408" s="2"/>
      <c r="E408" s="21"/>
      <c r="F408" s="2"/>
      <c r="G408" s="2"/>
      <c r="H408" s="26"/>
    </row>
    <row r="409" spans="1:8">
      <c r="A409" s="2"/>
      <c r="B409" s="2"/>
      <c r="C409" s="2"/>
      <c r="D409" s="2"/>
      <c r="E409" s="21"/>
      <c r="F409" s="2"/>
      <c r="G409" s="2"/>
      <c r="H409" s="26"/>
    </row>
    <row r="410" spans="1:8">
      <c r="A410" s="2"/>
      <c r="B410" s="2"/>
      <c r="C410" s="2"/>
      <c r="D410" s="2"/>
      <c r="E410" s="21"/>
      <c r="F410" s="2"/>
      <c r="G410" s="2"/>
      <c r="H410" s="26"/>
    </row>
    <row r="411" spans="1:8">
      <c r="A411" s="2"/>
      <c r="B411" s="2"/>
      <c r="C411" s="2"/>
      <c r="D411" s="2"/>
      <c r="E411" s="21"/>
      <c r="F411" s="2"/>
      <c r="G411" s="2"/>
      <c r="H411" s="26"/>
    </row>
    <row r="412" spans="1:8">
      <c r="A412" s="2"/>
      <c r="B412" s="2"/>
      <c r="C412" s="2"/>
      <c r="D412" s="2"/>
      <c r="E412" s="21"/>
      <c r="F412" s="2"/>
      <c r="G412" s="2"/>
      <c r="H412" s="26"/>
    </row>
    <row r="413" spans="1:8">
      <c r="A413" s="2"/>
      <c r="B413" s="2"/>
      <c r="C413" s="2"/>
      <c r="D413" s="2"/>
      <c r="E413" s="21"/>
      <c r="F413" s="2"/>
      <c r="G413" s="2"/>
      <c r="H413" s="26"/>
    </row>
    <row r="414" spans="1:8">
      <c r="A414" s="2"/>
      <c r="B414" s="2"/>
      <c r="C414" s="2"/>
      <c r="D414" s="2"/>
      <c r="E414" s="21"/>
      <c r="F414" s="2"/>
      <c r="G414" s="2"/>
      <c r="H414" s="26"/>
    </row>
    <row r="415" spans="1:8">
      <c r="A415" s="2"/>
      <c r="B415" s="2"/>
      <c r="C415" s="2"/>
      <c r="D415" s="2"/>
      <c r="E415" s="21"/>
      <c r="F415" s="2"/>
      <c r="G415" s="2"/>
      <c r="H415" s="26"/>
    </row>
    <row r="416" spans="1:8">
      <c r="A416" s="2"/>
      <c r="B416" s="2"/>
      <c r="C416" s="2"/>
      <c r="D416" s="2"/>
      <c r="E416" s="21"/>
      <c r="F416" s="2"/>
      <c r="G416" s="2"/>
      <c r="H416" s="26"/>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H132"/>
  <sheetViews>
    <sheetView showGridLines="0" topLeftCell="A100" workbookViewId="0">
      <selection sqref="A1:K1"/>
    </sheetView>
  </sheetViews>
  <sheetFormatPr defaultColWidth="9.109375" defaultRowHeight="14.4"/>
  <cols>
    <col min="1" max="6" width="9.109375" style="7"/>
    <col min="7" max="7" width="16.6640625" style="7" bestFit="1" customWidth="1"/>
    <col min="8" max="8" width="11.88671875" style="7" bestFit="1" customWidth="1"/>
    <col min="9" max="16384" width="9.109375" style="7"/>
  </cols>
  <sheetData>
    <row r="1" spans="1:8">
      <c r="A1" s="7" t="s">
        <v>2</v>
      </c>
      <c r="B1" s="7" t="s">
        <v>0</v>
      </c>
      <c r="C1" s="7" t="s">
        <v>3</v>
      </c>
      <c r="D1" s="7" t="s">
        <v>4</v>
      </c>
      <c r="E1" s="10" t="s">
        <v>5</v>
      </c>
      <c r="F1" s="7" t="s">
        <v>6</v>
      </c>
      <c r="G1" s="7" t="s">
        <v>7</v>
      </c>
      <c r="H1" s="28" t="s">
        <v>8</v>
      </c>
    </row>
    <row r="2" spans="1:8">
      <c r="E2" s="10"/>
      <c r="H2" s="28"/>
    </row>
    <row r="3" spans="1:8">
      <c r="E3" s="10"/>
      <c r="H3" s="28"/>
    </row>
    <row r="4" spans="1:8">
      <c r="E4" s="10"/>
      <c r="H4" s="28"/>
    </row>
    <row r="5" spans="1:8">
      <c r="E5" s="10"/>
      <c r="H5" s="28"/>
    </row>
    <row r="6" spans="1:8">
      <c r="E6" s="10"/>
      <c r="H6" s="28"/>
    </row>
    <row r="7" spans="1:8">
      <c r="E7" s="10"/>
      <c r="H7" s="28"/>
    </row>
    <row r="8" spans="1:8">
      <c r="E8" s="10"/>
      <c r="H8" s="28"/>
    </row>
    <row r="9" spans="1:8">
      <c r="E9" s="10"/>
      <c r="H9" s="28"/>
    </row>
    <row r="10" spans="1:8">
      <c r="E10" s="10"/>
      <c r="H10" s="28"/>
    </row>
    <row r="11" spans="1:8">
      <c r="E11" s="10"/>
      <c r="H11" s="28"/>
    </row>
    <row r="12" spans="1:8">
      <c r="E12" s="10"/>
      <c r="H12" s="28"/>
    </row>
    <row r="13" spans="1:8">
      <c r="E13" s="10"/>
      <c r="H13" s="28"/>
    </row>
    <row r="14" spans="1:8">
      <c r="E14" s="10"/>
      <c r="H14" s="28"/>
    </row>
    <row r="15" spans="1:8">
      <c r="E15" s="10"/>
      <c r="H15" s="28"/>
    </row>
    <row r="16" spans="1:8">
      <c r="E16" s="10"/>
      <c r="H16" s="28"/>
    </row>
    <row r="17" spans="5:8">
      <c r="E17" s="10"/>
      <c r="H17" s="28"/>
    </row>
    <row r="18" spans="5:8">
      <c r="E18" s="10"/>
      <c r="H18" s="28"/>
    </row>
    <row r="19" spans="5:8">
      <c r="E19" s="10"/>
      <c r="H19" s="28"/>
    </row>
    <row r="20" spans="5:8">
      <c r="E20" s="10"/>
      <c r="H20" s="28"/>
    </row>
    <row r="21" spans="5:8">
      <c r="E21" s="10"/>
      <c r="H21" s="28"/>
    </row>
    <row r="22" spans="5:8">
      <c r="E22" s="10"/>
      <c r="H22" s="28"/>
    </row>
    <row r="23" spans="5:8">
      <c r="E23" s="10"/>
      <c r="H23" s="28"/>
    </row>
    <row r="24" spans="5:8">
      <c r="E24" s="10"/>
      <c r="H24" s="28"/>
    </row>
    <row r="25" spans="5:8">
      <c r="E25" s="10"/>
      <c r="H25" s="28"/>
    </row>
    <row r="26" spans="5:8">
      <c r="E26" s="10"/>
      <c r="H26" s="28"/>
    </row>
    <row r="27" spans="5:8">
      <c r="E27" s="10"/>
      <c r="H27" s="28"/>
    </row>
    <row r="28" spans="5:8">
      <c r="E28" s="10"/>
      <c r="H28" s="28"/>
    </row>
    <row r="29" spans="5:8">
      <c r="E29" s="10"/>
      <c r="H29" s="28"/>
    </row>
    <row r="30" spans="5:8">
      <c r="E30" s="10"/>
      <c r="H30" s="28"/>
    </row>
    <row r="31" spans="5:8">
      <c r="E31" s="10"/>
      <c r="H31" s="28"/>
    </row>
    <row r="32" spans="5:8">
      <c r="E32" s="10"/>
      <c r="H32" s="28"/>
    </row>
    <row r="33" spans="5:8">
      <c r="E33" s="10"/>
      <c r="H33" s="28"/>
    </row>
    <row r="34" spans="5:8">
      <c r="E34" s="10"/>
      <c r="H34" s="28"/>
    </row>
    <row r="35" spans="5:8">
      <c r="E35" s="10"/>
      <c r="H35" s="28"/>
    </row>
    <row r="36" spans="5:8">
      <c r="E36" s="10"/>
      <c r="H36" s="28"/>
    </row>
    <row r="37" spans="5:8">
      <c r="E37" s="10"/>
      <c r="H37" s="28"/>
    </row>
    <row r="38" spans="5:8">
      <c r="E38" s="10"/>
      <c r="H38" s="28"/>
    </row>
    <row r="39" spans="5:8">
      <c r="E39" s="10"/>
      <c r="H39" s="28"/>
    </row>
    <row r="40" spans="5:8">
      <c r="E40" s="10"/>
      <c r="H40" s="28"/>
    </row>
    <row r="41" spans="5:8">
      <c r="E41" s="10"/>
      <c r="H41" s="28"/>
    </row>
    <row r="42" spans="5:8">
      <c r="E42" s="10"/>
      <c r="H42" s="28"/>
    </row>
    <row r="43" spans="5:8">
      <c r="E43" s="10"/>
      <c r="H43" s="28"/>
    </row>
    <row r="44" spans="5:8">
      <c r="E44" s="10"/>
      <c r="H44" s="28"/>
    </row>
    <row r="45" spans="5:8">
      <c r="E45" s="10"/>
      <c r="H45" s="28"/>
    </row>
    <row r="46" spans="5:8">
      <c r="E46" s="10"/>
      <c r="H46" s="28"/>
    </row>
    <row r="47" spans="5:8">
      <c r="E47" s="10"/>
      <c r="H47" s="28"/>
    </row>
    <row r="48" spans="5:8">
      <c r="E48" s="10"/>
      <c r="H48" s="28"/>
    </row>
    <row r="49" spans="5:8">
      <c r="E49" s="10"/>
      <c r="H49" s="28"/>
    </row>
    <row r="50" spans="5:8">
      <c r="E50" s="10"/>
      <c r="H50" s="28"/>
    </row>
    <row r="51" spans="5:8">
      <c r="E51" s="10"/>
      <c r="H51" s="28"/>
    </row>
    <row r="52" spans="5:8">
      <c r="E52" s="10"/>
      <c r="H52" s="28"/>
    </row>
    <row r="53" spans="5:8">
      <c r="E53" s="10"/>
      <c r="H53" s="28"/>
    </row>
    <row r="54" spans="5:8">
      <c r="E54" s="10"/>
      <c r="H54" s="28"/>
    </row>
    <row r="55" spans="5:8">
      <c r="E55" s="10"/>
      <c r="H55" s="28"/>
    </row>
    <row r="56" spans="5:8">
      <c r="E56" s="10"/>
      <c r="H56" s="28"/>
    </row>
    <row r="57" spans="5:8">
      <c r="E57" s="10"/>
      <c r="H57" s="28"/>
    </row>
    <row r="58" spans="5:8">
      <c r="E58" s="10"/>
      <c r="H58" s="28"/>
    </row>
    <row r="59" spans="5:8">
      <c r="E59" s="10"/>
      <c r="H59" s="28"/>
    </row>
    <row r="60" spans="5:8">
      <c r="E60" s="10"/>
      <c r="H60" s="28"/>
    </row>
    <row r="61" spans="5:8">
      <c r="E61" s="10"/>
      <c r="H61" s="28"/>
    </row>
    <row r="62" spans="5:8">
      <c r="E62" s="10"/>
      <c r="H62" s="28"/>
    </row>
    <row r="63" spans="5:8">
      <c r="E63" s="10"/>
      <c r="H63" s="28"/>
    </row>
    <row r="64" spans="5:8">
      <c r="E64" s="10"/>
      <c r="H64" s="28"/>
    </row>
    <row r="65" spans="5:8">
      <c r="E65" s="10"/>
      <c r="H65" s="28"/>
    </row>
    <row r="66" spans="5:8">
      <c r="E66" s="10"/>
      <c r="H66" s="28"/>
    </row>
    <row r="67" spans="5:8">
      <c r="E67" s="10"/>
      <c r="H67" s="28"/>
    </row>
    <row r="68" spans="5:8">
      <c r="E68" s="10"/>
      <c r="H68" s="28"/>
    </row>
    <row r="69" spans="5:8">
      <c r="E69" s="10"/>
      <c r="H69" s="28"/>
    </row>
    <row r="70" spans="5:8">
      <c r="E70" s="10"/>
      <c r="H70" s="28"/>
    </row>
    <row r="71" spans="5:8">
      <c r="E71" s="10"/>
      <c r="H71" s="28"/>
    </row>
    <row r="72" spans="5:8">
      <c r="E72" s="10"/>
      <c r="H72" s="28"/>
    </row>
    <row r="73" spans="5:8">
      <c r="E73" s="10"/>
      <c r="H73" s="28"/>
    </row>
    <row r="74" spans="5:8">
      <c r="E74" s="10"/>
      <c r="H74" s="28"/>
    </row>
    <row r="75" spans="5:8">
      <c r="E75" s="10"/>
      <c r="H75" s="28"/>
    </row>
    <row r="76" spans="5:8">
      <c r="E76" s="10"/>
      <c r="H76" s="28"/>
    </row>
    <row r="77" spans="5:8">
      <c r="E77" s="10"/>
      <c r="H77" s="28"/>
    </row>
    <row r="78" spans="5:8">
      <c r="E78" s="10"/>
      <c r="H78" s="28"/>
    </row>
    <row r="79" spans="5:8">
      <c r="E79" s="10"/>
      <c r="H79" s="28"/>
    </row>
    <row r="80" spans="5:8">
      <c r="E80" s="10"/>
      <c r="H80" s="28"/>
    </row>
    <row r="81" spans="5:8">
      <c r="E81" s="10"/>
      <c r="H81" s="28"/>
    </row>
    <row r="82" spans="5:8">
      <c r="E82" s="10"/>
      <c r="H82" s="28"/>
    </row>
    <row r="83" spans="5:8">
      <c r="E83" s="10"/>
      <c r="H83" s="28"/>
    </row>
    <row r="84" spans="5:8">
      <c r="E84" s="10"/>
      <c r="H84" s="28"/>
    </row>
    <row r="85" spans="5:8">
      <c r="E85" s="10"/>
      <c r="H85" s="28"/>
    </row>
    <row r="86" spans="5:8">
      <c r="E86" s="10"/>
      <c r="H86" s="28"/>
    </row>
    <row r="87" spans="5:8">
      <c r="E87" s="10"/>
      <c r="H87" s="28"/>
    </row>
    <row r="88" spans="5:8">
      <c r="E88" s="10"/>
      <c r="H88" s="28"/>
    </row>
    <row r="89" spans="5:8">
      <c r="E89" s="10"/>
      <c r="H89" s="28"/>
    </row>
    <row r="90" spans="5:8">
      <c r="E90" s="10"/>
      <c r="H90" s="28"/>
    </row>
    <row r="91" spans="5:8">
      <c r="E91" s="10"/>
      <c r="H91" s="28"/>
    </row>
    <row r="92" spans="5:8">
      <c r="E92" s="10"/>
      <c r="H92" s="28"/>
    </row>
    <row r="93" spans="5:8">
      <c r="E93" s="10"/>
      <c r="H93" s="28"/>
    </row>
    <row r="94" spans="5:8">
      <c r="E94" s="10"/>
      <c r="H94" s="28"/>
    </row>
    <row r="95" spans="5:8">
      <c r="E95" s="10"/>
      <c r="H95" s="28"/>
    </row>
    <row r="96" spans="5:8">
      <c r="E96" s="10"/>
      <c r="H96" s="28"/>
    </row>
    <row r="97" spans="5:8">
      <c r="E97" s="10"/>
      <c r="H97" s="28"/>
    </row>
    <row r="98" spans="5:8">
      <c r="E98" s="10"/>
      <c r="H98" s="28"/>
    </row>
    <row r="99" spans="5:8">
      <c r="E99" s="10"/>
      <c r="H99" s="28"/>
    </row>
    <row r="100" spans="5:8">
      <c r="E100" s="10"/>
      <c r="H100" s="28"/>
    </row>
    <row r="101" spans="5:8">
      <c r="E101" s="10"/>
      <c r="H101" s="28"/>
    </row>
    <row r="102" spans="5:8">
      <c r="E102" s="10"/>
      <c r="H102" s="28"/>
    </row>
    <row r="103" spans="5:8">
      <c r="E103" s="10"/>
      <c r="H103" s="28"/>
    </row>
    <row r="104" spans="5:8">
      <c r="E104" s="10"/>
      <c r="H104" s="28"/>
    </row>
    <row r="105" spans="5:8">
      <c r="E105" s="10"/>
      <c r="H105" s="28"/>
    </row>
    <row r="106" spans="5:8">
      <c r="E106" s="10"/>
      <c r="H106" s="28"/>
    </row>
    <row r="107" spans="5:8">
      <c r="E107" s="10"/>
      <c r="H107" s="28"/>
    </row>
    <row r="108" spans="5:8">
      <c r="E108" s="10"/>
      <c r="H108" s="28"/>
    </row>
    <row r="109" spans="5:8">
      <c r="E109" s="10"/>
      <c r="H109" s="28"/>
    </row>
    <row r="110" spans="5:8">
      <c r="E110" s="10"/>
      <c r="H110" s="28"/>
    </row>
    <row r="111" spans="5:8">
      <c r="E111" s="10"/>
      <c r="H111" s="28"/>
    </row>
    <row r="112" spans="5:8">
      <c r="E112" s="10"/>
      <c r="H112" s="28"/>
    </row>
    <row r="113" spans="5:8">
      <c r="E113" s="10"/>
      <c r="H113" s="28"/>
    </row>
    <row r="114" spans="5:8">
      <c r="E114" s="10"/>
      <c r="H114" s="28"/>
    </row>
    <row r="115" spans="5:8">
      <c r="E115" s="10"/>
      <c r="H115" s="28"/>
    </row>
    <row r="116" spans="5:8">
      <c r="E116" s="10"/>
      <c r="H116" s="28"/>
    </row>
    <row r="117" spans="5:8">
      <c r="E117" s="10"/>
      <c r="H117" s="28"/>
    </row>
    <row r="118" spans="5:8">
      <c r="E118" s="10"/>
      <c r="H118" s="28"/>
    </row>
    <row r="119" spans="5:8">
      <c r="E119" s="10"/>
      <c r="H119" s="28"/>
    </row>
    <row r="120" spans="5:8">
      <c r="E120" s="10"/>
      <c r="H120" s="28"/>
    </row>
    <row r="121" spans="5:8">
      <c r="E121" s="10"/>
      <c r="H121" s="28"/>
    </row>
    <row r="122" spans="5:8">
      <c r="E122" s="10"/>
      <c r="H122" s="28"/>
    </row>
    <row r="123" spans="5:8">
      <c r="E123" s="10"/>
      <c r="H123" s="28"/>
    </row>
    <row r="124" spans="5:8">
      <c r="E124" s="10"/>
      <c r="H124" s="28"/>
    </row>
    <row r="125" spans="5:8">
      <c r="E125" s="10"/>
      <c r="H125" s="28"/>
    </row>
    <row r="126" spans="5:8">
      <c r="E126" s="10"/>
      <c r="H126" s="28"/>
    </row>
    <row r="127" spans="5:8">
      <c r="E127" s="10"/>
      <c r="H127" s="28"/>
    </row>
    <row r="128" spans="5:8">
      <c r="E128" s="10"/>
      <c r="H128" s="28"/>
    </row>
    <row r="129" spans="5:8">
      <c r="E129" s="10"/>
      <c r="H129" s="28"/>
    </row>
    <row r="130" spans="5:8">
      <c r="E130" s="10"/>
      <c r="H130" s="28"/>
    </row>
    <row r="131" spans="5:8">
      <c r="E131" s="10"/>
      <c r="H131" s="28"/>
    </row>
    <row r="132" spans="5:8">
      <c r="E132" s="10"/>
      <c r="H132" s="2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31"/>
  <sheetViews>
    <sheetView showGridLines="0" workbookViewId="0">
      <selection sqref="A1:D31"/>
    </sheetView>
  </sheetViews>
  <sheetFormatPr defaultColWidth="9.109375" defaultRowHeight="14.4"/>
  <cols>
    <col min="1" max="1" width="22.6640625" style="1" customWidth="1"/>
    <col min="2" max="3" width="12.5546875" style="6" customWidth="1"/>
    <col min="4" max="4" width="15.44140625" style="6" bestFit="1" customWidth="1"/>
    <col min="5" max="16384" width="9.109375" style="6"/>
  </cols>
  <sheetData>
    <row r="1" spans="1:4">
      <c r="A1" s="3" t="s">
        <v>0</v>
      </c>
      <c r="B1" s="19" t="s">
        <v>9</v>
      </c>
      <c r="C1" s="19" t="s">
        <v>43</v>
      </c>
      <c r="D1" s="19" t="s">
        <v>44</v>
      </c>
    </row>
    <row r="2" spans="1:4">
      <c r="A2" s="2" t="s">
        <v>63</v>
      </c>
      <c r="B2" s="19">
        <v>0</v>
      </c>
      <c r="C2" s="19">
        <v>0</v>
      </c>
      <c r="D2" s="19">
        <v>0</v>
      </c>
    </row>
    <row r="3" spans="1:4">
      <c r="A3" s="2" t="s">
        <v>64</v>
      </c>
      <c r="B3" s="19">
        <v>0</v>
      </c>
      <c r="C3" s="19">
        <v>0</v>
      </c>
      <c r="D3" s="19">
        <v>0</v>
      </c>
    </row>
    <row r="4" spans="1:4">
      <c r="A4" s="2" t="s">
        <v>66</v>
      </c>
      <c r="B4" s="19">
        <v>0</v>
      </c>
      <c r="C4" s="19">
        <v>0</v>
      </c>
      <c r="D4" s="19">
        <v>0</v>
      </c>
    </row>
    <row r="5" spans="1:4">
      <c r="A5" s="2" t="s">
        <v>65</v>
      </c>
      <c r="B5" s="19">
        <v>20</v>
      </c>
      <c r="C5" s="19">
        <v>0</v>
      </c>
      <c r="D5" s="19">
        <v>20</v>
      </c>
    </row>
    <row r="6" spans="1:4">
      <c r="A6" s="2" t="s">
        <v>62</v>
      </c>
      <c r="B6" s="19">
        <v>227</v>
      </c>
      <c r="C6" s="19">
        <v>0</v>
      </c>
      <c r="D6" s="19">
        <v>227</v>
      </c>
    </row>
    <row r="7" spans="1:4">
      <c r="A7" s="2"/>
      <c r="B7" s="19"/>
      <c r="C7" s="19"/>
      <c r="D7" s="19"/>
    </row>
    <row r="8" spans="1:4">
      <c r="A8" s="2"/>
      <c r="B8" s="19"/>
      <c r="C8" s="19"/>
      <c r="D8" s="19"/>
    </row>
    <row r="9" spans="1:4">
      <c r="A9" s="2"/>
      <c r="B9" s="19"/>
      <c r="C9" s="19"/>
      <c r="D9" s="19"/>
    </row>
    <row r="10" spans="1:4">
      <c r="A10" s="2"/>
      <c r="B10" s="19"/>
      <c r="C10" s="19"/>
      <c r="D10" s="29"/>
    </row>
    <row r="11" spans="1:4">
      <c r="A11" s="2"/>
      <c r="B11" s="19"/>
      <c r="C11" s="19"/>
      <c r="D11" s="29"/>
    </row>
    <row r="12" spans="1:4">
      <c r="A12" s="2"/>
      <c r="B12" s="19"/>
      <c r="C12" s="19"/>
      <c r="D12" s="29"/>
    </row>
    <row r="13" spans="1:4">
      <c r="A13" s="2"/>
      <c r="B13" s="19"/>
      <c r="C13" s="19"/>
      <c r="D13" s="29"/>
    </row>
    <row r="14" spans="1:4">
      <c r="A14" s="2"/>
      <c r="B14" s="19"/>
      <c r="C14" s="19"/>
      <c r="D14" s="29"/>
    </row>
    <row r="15" spans="1:4">
      <c r="A15" s="2"/>
      <c r="B15" s="19"/>
      <c r="C15" s="19"/>
      <c r="D15" s="29"/>
    </row>
    <row r="16" spans="1:4">
      <c r="A16" s="2"/>
      <c r="B16" s="19"/>
      <c r="C16" s="19"/>
      <c r="D16" s="29"/>
    </row>
    <row r="17" spans="1:4">
      <c r="A17" s="2"/>
      <c r="B17" s="19"/>
      <c r="C17" s="19"/>
      <c r="D17" s="29"/>
    </row>
    <row r="18" spans="1:4">
      <c r="A18" s="2"/>
      <c r="B18" s="19"/>
      <c r="C18" s="19"/>
      <c r="D18" s="29"/>
    </row>
    <row r="19" spans="1:4">
      <c r="A19" s="2"/>
      <c r="B19" s="29"/>
      <c r="C19" s="29"/>
      <c r="D19" s="29"/>
    </row>
    <row r="20" spans="1:4">
      <c r="A20" s="2"/>
      <c r="B20" s="29"/>
      <c r="C20" s="29"/>
      <c r="D20" s="29"/>
    </row>
    <row r="21" spans="1:4">
      <c r="A21" s="2"/>
      <c r="B21" s="29"/>
      <c r="C21" s="29"/>
      <c r="D21" s="29"/>
    </row>
    <row r="22" spans="1:4">
      <c r="A22" s="2"/>
      <c r="B22" s="29"/>
      <c r="C22" s="29"/>
      <c r="D22" s="29"/>
    </row>
    <row r="23" spans="1:4">
      <c r="A23" s="2"/>
      <c r="B23" s="29"/>
      <c r="C23" s="29"/>
      <c r="D23" s="29"/>
    </row>
    <row r="24" spans="1:4">
      <c r="A24" s="2"/>
      <c r="B24" s="29"/>
      <c r="C24" s="29"/>
      <c r="D24" s="29"/>
    </row>
    <row r="25" spans="1:4">
      <c r="A25" s="2"/>
      <c r="B25" s="29"/>
      <c r="C25" s="29"/>
      <c r="D25" s="29"/>
    </row>
    <row r="26" spans="1:4">
      <c r="A26" s="2"/>
      <c r="B26" s="29"/>
      <c r="C26" s="29"/>
      <c r="D26" s="29"/>
    </row>
    <row r="27" spans="1:4">
      <c r="A27" s="2"/>
      <c r="B27" s="29"/>
      <c r="C27" s="29"/>
      <c r="D27" s="29"/>
    </row>
    <row r="28" spans="1:4">
      <c r="A28" s="2"/>
      <c r="B28" s="29"/>
      <c r="C28" s="29"/>
      <c r="D28" s="29"/>
    </row>
    <row r="29" spans="1:4">
      <c r="A29" s="2"/>
      <c r="B29" s="29"/>
      <c r="C29" s="29"/>
      <c r="D29" s="29"/>
    </row>
    <row r="30" spans="1:4">
      <c r="A30" s="2"/>
      <c r="B30" s="29"/>
      <c r="C30" s="29"/>
      <c r="D30" s="29"/>
    </row>
    <row r="31" spans="1:4">
      <c r="A31" s="2"/>
      <c r="B31" s="29"/>
      <c r="C31" s="29"/>
      <c r="D31" s="29"/>
    </row>
  </sheetData>
  <sortState xmlns:xlrd2="http://schemas.microsoft.com/office/spreadsheetml/2017/richdata2" ref="A2:D31">
    <sortCondition ref="D1"/>
  </sortState>
  <conditionalFormatting sqref="A1:A1048576">
    <cfRule type="duplicateValues" dxfId="25" priority="1"/>
  </conditionalFormatting>
  <dataValidations count="1">
    <dataValidation type="custom" allowBlank="1" showInputMessage="1" showErrorMessage="1" errorTitle="Duplicate" error="Duplicate Entry" sqref="A1:A1048576" xr:uid="{00000000-0002-0000-0400-000000000000}">
      <formula1>COUNTIF($B:$B,A1)&lt;2</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Q197"/>
  <sheetViews>
    <sheetView topLeftCell="A139" workbookViewId="0">
      <selection activeCell="C25" sqref="C25"/>
    </sheetView>
  </sheetViews>
  <sheetFormatPr defaultColWidth="9.109375" defaultRowHeight="13.8"/>
  <cols>
    <col min="1" max="1" width="5.5546875" style="30" customWidth="1"/>
    <col min="2" max="2" width="18" style="30" bestFit="1" customWidth="1"/>
    <col min="3" max="3" width="11.5546875" style="30" customWidth="1"/>
    <col min="4" max="5" width="7.88671875" style="30" customWidth="1"/>
    <col min="6" max="6" width="8" style="30" customWidth="1"/>
    <col min="7" max="7" width="8.88671875" style="30" customWidth="1"/>
    <col min="8" max="8" width="8.5546875" style="30" customWidth="1"/>
    <col min="9" max="9" width="12.88671875" style="30" customWidth="1"/>
    <col min="10" max="10" width="7.33203125" style="30" bestFit="1" customWidth="1"/>
    <col min="11" max="11" width="19.109375" style="30" customWidth="1"/>
    <col min="12" max="12" width="12.6640625" style="30" bestFit="1" customWidth="1"/>
    <col min="13" max="13" width="6.88671875" style="30" customWidth="1"/>
    <col min="14" max="14" width="7.33203125" style="30" customWidth="1"/>
    <col min="15" max="15" width="13.88671875" style="30" customWidth="1"/>
    <col min="16" max="16" width="13" style="30" customWidth="1"/>
    <col min="17" max="17" width="12.5546875" style="30" customWidth="1"/>
    <col min="18" max="16384" width="9.109375" style="5"/>
  </cols>
  <sheetData>
    <row r="1" spans="1:17" ht="28.8">
      <c r="A1" s="36" t="s">
        <v>2</v>
      </c>
      <c r="B1" s="36" t="s">
        <v>11</v>
      </c>
      <c r="C1" s="38" t="s">
        <v>12</v>
      </c>
      <c r="D1" s="33" t="s">
        <v>25</v>
      </c>
      <c r="E1" s="33" t="s">
        <v>13</v>
      </c>
      <c r="F1" s="35" t="s">
        <v>14</v>
      </c>
      <c r="G1" s="35" t="s">
        <v>15</v>
      </c>
      <c r="H1" s="33" t="s">
        <v>16</v>
      </c>
      <c r="I1" s="36" t="s">
        <v>17</v>
      </c>
      <c r="J1" s="35" t="s">
        <v>18</v>
      </c>
      <c r="K1" s="36" t="s">
        <v>22</v>
      </c>
      <c r="L1" s="36" t="s">
        <v>24</v>
      </c>
      <c r="M1" s="36" t="s">
        <v>19</v>
      </c>
      <c r="N1" s="36" t="s">
        <v>20</v>
      </c>
      <c r="O1" s="36" t="s">
        <v>21</v>
      </c>
      <c r="P1" s="31" t="s">
        <v>8</v>
      </c>
      <c r="Q1" s="36" t="s">
        <v>23</v>
      </c>
    </row>
    <row r="2" spans="1:17" ht="15" customHeight="1">
      <c r="A2" s="30">
        <v>1</v>
      </c>
      <c r="B2" s="30" t="s">
        <v>505</v>
      </c>
      <c r="C2" s="37" t="s">
        <v>82</v>
      </c>
      <c r="D2" s="34" t="s">
        <v>473</v>
      </c>
      <c r="E2" s="34">
        <v>92</v>
      </c>
      <c r="F2" s="34">
        <v>1565</v>
      </c>
      <c r="G2" s="34">
        <v>1844</v>
      </c>
      <c r="H2" s="34">
        <v>1178</v>
      </c>
      <c r="I2" s="30" t="s">
        <v>212</v>
      </c>
      <c r="J2" s="34">
        <v>27</v>
      </c>
      <c r="K2" s="30" t="s">
        <v>213</v>
      </c>
      <c r="L2" s="30" t="s">
        <v>214</v>
      </c>
      <c r="M2" s="30" t="s">
        <v>60</v>
      </c>
      <c r="N2" s="30" t="s">
        <v>38</v>
      </c>
      <c r="O2" s="30" t="s">
        <v>215</v>
      </c>
      <c r="P2" s="32">
        <v>44274</v>
      </c>
      <c r="Q2" s="30" t="s">
        <v>28</v>
      </c>
    </row>
    <row r="3" spans="1:17" ht="15" customHeight="1">
      <c r="A3" s="30">
        <v>2</v>
      </c>
      <c r="B3" s="30" t="s">
        <v>506</v>
      </c>
      <c r="C3" s="37" t="s">
        <v>83</v>
      </c>
      <c r="D3" s="34" t="s">
        <v>474</v>
      </c>
      <c r="E3" s="34">
        <v>90</v>
      </c>
      <c r="F3" s="34">
        <v>1565</v>
      </c>
      <c r="G3" s="34">
        <v>1653</v>
      </c>
      <c r="H3" s="34">
        <v>1056.2300319488818</v>
      </c>
      <c r="I3" s="30" t="s">
        <v>216</v>
      </c>
      <c r="J3" s="34">
        <v>22</v>
      </c>
      <c r="K3" s="30" t="s">
        <v>213</v>
      </c>
      <c r="L3" s="30" t="s">
        <v>217</v>
      </c>
      <c r="M3" s="30" t="s">
        <v>60</v>
      </c>
      <c r="N3" s="30" t="s">
        <v>38</v>
      </c>
      <c r="O3" s="30" t="s">
        <v>215</v>
      </c>
      <c r="P3" s="32">
        <v>44274</v>
      </c>
      <c r="Q3" s="30" t="s">
        <v>28</v>
      </c>
    </row>
    <row r="4" spans="1:17" ht="15" customHeight="1">
      <c r="A4" s="30">
        <v>3</v>
      </c>
      <c r="B4" s="30" t="s">
        <v>507</v>
      </c>
      <c r="C4" s="37" t="s">
        <v>84</v>
      </c>
      <c r="D4" s="34" t="s">
        <v>475</v>
      </c>
      <c r="E4" s="34">
        <v>106</v>
      </c>
      <c r="F4" s="34">
        <v>900</v>
      </c>
      <c r="G4" s="34">
        <v>1594</v>
      </c>
      <c r="H4" s="34">
        <v>1771.1111111111111</v>
      </c>
      <c r="I4" s="30" t="s">
        <v>218</v>
      </c>
      <c r="J4" s="34">
        <v>11</v>
      </c>
      <c r="K4" s="30" t="s">
        <v>219</v>
      </c>
      <c r="L4" s="30" t="s">
        <v>214</v>
      </c>
      <c r="M4" s="30" t="s">
        <v>60</v>
      </c>
      <c r="N4" s="30" t="s">
        <v>38</v>
      </c>
      <c r="O4" s="30" t="s">
        <v>27</v>
      </c>
      <c r="P4" s="32">
        <v>44387</v>
      </c>
      <c r="Q4" s="30" t="s">
        <v>28</v>
      </c>
    </row>
    <row r="5" spans="1:17" ht="15" customHeight="1">
      <c r="A5" s="30">
        <v>4</v>
      </c>
      <c r="B5" s="30" t="s">
        <v>508</v>
      </c>
      <c r="C5" s="37" t="s">
        <v>84</v>
      </c>
      <c r="D5" s="34" t="s">
        <v>475</v>
      </c>
      <c r="E5" s="34">
        <v>106</v>
      </c>
      <c r="F5" s="34">
        <v>900</v>
      </c>
      <c r="G5" s="34">
        <v>1527</v>
      </c>
      <c r="H5" s="34">
        <v>1696.6666666666667</v>
      </c>
      <c r="I5" s="30" t="s">
        <v>220</v>
      </c>
      <c r="J5" s="34">
        <v>9</v>
      </c>
      <c r="K5" s="30" t="s">
        <v>219</v>
      </c>
      <c r="L5" s="30" t="s">
        <v>221</v>
      </c>
      <c r="M5" s="30" t="s">
        <v>60</v>
      </c>
      <c r="N5" s="30" t="s">
        <v>38</v>
      </c>
      <c r="O5" s="30" t="s">
        <v>27</v>
      </c>
      <c r="P5" s="32">
        <v>44387</v>
      </c>
      <c r="Q5" s="30" t="s">
        <v>28</v>
      </c>
    </row>
    <row r="6" spans="1:17" ht="15" customHeight="1">
      <c r="A6" s="30">
        <v>5</v>
      </c>
      <c r="B6" s="30" t="s">
        <v>509</v>
      </c>
      <c r="C6" s="37" t="s">
        <v>84</v>
      </c>
      <c r="D6" s="34" t="s">
        <v>476</v>
      </c>
      <c r="E6" s="34">
        <v>145</v>
      </c>
      <c r="F6" s="34">
        <v>987</v>
      </c>
      <c r="G6" s="34">
        <v>1402</v>
      </c>
      <c r="H6" s="34">
        <v>1420.4660587639312</v>
      </c>
      <c r="I6" s="30" t="s">
        <v>222</v>
      </c>
      <c r="J6" s="34">
        <v>21</v>
      </c>
      <c r="K6" s="30" t="s">
        <v>223</v>
      </c>
      <c r="L6" s="30" t="s">
        <v>224</v>
      </c>
      <c r="M6" s="30" t="s">
        <v>60</v>
      </c>
      <c r="N6" s="30" t="s">
        <v>38</v>
      </c>
      <c r="O6" s="30" t="s">
        <v>27</v>
      </c>
      <c r="P6" s="32">
        <v>44277</v>
      </c>
      <c r="Q6" s="30" t="s">
        <v>28</v>
      </c>
    </row>
    <row r="7" spans="1:17" ht="15" customHeight="1">
      <c r="A7" s="30" t="s">
        <v>503</v>
      </c>
      <c r="B7" s="30" t="s">
        <v>510</v>
      </c>
      <c r="C7" s="37" t="s">
        <v>84</v>
      </c>
      <c r="D7" s="34" t="s">
        <v>477</v>
      </c>
      <c r="E7" s="34" t="s">
        <v>498</v>
      </c>
      <c r="F7" s="34" t="s">
        <v>499</v>
      </c>
      <c r="G7" s="34" t="s">
        <v>500</v>
      </c>
      <c r="H7" s="34" t="s">
        <v>501</v>
      </c>
      <c r="I7" s="30" t="s">
        <v>225</v>
      </c>
      <c r="J7" s="34" t="s">
        <v>504</v>
      </c>
      <c r="K7" s="30" t="s">
        <v>219</v>
      </c>
      <c r="L7" s="30" t="s">
        <v>226</v>
      </c>
      <c r="M7" s="30" t="s">
        <v>60</v>
      </c>
      <c r="N7" s="30" t="s">
        <v>38</v>
      </c>
      <c r="O7" s="30" t="s">
        <v>227</v>
      </c>
      <c r="P7" s="32">
        <v>44063</v>
      </c>
      <c r="Q7" s="30" t="s">
        <v>28</v>
      </c>
    </row>
    <row r="8" spans="1:17" ht="15" customHeight="1">
      <c r="A8" s="30">
        <v>7</v>
      </c>
      <c r="B8" s="30" t="s">
        <v>514</v>
      </c>
      <c r="C8" s="37" t="s">
        <v>84</v>
      </c>
      <c r="D8" s="34" t="s">
        <v>477</v>
      </c>
      <c r="E8" s="34" t="s">
        <v>498</v>
      </c>
      <c r="F8" s="34" t="s">
        <v>499</v>
      </c>
      <c r="G8" s="34" t="s">
        <v>500</v>
      </c>
      <c r="H8" s="34" t="s">
        <v>501</v>
      </c>
      <c r="I8" s="30" t="s">
        <v>218</v>
      </c>
      <c r="J8" s="34" t="s">
        <v>502</v>
      </c>
      <c r="K8" s="30" t="s">
        <v>219</v>
      </c>
      <c r="L8" s="30" t="s">
        <v>214</v>
      </c>
      <c r="M8" s="30" t="s">
        <v>60</v>
      </c>
      <c r="N8" s="30" t="s">
        <v>37</v>
      </c>
      <c r="O8" s="30" t="s">
        <v>27</v>
      </c>
      <c r="P8" s="32">
        <v>44405</v>
      </c>
      <c r="Q8" s="30" t="s">
        <v>28</v>
      </c>
    </row>
    <row r="9" spans="1:17" ht="15" customHeight="1">
      <c r="A9" s="30">
        <v>8</v>
      </c>
      <c r="B9" s="30" t="s">
        <v>511</v>
      </c>
      <c r="C9" s="37" t="s">
        <v>84</v>
      </c>
      <c r="D9" s="34" t="s">
        <v>477</v>
      </c>
      <c r="E9" s="34">
        <v>106</v>
      </c>
      <c r="F9" s="34">
        <v>900</v>
      </c>
      <c r="G9" s="34">
        <v>1467</v>
      </c>
      <c r="H9" s="34">
        <v>1630</v>
      </c>
      <c r="I9" s="30" t="s">
        <v>220</v>
      </c>
      <c r="J9" s="34">
        <v>10</v>
      </c>
      <c r="K9" s="30" t="s">
        <v>219</v>
      </c>
      <c r="L9" s="30" t="s">
        <v>221</v>
      </c>
      <c r="M9" s="30" t="s">
        <v>60</v>
      </c>
      <c r="N9" s="30" t="s">
        <v>37</v>
      </c>
      <c r="O9" s="30" t="s">
        <v>27</v>
      </c>
      <c r="P9" s="32">
        <v>44405</v>
      </c>
      <c r="Q9" s="30" t="s">
        <v>28</v>
      </c>
    </row>
    <row r="10" spans="1:17" ht="15" customHeight="1">
      <c r="A10" s="30">
        <v>9</v>
      </c>
      <c r="B10" s="30" t="s">
        <v>513</v>
      </c>
      <c r="C10" s="37" t="s">
        <v>84</v>
      </c>
      <c r="D10" s="34" t="s">
        <v>477</v>
      </c>
      <c r="E10" s="34">
        <v>106</v>
      </c>
      <c r="F10" s="34">
        <v>900</v>
      </c>
      <c r="G10" s="34">
        <v>1467</v>
      </c>
      <c r="H10" s="34">
        <v>1630</v>
      </c>
      <c r="I10" s="30" t="s">
        <v>228</v>
      </c>
      <c r="J10" s="34">
        <v>9</v>
      </c>
      <c r="K10" s="30" t="s">
        <v>219</v>
      </c>
      <c r="L10" s="30" t="s">
        <v>229</v>
      </c>
      <c r="M10" s="30" t="s">
        <v>60</v>
      </c>
      <c r="N10" s="30" t="s">
        <v>37</v>
      </c>
      <c r="O10" s="30" t="s">
        <v>27</v>
      </c>
      <c r="P10" s="32">
        <v>44405</v>
      </c>
      <c r="Q10" s="30" t="s">
        <v>28</v>
      </c>
    </row>
    <row r="11" spans="1:17" ht="15" customHeight="1">
      <c r="A11" s="30">
        <v>10</v>
      </c>
      <c r="B11" s="30" t="s">
        <v>512</v>
      </c>
      <c r="C11" s="37" t="s">
        <v>84</v>
      </c>
      <c r="D11" s="34" t="s">
        <v>477</v>
      </c>
      <c r="E11" s="34">
        <v>106</v>
      </c>
      <c r="F11" s="34">
        <v>900</v>
      </c>
      <c r="G11" s="34">
        <v>1467</v>
      </c>
      <c r="H11" s="34">
        <v>1630</v>
      </c>
      <c r="I11" s="30" t="s">
        <v>230</v>
      </c>
      <c r="J11" s="34">
        <v>11</v>
      </c>
      <c r="K11" s="30" t="s">
        <v>219</v>
      </c>
      <c r="L11" s="30" t="s">
        <v>231</v>
      </c>
      <c r="M11" s="30" t="s">
        <v>60</v>
      </c>
      <c r="N11" s="30" t="s">
        <v>37</v>
      </c>
      <c r="O11" s="30" t="s">
        <v>27</v>
      </c>
      <c r="P11" s="32">
        <v>44405</v>
      </c>
      <c r="Q11" s="30" t="s">
        <v>28</v>
      </c>
    </row>
    <row r="12" spans="1:17" ht="15" customHeight="1">
      <c r="A12" s="30">
        <v>11</v>
      </c>
      <c r="B12" s="30" t="s">
        <v>515</v>
      </c>
      <c r="C12" s="37" t="s">
        <v>84</v>
      </c>
      <c r="D12" s="34" t="s">
        <v>477</v>
      </c>
      <c r="E12" s="34">
        <v>106</v>
      </c>
      <c r="F12" s="34">
        <v>900</v>
      </c>
      <c r="G12" s="34">
        <v>1626</v>
      </c>
      <c r="H12" s="34">
        <v>1806.6666666666667</v>
      </c>
      <c r="I12" s="30" t="s">
        <v>232</v>
      </c>
      <c r="J12" s="34">
        <v>19</v>
      </c>
      <c r="K12" s="30" t="s">
        <v>219</v>
      </c>
      <c r="L12" s="30" t="s">
        <v>226</v>
      </c>
      <c r="M12" s="30" t="s">
        <v>60</v>
      </c>
      <c r="N12" s="30" t="s">
        <v>38</v>
      </c>
      <c r="O12" s="30" t="s">
        <v>233</v>
      </c>
      <c r="P12" s="32">
        <v>44215</v>
      </c>
      <c r="Q12" s="30" t="s">
        <v>28</v>
      </c>
    </row>
    <row r="13" spans="1:17" ht="15" customHeight="1">
      <c r="A13" s="30">
        <v>12</v>
      </c>
      <c r="B13" s="30" t="s">
        <v>515</v>
      </c>
      <c r="C13" s="37" t="s">
        <v>84</v>
      </c>
      <c r="D13" s="34" t="s">
        <v>477</v>
      </c>
      <c r="E13" s="34">
        <v>106</v>
      </c>
      <c r="F13" s="34">
        <v>900</v>
      </c>
      <c r="G13" s="34">
        <v>1626</v>
      </c>
      <c r="H13" s="34">
        <v>1806.6666666666667</v>
      </c>
      <c r="I13" s="30" t="s">
        <v>232</v>
      </c>
      <c r="J13" s="34">
        <v>20</v>
      </c>
      <c r="K13" s="30" t="s">
        <v>219</v>
      </c>
      <c r="L13" s="30" t="s">
        <v>226</v>
      </c>
      <c r="M13" s="30" t="s">
        <v>60</v>
      </c>
      <c r="N13" s="30" t="s">
        <v>37</v>
      </c>
      <c r="O13" s="30" t="s">
        <v>233</v>
      </c>
      <c r="P13" s="32">
        <v>44401</v>
      </c>
      <c r="Q13" s="30" t="s">
        <v>28</v>
      </c>
    </row>
    <row r="14" spans="1:17" ht="15" customHeight="1">
      <c r="A14" s="30">
        <v>13</v>
      </c>
      <c r="B14" s="30" t="s">
        <v>516</v>
      </c>
      <c r="C14" s="37" t="s">
        <v>82</v>
      </c>
      <c r="D14" s="34" t="s">
        <v>475</v>
      </c>
      <c r="E14" s="34">
        <v>106</v>
      </c>
      <c r="F14" s="34">
        <v>900</v>
      </c>
      <c r="G14" s="34">
        <v>1523</v>
      </c>
      <c r="H14" s="34">
        <v>1692.2222222222222</v>
      </c>
      <c r="I14" s="30" t="s">
        <v>234</v>
      </c>
      <c r="J14" s="34">
        <v>20</v>
      </c>
      <c r="K14" s="30" t="s">
        <v>219</v>
      </c>
      <c r="L14" s="30" t="s">
        <v>235</v>
      </c>
      <c r="M14" s="30" t="s">
        <v>60</v>
      </c>
      <c r="N14" s="30" t="s">
        <v>38</v>
      </c>
      <c r="O14" s="30" t="s">
        <v>236</v>
      </c>
      <c r="P14" s="32">
        <v>44270</v>
      </c>
      <c r="Q14" s="30" t="s">
        <v>28</v>
      </c>
    </row>
    <row r="15" spans="1:17" ht="15" customHeight="1">
      <c r="A15" s="30">
        <v>14</v>
      </c>
      <c r="B15" s="30" t="s">
        <v>516</v>
      </c>
      <c r="C15" s="37" t="s">
        <v>82</v>
      </c>
      <c r="D15" s="34" t="s">
        <v>475</v>
      </c>
      <c r="E15" s="34">
        <v>106</v>
      </c>
      <c r="F15" s="34">
        <v>900</v>
      </c>
      <c r="G15" s="34">
        <v>1523</v>
      </c>
      <c r="H15" s="34">
        <v>1692.2222222222222</v>
      </c>
      <c r="I15" s="30" t="s">
        <v>234</v>
      </c>
      <c r="J15" s="34">
        <v>21</v>
      </c>
      <c r="K15" s="30" t="s">
        <v>219</v>
      </c>
      <c r="L15" s="30" t="s">
        <v>235</v>
      </c>
      <c r="M15" s="30" t="s">
        <v>60</v>
      </c>
      <c r="N15" s="30" t="s">
        <v>36</v>
      </c>
      <c r="O15" s="30" t="s">
        <v>236</v>
      </c>
      <c r="P15" s="32">
        <v>44273</v>
      </c>
      <c r="Q15" s="30" t="s">
        <v>28</v>
      </c>
    </row>
    <row r="16" spans="1:17" ht="15" customHeight="1">
      <c r="A16" s="30">
        <v>15</v>
      </c>
      <c r="B16" s="30" t="s">
        <v>516</v>
      </c>
      <c r="C16" s="37" t="s">
        <v>82</v>
      </c>
      <c r="D16" s="34" t="s">
        <v>475</v>
      </c>
      <c r="E16" s="34">
        <v>106</v>
      </c>
      <c r="F16" s="34">
        <v>900</v>
      </c>
      <c r="G16" s="34">
        <v>1523</v>
      </c>
      <c r="H16" s="34">
        <v>1692.2222222222222</v>
      </c>
      <c r="I16" s="30" t="s">
        <v>234</v>
      </c>
      <c r="J16" s="34">
        <v>23</v>
      </c>
      <c r="K16" s="30" t="s">
        <v>219</v>
      </c>
      <c r="L16" s="30" t="s">
        <v>235</v>
      </c>
      <c r="M16" s="30" t="s">
        <v>60</v>
      </c>
      <c r="N16" s="30" t="s">
        <v>37</v>
      </c>
      <c r="O16" s="30" t="s">
        <v>236</v>
      </c>
      <c r="P16" s="32">
        <v>44401</v>
      </c>
      <c r="Q16" s="30" t="s">
        <v>28</v>
      </c>
    </row>
    <row r="17" spans="1:17" ht="15" customHeight="1">
      <c r="A17" s="30">
        <v>16</v>
      </c>
      <c r="B17" s="30" t="s">
        <v>517</v>
      </c>
      <c r="C17" s="37" t="s">
        <v>84</v>
      </c>
      <c r="D17" s="34" t="s">
        <v>478</v>
      </c>
      <c r="E17" s="34">
        <v>88</v>
      </c>
      <c r="F17" s="34">
        <v>1475</v>
      </c>
      <c r="G17" s="34">
        <v>1556</v>
      </c>
      <c r="H17" s="34">
        <v>1054.9152542372881</v>
      </c>
      <c r="I17" s="30" t="s">
        <v>237</v>
      </c>
      <c r="J17" s="34">
        <v>14</v>
      </c>
      <c r="K17" s="30" t="s">
        <v>238</v>
      </c>
      <c r="L17" s="30" t="s">
        <v>214</v>
      </c>
      <c r="M17" s="30" t="s">
        <v>59</v>
      </c>
      <c r="N17" s="30" t="s">
        <v>38</v>
      </c>
      <c r="O17" s="30" t="s">
        <v>27</v>
      </c>
      <c r="P17" s="32">
        <v>44387</v>
      </c>
      <c r="Q17" s="30" t="s">
        <v>28</v>
      </c>
    </row>
    <row r="18" spans="1:17" ht="15" customHeight="1">
      <c r="A18" s="30">
        <v>17</v>
      </c>
      <c r="B18" s="30" t="s">
        <v>518</v>
      </c>
      <c r="C18" s="37" t="s">
        <v>84</v>
      </c>
      <c r="D18" s="34" t="s">
        <v>478</v>
      </c>
      <c r="E18" s="34">
        <v>88</v>
      </c>
      <c r="F18" s="34">
        <v>1555</v>
      </c>
      <c r="G18" s="34">
        <v>1641</v>
      </c>
      <c r="H18" s="34">
        <v>1055.305466237942</v>
      </c>
      <c r="I18" s="30" t="s">
        <v>239</v>
      </c>
      <c r="J18" s="34">
        <v>13</v>
      </c>
      <c r="K18" s="30" t="s">
        <v>240</v>
      </c>
      <c r="L18" s="30" t="s">
        <v>241</v>
      </c>
      <c r="M18" s="30" t="s">
        <v>59</v>
      </c>
      <c r="N18" s="30" t="s">
        <v>38</v>
      </c>
      <c r="O18" s="30" t="s">
        <v>27</v>
      </c>
      <c r="P18" s="32">
        <v>44387</v>
      </c>
      <c r="Q18" s="30" t="s">
        <v>28</v>
      </c>
    </row>
    <row r="19" spans="1:17" ht="15" customHeight="1">
      <c r="A19" s="30">
        <v>18</v>
      </c>
      <c r="B19" s="30" t="s">
        <v>519</v>
      </c>
      <c r="C19" s="37" t="s">
        <v>84</v>
      </c>
      <c r="D19" s="34" t="s">
        <v>478</v>
      </c>
      <c r="E19" s="34">
        <v>88</v>
      </c>
      <c r="F19" s="34">
        <v>1555</v>
      </c>
      <c r="G19" s="34">
        <v>1641</v>
      </c>
      <c r="H19" s="34">
        <v>1055.305466237942</v>
      </c>
      <c r="I19" s="30" t="s">
        <v>242</v>
      </c>
      <c r="J19" s="34">
        <v>11</v>
      </c>
      <c r="K19" s="30" t="s">
        <v>240</v>
      </c>
      <c r="L19" s="30" t="s">
        <v>214</v>
      </c>
      <c r="M19" s="30" t="s">
        <v>59</v>
      </c>
      <c r="N19" s="30" t="s">
        <v>38</v>
      </c>
      <c r="O19" s="30" t="s">
        <v>27</v>
      </c>
      <c r="P19" s="32">
        <v>44280</v>
      </c>
      <c r="Q19" s="30" t="s">
        <v>28</v>
      </c>
    </row>
    <row r="20" spans="1:17" ht="15" customHeight="1">
      <c r="A20" s="30">
        <v>19</v>
      </c>
      <c r="B20" s="30" t="s">
        <v>520</v>
      </c>
      <c r="C20" s="37" t="s">
        <v>84</v>
      </c>
      <c r="D20" s="34" t="s">
        <v>478</v>
      </c>
      <c r="E20" s="34">
        <v>88</v>
      </c>
      <c r="F20" s="34">
        <v>1555</v>
      </c>
      <c r="G20" s="34">
        <v>1641</v>
      </c>
      <c r="H20" s="34">
        <v>1055.305466237942</v>
      </c>
      <c r="I20" s="30" t="s">
        <v>243</v>
      </c>
      <c r="J20" s="34">
        <v>12</v>
      </c>
      <c r="K20" s="30" t="s">
        <v>240</v>
      </c>
      <c r="L20" s="30" t="s">
        <v>235</v>
      </c>
      <c r="M20" s="30" t="s">
        <v>59</v>
      </c>
      <c r="N20" s="30" t="s">
        <v>38</v>
      </c>
      <c r="O20" s="30" t="s">
        <v>27</v>
      </c>
      <c r="P20" s="32">
        <v>44278</v>
      </c>
      <c r="Q20" s="30" t="s">
        <v>28</v>
      </c>
    </row>
    <row r="21" spans="1:17" ht="15" customHeight="1">
      <c r="A21" s="30">
        <v>20</v>
      </c>
      <c r="B21" s="30" t="s">
        <v>521</v>
      </c>
      <c r="C21" s="37" t="s">
        <v>84</v>
      </c>
      <c r="D21" s="34" t="s">
        <v>478</v>
      </c>
      <c r="E21" s="34">
        <v>88</v>
      </c>
      <c r="F21" s="34">
        <v>1475</v>
      </c>
      <c r="G21" s="34">
        <v>1556</v>
      </c>
      <c r="H21" s="34">
        <v>1054.9152542372881</v>
      </c>
      <c r="I21" s="30" t="s">
        <v>244</v>
      </c>
      <c r="J21" s="34">
        <v>5</v>
      </c>
      <c r="K21" s="30" t="s">
        <v>238</v>
      </c>
      <c r="L21" s="30" t="s">
        <v>214</v>
      </c>
      <c r="M21" s="30" t="s">
        <v>60</v>
      </c>
      <c r="N21" s="30" t="s">
        <v>38</v>
      </c>
      <c r="O21" s="30" t="s">
        <v>27</v>
      </c>
      <c r="P21" s="32">
        <v>44396</v>
      </c>
      <c r="Q21" s="30" t="s">
        <v>28</v>
      </c>
    </row>
    <row r="22" spans="1:17" ht="15" customHeight="1">
      <c r="A22" s="30">
        <v>21</v>
      </c>
      <c r="B22" s="30" t="s">
        <v>521</v>
      </c>
      <c r="C22" s="37" t="s">
        <v>84</v>
      </c>
      <c r="D22" s="34" t="s">
        <v>478</v>
      </c>
      <c r="E22" s="34">
        <v>88</v>
      </c>
      <c r="F22" s="34">
        <v>1475</v>
      </c>
      <c r="G22" s="34">
        <v>1556</v>
      </c>
      <c r="H22" s="34">
        <v>1054.9152542372881</v>
      </c>
      <c r="I22" s="30" t="s">
        <v>244</v>
      </c>
      <c r="J22" s="34">
        <v>6</v>
      </c>
      <c r="K22" s="30" t="s">
        <v>238</v>
      </c>
      <c r="L22" s="30" t="s">
        <v>214</v>
      </c>
      <c r="M22" s="30" t="s">
        <v>60</v>
      </c>
      <c r="N22" s="30" t="s">
        <v>37</v>
      </c>
      <c r="O22" s="30" t="s">
        <v>27</v>
      </c>
      <c r="P22" s="32">
        <v>44426</v>
      </c>
      <c r="Q22" s="30" t="s">
        <v>28</v>
      </c>
    </row>
    <row r="23" spans="1:17" ht="15" customHeight="1">
      <c r="A23" s="30">
        <v>22</v>
      </c>
      <c r="B23" s="30" t="s">
        <v>522</v>
      </c>
      <c r="C23" s="37" t="s">
        <v>84</v>
      </c>
      <c r="D23" s="34" t="s">
        <v>478</v>
      </c>
      <c r="E23" s="34">
        <v>88</v>
      </c>
      <c r="F23" s="34">
        <v>1555</v>
      </c>
      <c r="G23" s="34">
        <v>1641</v>
      </c>
      <c r="H23" s="34">
        <v>1055.305466237942</v>
      </c>
      <c r="I23" s="30" t="s">
        <v>245</v>
      </c>
      <c r="J23" s="34">
        <v>4</v>
      </c>
      <c r="K23" s="30" t="s">
        <v>240</v>
      </c>
      <c r="L23" s="30" t="s">
        <v>241</v>
      </c>
      <c r="M23" s="30" t="s">
        <v>60</v>
      </c>
      <c r="N23" s="30" t="s">
        <v>38</v>
      </c>
      <c r="O23" s="30" t="s">
        <v>27</v>
      </c>
      <c r="P23" s="32">
        <v>44396</v>
      </c>
      <c r="Q23" s="30" t="s">
        <v>28</v>
      </c>
    </row>
    <row r="24" spans="1:17" ht="15" customHeight="1">
      <c r="A24" s="30">
        <v>23</v>
      </c>
      <c r="B24" s="30" t="s">
        <v>523</v>
      </c>
      <c r="C24" s="37" t="s">
        <v>84</v>
      </c>
      <c r="D24" s="34" t="s">
        <v>478</v>
      </c>
      <c r="E24" s="34">
        <v>88</v>
      </c>
      <c r="F24" s="34">
        <v>1555</v>
      </c>
      <c r="G24" s="34">
        <v>1641</v>
      </c>
      <c r="H24" s="34">
        <v>1055.305466237942</v>
      </c>
      <c r="I24" s="30" t="s">
        <v>246</v>
      </c>
      <c r="J24" s="34">
        <v>5</v>
      </c>
      <c r="K24" s="30" t="s">
        <v>240</v>
      </c>
      <c r="L24" s="30" t="s">
        <v>214</v>
      </c>
      <c r="M24" s="30" t="s">
        <v>60</v>
      </c>
      <c r="N24" s="30" t="s">
        <v>38</v>
      </c>
      <c r="O24" s="30" t="s">
        <v>27</v>
      </c>
      <c r="P24" s="32">
        <v>44396</v>
      </c>
      <c r="Q24" s="30" t="s">
        <v>28</v>
      </c>
    </row>
    <row r="25" spans="1:17" ht="15" customHeight="1">
      <c r="A25" s="30">
        <v>24</v>
      </c>
      <c r="B25" s="30" t="s">
        <v>524</v>
      </c>
      <c r="C25" s="37" t="s">
        <v>84</v>
      </c>
      <c r="D25" s="34" t="s">
        <v>478</v>
      </c>
      <c r="E25" s="34">
        <v>88</v>
      </c>
      <c r="F25" s="34">
        <v>1555</v>
      </c>
      <c r="G25" s="34">
        <v>1641</v>
      </c>
      <c r="H25" s="34">
        <v>1055.305466237942</v>
      </c>
      <c r="I25" s="30" t="s">
        <v>247</v>
      </c>
      <c r="J25" s="34">
        <v>14</v>
      </c>
      <c r="K25" s="30" t="s">
        <v>238</v>
      </c>
      <c r="L25" s="30" t="s">
        <v>248</v>
      </c>
      <c r="M25" s="30" t="s">
        <v>59</v>
      </c>
      <c r="N25" s="30" t="s">
        <v>38</v>
      </c>
      <c r="O25" s="30" t="s">
        <v>27</v>
      </c>
      <c r="P25" s="32">
        <v>44426</v>
      </c>
      <c r="Q25" s="30" t="s">
        <v>28</v>
      </c>
    </row>
    <row r="26" spans="1:17" ht="15" customHeight="1">
      <c r="A26" s="30">
        <v>25</v>
      </c>
      <c r="B26" s="30" t="s">
        <v>525</v>
      </c>
      <c r="C26" s="37" t="s">
        <v>84</v>
      </c>
      <c r="D26" s="34" t="s">
        <v>478</v>
      </c>
      <c r="E26" s="34">
        <v>88</v>
      </c>
      <c r="F26" s="34">
        <v>1475</v>
      </c>
      <c r="G26" s="34">
        <v>1553</v>
      </c>
      <c r="H26" s="34">
        <v>1052.8813559322034</v>
      </c>
      <c r="I26" s="30" t="s">
        <v>247</v>
      </c>
      <c r="J26" s="34">
        <v>13</v>
      </c>
      <c r="K26" s="30" t="s">
        <v>238</v>
      </c>
      <c r="L26" s="30" t="s">
        <v>248</v>
      </c>
      <c r="M26" s="30" t="s">
        <v>59</v>
      </c>
      <c r="N26" s="30" t="s">
        <v>38</v>
      </c>
      <c r="O26" s="30" t="s">
        <v>27</v>
      </c>
      <c r="P26" s="32">
        <v>44387</v>
      </c>
      <c r="Q26" s="30" t="s">
        <v>28</v>
      </c>
    </row>
    <row r="27" spans="1:17" ht="15" customHeight="1">
      <c r="A27" s="30">
        <v>26</v>
      </c>
      <c r="B27" s="30" t="s">
        <v>526</v>
      </c>
      <c r="C27" s="37" t="s">
        <v>84</v>
      </c>
      <c r="D27" s="34" t="s">
        <v>478</v>
      </c>
      <c r="E27" s="34">
        <v>88</v>
      </c>
      <c r="F27" s="34">
        <v>1555</v>
      </c>
      <c r="G27" s="34">
        <v>1637</v>
      </c>
      <c r="H27" s="34">
        <v>1052.733118971061</v>
      </c>
      <c r="I27" s="30" t="s">
        <v>249</v>
      </c>
      <c r="J27" s="34">
        <v>30</v>
      </c>
      <c r="K27" s="30" t="s">
        <v>240</v>
      </c>
      <c r="L27" s="30" t="s">
        <v>248</v>
      </c>
      <c r="M27" s="30" t="s">
        <v>59</v>
      </c>
      <c r="N27" s="30" t="s">
        <v>38</v>
      </c>
      <c r="O27" s="30" t="s">
        <v>27</v>
      </c>
      <c r="P27" s="32">
        <v>44278</v>
      </c>
      <c r="Q27" s="30" t="s">
        <v>28</v>
      </c>
    </row>
    <row r="28" spans="1:17" ht="15" customHeight="1">
      <c r="A28" s="30">
        <v>27</v>
      </c>
      <c r="B28" s="30" t="s">
        <v>527</v>
      </c>
      <c r="C28" s="37" t="s">
        <v>83</v>
      </c>
      <c r="D28" s="34" t="s">
        <v>473</v>
      </c>
      <c r="E28" s="34">
        <v>88</v>
      </c>
      <c r="F28" s="34">
        <v>1555</v>
      </c>
      <c r="G28" s="34">
        <v>1617</v>
      </c>
      <c r="H28" s="34">
        <v>1039.8713826366559</v>
      </c>
      <c r="I28" s="30" t="s">
        <v>249</v>
      </c>
      <c r="J28" s="34">
        <v>20</v>
      </c>
      <c r="K28" s="30" t="s">
        <v>240</v>
      </c>
      <c r="L28" s="30" t="s">
        <v>248</v>
      </c>
      <c r="M28" s="30" t="s">
        <v>59</v>
      </c>
      <c r="N28" s="30" t="s">
        <v>36</v>
      </c>
      <c r="O28" s="30" t="s">
        <v>250</v>
      </c>
      <c r="P28" s="32">
        <v>43593</v>
      </c>
      <c r="Q28" s="30" t="s">
        <v>28</v>
      </c>
    </row>
    <row r="29" spans="1:17" ht="15" customHeight="1">
      <c r="A29" s="30">
        <v>28</v>
      </c>
      <c r="B29" s="30" t="s">
        <v>528</v>
      </c>
      <c r="C29" s="37" t="s">
        <v>85</v>
      </c>
      <c r="D29" s="34" t="s">
        <v>81</v>
      </c>
      <c r="E29" s="34">
        <v>136</v>
      </c>
      <c r="F29" s="34">
        <v>885</v>
      </c>
      <c r="G29" s="34">
        <v>1852</v>
      </c>
      <c r="H29" s="34">
        <v>2092.6553672316386</v>
      </c>
      <c r="I29" s="30" t="s">
        <v>251</v>
      </c>
      <c r="J29" s="34">
        <v>32</v>
      </c>
      <c r="K29" s="30" t="s">
        <v>76</v>
      </c>
      <c r="L29" s="30" t="s">
        <v>77</v>
      </c>
      <c r="M29" s="30" t="s">
        <v>60</v>
      </c>
      <c r="N29" s="30" t="s">
        <v>38</v>
      </c>
      <c r="O29" s="30" t="s">
        <v>252</v>
      </c>
      <c r="P29" s="32">
        <v>44294</v>
      </c>
      <c r="Q29" s="30" t="s">
        <v>28</v>
      </c>
    </row>
    <row r="30" spans="1:17" ht="15" customHeight="1">
      <c r="A30" s="30">
        <v>29</v>
      </c>
      <c r="B30" s="30" t="s">
        <v>529</v>
      </c>
      <c r="C30" s="37" t="s">
        <v>84</v>
      </c>
      <c r="D30" s="34" t="s">
        <v>479</v>
      </c>
      <c r="E30" s="34">
        <v>78</v>
      </c>
      <c r="F30" s="34">
        <v>1485</v>
      </c>
      <c r="G30" s="34">
        <v>2128</v>
      </c>
      <c r="H30" s="34">
        <v>1432.996632996633</v>
      </c>
      <c r="I30" s="30" t="s">
        <v>253</v>
      </c>
      <c r="J30" s="34">
        <v>14</v>
      </c>
      <c r="K30" s="30" t="s">
        <v>254</v>
      </c>
      <c r="L30" s="30" t="s">
        <v>241</v>
      </c>
      <c r="M30" s="30" t="s">
        <v>59</v>
      </c>
      <c r="N30" s="30" t="s">
        <v>38</v>
      </c>
      <c r="O30" s="30" t="s">
        <v>27</v>
      </c>
      <c r="P30" s="32">
        <v>44387</v>
      </c>
      <c r="Q30" s="30" t="s">
        <v>28</v>
      </c>
    </row>
    <row r="31" spans="1:17" ht="15" customHeight="1">
      <c r="A31" s="30">
        <v>30</v>
      </c>
      <c r="B31" s="30" t="s">
        <v>530</v>
      </c>
      <c r="C31" s="37" t="s">
        <v>84</v>
      </c>
      <c r="D31" s="34" t="s">
        <v>479</v>
      </c>
      <c r="E31" s="34">
        <v>78</v>
      </c>
      <c r="F31" s="34">
        <v>1560</v>
      </c>
      <c r="G31" s="34">
        <v>2235</v>
      </c>
      <c r="H31" s="34">
        <v>1432.6923076923076</v>
      </c>
      <c r="I31" s="30" t="s">
        <v>255</v>
      </c>
      <c r="J31" s="34">
        <v>17</v>
      </c>
      <c r="K31" s="30" t="s">
        <v>256</v>
      </c>
      <c r="L31" s="30" t="s">
        <v>241</v>
      </c>
      <c r="M31" s="30" t="s">
        <v>59</v>
      </c>
      <c r="N31" s="30" t="s">
        <v>38</v>
      </c>
      <c r="O31" s="30" t="s">
        <v>27</v>
      </c>
      <c r="P31" s="32">
        <v>44280</v>
      </c>
      <c r="Q31" s="30" t="s">
        <v>28</v>
      </c>
    </row>
    <row r="32" spans="1:17" ht="15" customHeight="1">
      <c r="A32" s="30">
        <v>31</v>
      </c>
      <c r="B32" s="30" t="s">
        <v>531</v>
      </c>
      <c r="C32" s="37" t="s">
        <v>84</v>
      </c>
      <c r="D32" s="34" t="s">
        <v>479</v>
      </c>
      <c r="E32" s="34">
        <v>78</v>
      </c>
      <c r="F32" s="34">
        <v>1485</v>
      </c>
      <c r="G32" s="34">
        <v>2128</v>
      </c>
      <c r="H32" s="34">
        <v>1432.996632996633</v>
      </c>
      <c r="I32" s="30" t="s">
        <v>257</v>
      </c>
      <c r="J32" s="34">
        <v>5</v>
      </c>
      <c r="K32" s="30" t="s">
        <v>254</v>
      </c>
      <c r="L32" s="30" t="s">
        <v>241</v>
      </c>
      <c r="M32" s="30" t="s">
        <v>60</v>
      </c>
      <c r="N32" s="30" t="s">
        <v>38</v>
      </c>
      <c r="O32" s="30" t="s">
        <v>27</v>
      </c>
      <c r="P32" s="32">
        <v>44396</v>
      </c>
      <c r="Q32" s="30" t="s">
        <v>28</v>
      </c>
    </row>
    <row r="33" spans="1:17" ht="15" customHeight="1">
      <c r="A33" s="30">
        <v>32</v>
      </c>
      <c r="B33" s="30" t="s">
        <v>532</v>
      </c>
      <c r="C33" s="37" t="s">
        <v>84</v>
      </c>
      <c r="D33" s="34" t="s">
        <v>479</v>
      </c>
      <c r="E33" s="34">
        <v>78</v>
      </c>
      <c r="F33" s="34">
        <v>1560</v>
      </c>
      <c r="G33" s="34">
        <v>2235</v>
      </c>
      <c r="H33" s="34">
        <v>1432.6923076923076</v>
      </c>
      <c r="I33" s="30" t="s">
        <v>258</v>
      </c>
      <c r="J33" s="34">
        <v>6</v>
      </c>
      <c r="K33" s="30" t="s">
        <v>256</v>
      </c>
      <c r="L33" s="30" t="s">
        <v>241</v>
      </c>
      <c r="M33" s="30" t="s">
        <v>60</v>
      </c>
      <c r="N33" s="30" t="s">
        <v>38</v>
      </c>
      <c r="O33" s="30" t="s">
        <v>27</v>
      </c>
      <c r="P33" s="32">
        <v>44396</v>
      </c>
      <c r="Q33" s="30" t="s">
        <v>28</v>
      </c>
    </row>
    <row r="34" spans="1:17" ht="15" customHeight="1">
      <c r="A34" s="30">
        <v>33</v>
      </c>
      <c r="B34" s="30" t="s">
        <v>533</v>
      </c>
      <c r="C34" s="37" t="s">
        <v>85</v>
      </c>
      <c r="D34" s="34" t="s">
        <v>480</v>
      </c>
      <c r="E34" s="34">
        <v>114</v>
      </c>
      <c r="F34" s="34">
        <v>1060</v>
      </c>
      <c r="G34" s="34">
        <v>1495</v>
      </c>
      <c r="H34" s="34">
        <v>1410.3773584905659</v>
      </c>
      <c r="I34" s="30" t="s">
        <v>259</v>
      </c>
      <c r="J34" s="34">
        <v>16</v>
      </c>
      <c r="K34" s="30" t="s">
        <v>260</v>
      </c>
      <c r="L34" s="30" t="s">
        <v>261</v>
      </c>
      <c r="M34" s="30" t="s">
        <v>60</v>
      </c>
      <c r="N34" s="30" t="s">
        <v>38</v>
      </c>
      <c r="O34" s="30" t="s">
        <v>252</v>
      </c>
      <c r="P34" s="32">
        <v>44294</v>
      </c>
      <c r="Q34" s="30" t="s">
        <v>28</v>
      </c>
    </row>
    <row r="35" spans="1:17" ht="15" customHeight="1">
      <c r="A35" s="30">
        <v>34</v>
      </c>
      <c r="B35" s="30" t="s">
        <v>534</v>
      </c>
      <c r="C35" s="37" t="s">
        <v>84</v>
      </c>
      <c r="D35" s="34" t="s">
        <v>478</v>
      </c>
      <c r="E35" s="34">
        <v>88</v>
      </c>
      <c r="F35" s="34">
        <v>1555</v>
      </c>
      <c r="G35" s="34">
        <v>1506</v>
      </c>
      <c r="H35" s="34">
        <v>968.48874598070745</v>
      </c>
      <c r="I35" s="30" t="s">
        <v>262</v>
      </c>
      <c r="J35" s="34">
        <v>13</v>
      </c>
      <c r="K35" s="30" t="s">
        <v>240</v>
      </c>
      <c r="L35" s="30" t="s">
        <v>263</v>
      </c>
      <c r="M35" s="30" t="s">
        <v>59</v>
      </c>
      <c r="N35" s="30" t="s">
        <v>38</v>
      </c>
      <c r="O35" s="30" t="s">
        <v>27</v>
      </c>
      <c r="P35" s="32">
        <v>44280</v>
      </c>
      <c r="Q35" s="30" t="s">
        <v>28</v>
      </c>
    </row>
    <row r="36" spans="1:17" ht="15" customHeight="1">
      <c r="A36" s="30">
        <v>35</v>
      </c>
      <c r="B36" s="30" t="s">
        <v>535</v>
      </c>
      <c r="C36" s="37" t="s">
        <v>84</v>
      </c>
      <c r="D36" s="34" t="s">
        <v>478</v>
      </c>
      <c r="E36" s="34">
        <v>88</v>
      </c>
      <c r="F36" s="34">
        <v>1555</v>
      </c>
      <c r="G36" s="34">
        <v>1506</v>
      </c>
      <c r="H36" s="34">
        <v>968.48874598070745</v>
      </c>
      <c r="I36" s="30" t="s">
        <v>264</v>
      </c>
      <c r="J36" s="34">
        <v>5</v>
      </c>
      <c r="K36" s="30" t="s">
        <v>240</v>
      </c>
      <c r="L36" s="30" t="s">
        <v>263</v>
      </c>
      <c r="M36" s="30" t="s">
        <v>60</v>
      </c>
      <c r="N36" s="30" t="s">
        <v>38</v>
      </c>
      <c r="O36" s="30" t="s">
        <v>27</v>
      </c>
      <c r="P36" s="32">
        <v>44396</v>
      </c>
      <c r="Q36" s="30" t="s">
        <v>28</v>
      </c>
    </row>
    <row r="37" spans="1:17" ht="15" customHeight="1">
      <c r="A37" s="30">
        <v>36</v>
      </c>
      <c r="B37" s="30" t="s">
        <v>536</v>
      </c>
      <c r="C37" s="37" t="s">
        <v>82</v>
      </c>
      <c r="D37" s="34" t="s">
        <v>480</v>
      </c>
      <c r="E37" s="34">
        <v>112</v>
      </c>
      <c r="F37" s="34">
        <v>1060</v>
      </c>
      <c r="G37" s="34">
        <v>1493</v>
      </c>
      <c r="H37" s="34">
        <v>1408.4905660377358</v>
      </c>
      <c r="I37" s="30" t="s">
        <v>265</v>
      </c>
      <c r="J37" s="34">
        <v>21</v>
      </c>
      <c r="K37" s="30" t="s">
        <v>266</v>
      </c>
      <c r="L37" s="30" t="s">
        <v>214</v>
      </c>
      <c r="M37" s="30" t="s">
        <v>60</v>
      </c>
      <c r="N37" s="30" t="s">
        <v>38</v>
      </c>
      <c r="O37" s="30" t="s">
        <v>236</v>
      </c>
      <c r="P37" s="32">
        <v>44299</v>
      </c>
      <c r="Q37" s="30" t="s">
        <v>28</v>
      </c>
    </row>
    <row r="38" spans="1:17" ht="15" customHeight="1">
      <c r="A38" s="30">
        <v>37</v>
      </c>
      <c r="B38" s="30" t="s">
        <v>536</v>
      </c>
      <c r="C38" s="37" t="s">
        <v>82</v>
      </c>
      <c r="D38" s="34" t="s">
        <v>480</v>
      </c>
      <c r="E38" s="34">
        <v>112</v>
      </c>
      <c r="F38" s="34">
        <v>1060</v>
      </c>
      <c r="G38" s="34">
        <v>1493</v>
      </c>
      <c r="H38" s="34">
        <v>1408.4905660377358</v>
      </c>
      <c r="I38" s="30" t="s">
        <v>265</v>
      </c>
      <c r="J38" s="34">
        <v>20</v>
      </c>
      <c r="K38" s="30" t="s">
        <v>266</v>
      </c>
      <c r="L38" s="30" t="s">
        <v>214</v>
      </c>
      <c r="M38" s="30" t="s">
        <v>60</v>
      </c>
      <c r="N38" s="30" t="s">
        <v>37</v>
      </c>
      <c r="O38" s="30" t="s">
        <v>236</v>
      </c>
      <c r="P38" s="32">
        <v>44117</v>
      </c>
      <c r="Q38" s="30" t="s">
        <v>28</v>
      </c>
    </row>
    <row r="39" spans="1:17" ht="15" customHeight="1">
      <c r="A39" s="30">
        <v>38</v>
      </c>
      <c r="B39" s="30" t="s">
        <v>537</v>
      </c>
      <c r="C39" s="37" t="s">
        <v>82</v>
      </c>
      <c r="D39" s="34" t="s">
        <v>480</v>
      </c>
      <c r="E39" s="34">
        <v>112</v>
      </c>
      <c r="F39" s="34">
        <v>1060</v>
      </c>
      <c r="G39" s="34">
        <v>1458</v>
      </c>
      <c r="H39" s="34">
        <v>1375.4716981132076</v>
      </c>
      <c r="I39" s="30" t="s">
        <v>267</v>
      </c>
      <c r="J39" s="34">
        <v>16</v>
      </c>
      <c r="K39" s="30" t="s">
        <v>266</v>
      </c>
      <c r="L39" s="30" t="s">
        <v>226</v>
      </c>
      <c r="M39" s="30" t="s">
        <v>60</v>
      </c>
      <c r="N39" s="30" t="s">
        <v>38</v>
      </c>
      <c r="O39" s="30" t="s">
        <v>268</v>
      </c>
      <c r="P39" s="32">
        <v>43719</v>
      </c>
      <c r="Q39" s="30" t="s">
        <v>28</v>
      </c>
    </row>
    <row r="40" spans="1:17" ht="15" customHeight="1">
      <c r="A40" s="30">
        <v>39</v>
      </c>
      <c r="B40" s="30" t="s">
        <v>538</v>
      </c>
      <c r="C40" s="37" t="s">
        <v>82</v>
      </c>
      <c r="D40" s="34" t="s">
        <v>480</v>
      </c>
      <c r="E40" s="34">
        <v>112</v>
      </c>
      <c r="F40" s="34">
        <v>1060</v>
      </c>
      <c r="G40" s="34">
        <v>1458</v>
      </c>
      <c r="H40" s="34">
        <v>1375.4716981132076</v>
      </c>
      <c r="I40" s="30" t="s">
        <v>267</v>
      </c>
      <c r="J40" s="34">
        <v>26</v>
      </c>
      <c r="K40" s="30" t="s">
        <v>266</v>
      </c>
      <c r="L40" s="30" t="s">
        <v>226</v>
      </c>
      <c r="M40" s="30" t="s">
        <v>60</v>
      </c>
      <c r="N40" s="30" t="s">
        <v>36</v>
      </c>
      <c r="O40" s="30" t="s">
        <v>268</v>
      </c>
      <c r="P40" s="32">
        <v>44040</v>
      </c>
      <c r="Q40" s="30" t="s">
        <v>28</v>
      </c>
    </row>
    <row r="41" spans="1:17" ht="15" customHeight="1">
      <c r="A41" s="30">
        <v>40</v>
      </c>
      <c r="B41" s="30" t="s">
        <v>538</v>
      </c>
      <c r="C41" s="37" t="s">
        <v>82</v>
      </c>
      <c r="D41" s="34" t="s">
        <v>480</v>
      </c>
      <c r="E41" s="34">
        <v>112</v>
      </c>
      <c r="F41" s="34">
        <v>1060</v>
      </c>
      <c r="G41" s="34">
        <v>1458</v>
      </c>
      <c r="H41" s="34">
        <v>1375.4716981132076</v>
      </c>
      <c r="I41" s="30" t="s">
        <v>267</v>
      </c>
      <c r="J41" s="34">
        <v>27</v>
      </c>
      <c r="K41" s="30" t="s">
        <v>266</v>
      </c>
      <c r="L41" s="30" t="s">
        <v>226</v>
      </c>
      <c r="M41" s="30" t="s">
        <v>60</v>
      </c>
      <c r="N41" s="30" t="s">
        <v>36</v>
      </c>
      <c r="O41" s="30" t="s">
        <v>268</v>
      </c>
      <c r="P41" s="32">
        <v>44040</v>
      </c>
      <c r="Q41" s="30" t="s">
        <v>28</v>
      </c>
    </row>
    <row r="42" spans="1:17">
      <c r="A42" s="30">
        <v>41</v>
      </c>
      <c r="B42" s="30" t="s">
        <v>539</v>
      </c>
      <c r="C42" s="37" t="s">
        <v>82</v>
      </c>
      <c r="D42" s="34" t="s">
        <v>480</v>
      </c>
      <c r="E42" s="34">
        <v>112</v>
      </c>
      <c r="F42" s="34">
        <v>1060</v>
      </c>
      <c r="G42" s="34">
        <v>1458</v>
      </c>
      <c r="H42" s="34">
        <v>1375.4716981132076</v>
      </c>
      <c r="I42" s="30" t="s">
        <v>267</v>
      </c>
      <c r="J42" s="34">
        <v>44</v>
      </c>
      <c r="K42" s="30" t="s">
        <v>266</v>
      </c>
      <c r="L42" s="30" t="s">
        <v>226</v>
      </c>
      <c r="M42" s="30" t="s">
        <v>60</v>
      </c>
      <c r="N42" s="30" t="s">
        <v>37</v>
      </c>
      <c r="O42" s="30" t="s">
        <v>268</v>
      </c>
      <c r="P42" s="32">
        <v>44117</v>
      </c>
      <c r="Q42" s="30" t="s">
        <v>28</v>
      </c>
    </row>
    <row r="43" spans="1:17">
      <c r="A43" s="30">
        <v>42</v>
      </c>
      <c r="B43" s="30" t="s">
        <v>540</v>
      </c>
      <c r="C43" s="37" t="s">
        <v>82</v>
      </c>
      <c r="D43" s="34" t="s">
        <v>480</v>
      </c>
      <c r="E43" s="34">
        <v>112</v>
      </c>
      <c r="F43" s="34">
        <v>1060</v>
      </c>
      <c r="G43" s="34">
        <v>1458</v>
      </c>
      <c r="H43" s="34">
        <v>1375.4716981132076</v>
      </c>
      <c r="I43" s="30" t="s">
        <v>273</v>
      </c>
      <c r="J43" s="34">
        <v>12</v>
      </c>
      <c r="K43" s="30" t="s">
        <v>266</v>
      </c>
      <c r="L43" s="30" t="s">
        <v>231</v>
      </c>
      <c r="M43" s="30" t="s">
        <v>60</v>
      </c>
      <c r="N43" s="30" t="s">
        <v>37</v>
      </c>
      <c r="O43" s="30" t="s">
        <v>27</v>
      </c>
      <c r="P43" s="32">
        <v>44426</v>
      </c>
      <c r="Q43" s="30" t="s">
        <v>28</v>
      </c>
    </row>
    <row r="44" spans="1:17">
      <c r="A44" s="30">
        <v>43</v>
      </c>
      <c r="B44" s="30" t="s">
        <v>541</v>
      </c>
      <c r="C44" s="37" t="s">
        <v>82</v>
      </c>
      <c r="D44" s="34" t="s">
        <v>480</v>
      </c>
      <c r="E44" s="34">
        <v>112</v>
      </c>
      <c r="F44" s="34">
        <v>1060</v>
      </c>
      <c r="G44" s="34">
        <v>1458</v>
      </c>
      <c r="H44" s="34">
        <v>1375.4716981132076</v>
      </c>
      <c r="I44" s="30" t="s">
        <v>269</v>
      </c>
      <c r="J44" s="34">
        <v>4</v>
      </c>
      <c r="K44" s="30" t="s">
        <v>266</v>
      </c>
      <c r="L44" s="30" t="s">
        <v>226</v>
      </c>
      <c r="M44" s="30" t="s">
        <v>60</v>
      </c>
      <c r="N44" s="30" t="s">
        <v>37</v>
      </c>
      <c r="O44" s="30" t="s">
        <v>270</v>
      </c>
      <c r="P44" s="32">
        <v>44117</v>
      </c>
      <c r="Q44" s="30" t="s">
        <v>28</v>
      </c>
    </row>
    <row r="45" spans="1:17">
      <c r="A45" s="30">
        <v>44</v>
      </c>
      <c r="B45" s="30" t="s">
        <v>542</v>
      </c>
      <c r="C45" s="37" t="s">
        <v>82</v>
      </c>
      <c r="D45" s="34" t="s">
        <v>480</v>
      </c>
      <c r="E45" s="34">
        <v>112</v>
      </c>
      <c r="F45" s="34">
        <v>1060</v>
      </c>
      <c r="G45" s="34">
        <v>1458</v>
      </c>
      <c r="H45" s="34">
        <v>1375.4716981132076</v>
      </c>
      <c r="I45" s="30" t="s">
        <v>269</v>
      </c>
      <c r="J45" s="34">
        <v>7</v>
      </c>
      <c r="K45" s="30" t="s">
        <v>266</v>
      </c>
      <c r="L45" s="30" t="s">
        <v>226</v>
      </c>
      <c r="M45" s="30" t="s">
        <v>60</v>
      </c>
      <c r="N45" s="30" t="s">
        <v>38</v>
      </c>
      <c r="O45" s="30" t="s">
        <v>270</v>
      </c>
      <c r="P45" s="32">
        <v>44153</v>
      </c>
      <c r="Q45" s="30" t="s">
        <v>28</v>
      </c>
    </row>
    <row r="46" spans="1:17">
      <c r="A46" s="30">
        <v>45</v>
      </c>
      <c r="B46" s="30" t="s">
        <v>543</v>
      </c>
      <c r="C46" s="37" t="s">
        <v>82</v>
      </c>
      <c r="D46" s="34" t="s">
        <v>480</v>
      </c>
      <c r="E46" s="34">
        <v>112</v>
      </c>
      <c r="F46" s="34">
        <v>1060</v>
      </c>
      <c r="G46" s="34">
        <v>1458</v>
      </c>
      <c r="H46" s="34">
        <v>1375.4716981132076</v>
      </c>
      <c r="I46" s="30" t="s">
        <v>269</v>
      </c>
      <c r="J46" s="34">
        <v>8</v>
      </c>
      <c r="K46" s="30" t="s">
        <v>266</v>
      </c>
      <c r="L46" s="30" t="s">
        <v>226</v>
      </c>
      <c r="M46" s="30" t="s">
        <v>60</v>
      </c>
      <c r="N46" s="30" t="s">
        <v>36</v>
      </c>
      <c r="O46" s="30" t="s">
        <v>270</v>
      </c>
      <c r="P46" s="32">
        <v>44356</v>
      </c>
      <c r="Q46" s="30" t="s">
        <v>28</v>
      </c>
    </row>
    <row r="47" spans="1:17">
      <c r="A47" s="30">
        <v>46</v>
      </c>
      <c r="B47" s="30" t="s">
        <v>544</v>
      </c>
      <c r="C47" s="37" t="s">
        <v>84</v>
      </c>
      <c r="D47" s="34" t="s">
        <v>478</v>
      </c>
      <c r="E47" s="34">
        <v>88</v>
      </c>
      <c r="F47" s="34">
        <v>1555</v>
      </c>
      <c r="G47" s="34">
        <v>1629</v>
      </c>
      <c r="H47" s="34">
        <v>1047.588424437299</v>
      </c>
      <c r="I47" s="30" t="s">
        <v>271</v>
      </c>
      <c r="J47" s="34">
        <v>20</v>
      </c>
      <c r="K47" s="30" t="s">
        <v>240</v>
      </c>
      <c r="L47" s="30" t="s">
        <v>272</v>
      </c>
      <c r="M47" s="30" t="s">
        <v>59</v>
      </c>
      <c r="N47" s="30" t="s">
        <v>38</v>
      </c>
      <c r="O47" s="30" t="s">
        <v>27</v>
      </c>
      <c r="P47" s="32">
        <v>44278</v>
      </c>
      <c r="Q47" s="30" t="s">
        <v>28</v>
      </c>
    </row>
    <row r="48" spans="1:17">
      <c r="A48" s="30">
        <v>47</v>
      </c>
      <c r="B48" s="30" t="s">
        <v>545</v>
      </c>
      <c r="C48" s="37" t="s">
        <v>83</v>
      </c>
      <c r="D48" s="34" t="s">
        <v>473</v>
      </c>
      <c r="E48" s="34">
        <v>88</v>
      </c>
      <c r="F48" s="34">
        <v>1555</v>
      </c>
      <c r="G48" s="34">
        <v>1608</v>
      </c>
      <c r="H48" s="34">
        <v>1034.0836012861737</v>
      </c>
      <c r="I48" s="30" t="s">
        <v>271</v>
      </c>
      <c r="J48" s="34">
        <v>16</v>
      </c>
      <c r="K48" s="30" t="s">
        <v>240</v>
      </c>
      <c r="L48" s="30" t="s">
        <v>272</v>
      </c>
      <c r="M48" s="30" t="s">
        <v>59</v>
      </c>
      <c r="N48" s="30" t="s">
        <v>36</v>
      </c>
      <c r="O48" s="30" t="s">
        <v>250</v>
      </c>
      <c r="P48" s="32">
        <v>43593</v>
      </c>
      <c r="Q48" s="30" t="s">
        <v>28</v>
      </c>
    </row>
    <row r="49" spans="1:17">
      <c r="A49" s="30">
        <v>48</v>
      </c>
      <c r="B49" s="30" t="s">
        <v>546</v>
      </c>
      <c r="C49" s="37" t="s">
        <v>84</v>
      </c>
      <c r="D49" s="34" t="s">
        <v>480</v>
      </c>
      <c r="E49" s="34">
        <v>112</v>
      </c>
      <c r="F49" s="34">
        <v>1060</v>
      </c>
      <c r="G49" s="34">
        <v>1410</v>
      </c>
      <c r="H49" s="34">
        <v>1330.1886792452831</v>
      </c>
      <c r="I49" s="30" t="s">
        <v>273</v>
      </c>
      <c r="J49" s="34">
        <v>11</v>
      </c>
      <c r="K49" s="30" t="s">
        <v>266</v>
      </c>
      <c r="L49" s="30" t="s">
        <v>231</v>
      </c>
      <c r="M49" s="30" t="s">
        <v>60</v>
      </c>
      <c r="N49" s="30" t="s">
        <v>38</v>
      </c>
      <c r="O49" s="30" t="s">
        <v>27</v>
      </c>
      <c r="P49" s="32">
        <v>44387</v>
      </c>
      <c r="Q49" s="30" t="s">
        <v>28</v>
      </c>
    </row>
    <row r="50" spans="1:17">
      <c r="A50" s="30">
        <v>49</v>
      </c>
      <c r="B50" s="30" t="s">
        <v>547</v>
      </c>
      <c r="C50" s="37" t="s">
        <v>85</v>
      </c>
      <c r="D50" s="34" t="s">
        <v>480</v>
      </c>
      <c r="E50" s="34">
        <v>114</v>
      </c>
      <c r="F50" s="34">
        <v>1060</v>
      </c>
      <c r="G50" s="34">
        <v>1360</v>
      </c>
      <c r="H50" s="34">
        <v>1283.0188679245282</v>
      </c>
      <c r="I50" s="30" t="s">
        <v>274</v>
      </c>
      <c r="J50" s="34">
        <v>10</v>
      </c>
      <c r="K50" s="30" t="s">
        <v>266</v>
      </c>
      <c r="L50" s="30" t="s">
        <v>275</v>
      </c>
      <c r="M50" s="30" t="s">
        <v>60</v>
      </c>
      <c r="N50" s="30" t="s">
        <v>38</v>
      </c>
      <c r="O50" s="30" t="s">
        <v>276</v>
      </c>
      <c r="P50" s="32">
        <v>44294</v>
      </c>
      <c r="Q50" s="30" t="s">
        <v>28</v>
      </c>
    </row>
    <row r="51" spans="1:17">
      <c r="A51" s="30">
        <v>50</v>
      </c>
      <c r="B51" s="30" t="s">
        <v>548</v>
      </c>
      <c r="C51" s="37" t="s">
        <v>84</v>
      </c>
      <c r="D51" s="34" t="s">
        <v>479</v>
      </c>
      <c r="E51" s="34">
        <v>98</v>
      </c>
      <c r="F51" s="34">
        <v>1485</v>
      </c>
      <c r="G51" s="34">
        <v>2268</v>
      </c>
      <c r="H51" s="34">
        <v>1527.2727272727273</v>
      </c>
      <c r="I51" s="30" t="s">
        <v>277</v>
      </c>
      <c r="J51" s="34">
        <v>21</v>
      </c>
      <c r="K51" s="30" t="s">
        <v>254</v>
      </c>
      <c r="L51" s="30" t="s">
        <v>263</v>
      </c>
      <c r="M51" s="30" t="s">
        <v>59</v>
      </c>
      <c r="N51" s="30" t="s">
        <v>38</v>
      </c>
      <c r="O51" s="30" t="s">
        <v>27</v>
      </c>
      <c r="P51" s="32">
        <v>44294</v>
      </c>
      <c r="Q51" s="30" t="s">
        <v>28</v>
      </c>
    </row>
    <row r="52" spans="1:17">
      <c r="A52" s="30">
        <v>51</v>
      </c>
      <c r="B52" s="30" t="s">
        <v>549</v>
      </c>
      <c r="C52" s="37" t="s">
        <v>84</v>
      </c>
      <c r="D52" s="34" t="s">
        <v>479</v>
      </c>
      <c r="E52" s="34">
        <v>98</v>
      </c>
      <c r="F52" s="34">
        <v>1560</v>
      </c>
      <c r="G52" s="34">
        <v>2383</v>
      </c>
      <c r="H52" s="34">
        <v>1527.5641025641025</v>
      </c>
      <c r="I52" s="30" t="s">
        <v>278</v>
      </c>
      <c r="J52" s="34">
        <v>17</v>
      </c>
      <c r="K52" s="30" t="s">
        <v>256</v>
      </c>
      <c r="L52" s="30" t="s">
        <v>263</v>
      </c>
      <c r="M52" s="30" t="s">
        <v>59</v>
      </c>
      <c r="N52" s="30" t="s">
        <v>38</v>
      </c>
      <c r="O52" s="30" t="s">
        <v>27</v>
      </c>
      <c r="P52" s="32">
        <v>44265</v>
      </c>
      <c r="Q52" s="30" t="s">
        <v>28</v>
      </c>
    </row>
    <row r="53" spans="1:17">
      <c r="A53" s="30">
        <v>52</v>
      </c>
      <c r="B53" s="30" t="s">
        <v>550</v>
      </c>
      <c r="C53" s="37" t="s">
        <v>84</v>
      </c>
      <c r="D53" s="34" t="s">
        <v>479</v>
      </c>
      <c r="E53" s="34">
        <v>98</v>
      </c>
      <c r="F53" s="34">
        <v>1485</v>
      </c>
      <c r="G53" s="34">
        <v>2268</v>
      </c>
      <c r="H53" s="34">
        <v>1527.2727272727273</v>
      </c>
      <c r="I53" s="30" t="s">
        <v>279</v>
      </c>
      <c r="J53" s="34">
        <v>6</v>
      </c>
      <c r="K53" s="30" t="s">
        <v>254</v>
      </c>
      <c r="L53" s="30" t="s">
        <v>263</v>
      </c>
      <c r="M53" s="30" t="s">
        <v>60</v>
      </c>
      <c r="N53" s="30" t="s">
        <v>38</v>
      </c>
      <c r="O53" s="30" t="s">
        <v>27</v>
      </c>
      <c r="P53" s="32">
        <v>44396</v>
      </c>
      <c r="Q53" s="30" t="s">
        <v>28</v>
      </c>
    </row>
    <row r="54" spans="1:17">
      <c r="A54" s="30">
        <v>53</v>
      </c>
      <c r="B54" s="30" t="s">
        <v>551</v>
      </c>
      <c r="C54" s="37" t="s">
        <v>84</v>
      </c>
      <c r="D54" s="34" t="s">
        <v>479</v>
      </c>
      <c r="E54" s="34">
        <v>98</v>
      </c>
      <c r="F54" s="34">
        <v>1560</v>
      </c>
      <c r="G54" s="34">
        <v>2383</v>
      </c>
      <c r="H54" s="34">
        <v>1527.5641025641025</v>
      </c>
      <c r="I54" s="30" t="s">
        <v>280</v>
      </c>
      <c r="J54" s="34">
        <v>6</v>
      </c>
      <c r="K54" s="30" t="s">
        <v>256</v>
      </c>
      <c r="L54" s="30" t="s">
        <v>263</v>
      </c>
      <c r="M54" s="30" t="s">
        <v>60</v>
      </c>
      <c r="N54" s="30" t="s">
        <v>38</v>
      </c>
      <c r="O54" s="30" t="s">
        <v>27</v>
      </c>
      <c r="P54" s="32">
        <v>44396</v>
      </c>
      <c r="Q54" s="30" t="s">
        <v>28</v>
      </c>
    </row>
    <row r="55" spans="1:17">
      <c r="A55" s="30">
        <v>54</v>
      </c>
      <c r="B55" s="30" t="s">
        <v>552</v>
      </c>
      <c r="C55" s="37" t="s">
        <v>84</v>
      </c>
      <c r="D55" s="34" t="s">
        <v>475</v>
      </c>
      <c r="E55" s="34">
        <v>106</v>
      </c>
      <c r="F55" s="34">
        <v>900</v>
      </c>
      <c r="G55" s="34">
        <v>1522</v>
      </c>
      <c r="H55" s="34">
        <v>1691.1111111111111</v>
      </c>
      <c r="I55" s="30" t="s">
        <v>230</v>
      </c>
      <c r="J55" s="34">
        <v>10</v>
      </c>
      <c r="K55" s="30" t="s">
        <v>219</v>
      </c>
      <c r="L55" s="30" t="s">
        <v>231</v>
      </c>
      <c r="M55" s="30" t="s">
        <v>60</v>
      </c>
      <c r="N55" s="30" t="s">
        <v>38</v>
      </c>
      <c r="O55" s="30" t="s">
        <v>27</v>
      </c>
      <c r="P55" s="32">
        <v>44387</v>
      </c>
      <c r="Q55" s="30" t="s">
        <v>28</v>
      </c>
    </row>
    <row r="56" spans="1:17">
      <c r="A56" s="30">
        <v>55</v>
      </c>
      <c r="B56" s="30" t="s">
        <v>553</v>
      </c>
      <c r="C56" s="37" t="s">
        <v>84</v>
      </c>
      <c r="D56" s="34" t="s">
        <v>475</v>
      </c>
      <c r="E56" s="34">
        <v>106</v>
      </c>
      <c r="F56" s="34">
        <v>900</v>
      </c>
      <c r="G56" s="34">
        <v>1508</v>
      </c>
      <c r="H56" s="34">
        <v>1675.5555555555557</v>
      </c>
      <c r="I56" s="30" t="s">
        <v>228</v>
      </c>
      <c r="J56" s="34">
        <v>8</v>
      </c>
      <c r="K56" s="30" t="s">
        <v>219</v>
      </c>
      <c r="L56" s="30" t="s">
        <v>229</v>
      </c>
      <c r="M56" s="30" t="s">
        <v>60</v>
      </c>
      <c r="N56" s="30" t="s">
        <v>38</v>
      </c>
      <c r="O56" s="30" t="s">
        <v>27</v>
      </c>
      <c r="P56" s="32">
        <v>44387</v>
      </c>
      <c r="Q56" s="30" t="s">
        <v>28</v>
      </c>
    </row>
    <row r="57" spans="1:17">
      <c r="A57" s="30">
        <v>56</v>
      </c>
      <c r="B57" s="30" t="s">
        <v>554</v>
      </c>
      <c r="C57" s="37" t="s">
        <v>84</v>
      </c>
      <c r="D57" s="34" t="s">
        <v>475</v>
      </c>
      <c r="E57" s="34">
        <v>116</v>
      </c>
      <c r="F57" s="34">
        <v>900</v>
      </c>
      <c r="G57" s="34">
        <v>1580</v>
      </c>
      <c r="H57" s="34">
        <v>1755.5555555555557</v>
      </c>
      <c r="I57" s="30" t="s">
        <v>281</v>
      </c>
      <c r="J57" s="34">
        <v>11</v>
      </c>
      <c r="K57" s="30" t="s">
        <v>219</v>
      </c>
      <c r="L57" s="30" t="s">
        <v>282</v>
      </c>
      <c r="M57" s="30" t="s">
        <v>60</v>
      </c>
      <c r="N57" s="30" t="s">
        <v>37</v>
      </c>
      <c r="O57" s="30" t="s">
        <v>27</v>
      </c>
      <c r="P57" s="32">
        <v>44405</v>
      </c>
      <c r="Q57" s="30" t="s">
        <v>28</v>
      </c>
    </row>
    <row r="58" spans="1:17">
      <c r="A58" s="30">
        <v>57</v>
      </c>
      <c r="B58" s="30" t="s">
        <v>554</v>
      </c>
      <c r="C58" s="37" t="s">
        <v>84</v>
      </c>
      <c r="D58" s="34" t="s">
        <v>475</v>
      </c>
      <c r="E58" s="34">
        <v>116</v>
      </c>
      <c r="F58" s="34">
        <v>900</v>
      </c>
      <c r="G58" s="34">
        <v>1580</v>
      </c>
      <c r="H58" s="34">
        <v>1755.5555555555557</v>
      </c>
      <c r="I58" s="30" t="s">
        <v>281</v>
      </c>
      <c r="J58" s="34">
        <v>10</v>
      </c>
      <c r="K58" s="30" t="s">
        <v>219</v>
      </c>
      <c r="L58" s="30" t="s">
        <v>282</v>
      </c>
      <c r="M58" s="30" t="s">
        <v>60</v>
      </c>
      <c r="N58" s="30" t="s">
        <v>38</v>
      </c>
      <c r="O58" s="30" t="s">
        <v>27</v>
      </c>
      <c r="P58" s="32">
        <v>44387</v>
      </c>
      <c r="Q58" s="30" t="s">
        <v>28</v>
      </c>
    </row>
    <row r="59" spans="1:17">
      <c r="A59" s="30">
        <v>58</v>
      </c>
      <c r="B59" s="30" t="s">
        <v>555</v>
      </c>
      <c r="C59" s="37" t="s">
        <v>85</v>
      </c>
      <c r="D59" s="34" t="s">
        <v>81</v>
      </c>
      <c r="E59" s="34">
        <v>145</v>
      </c>
      <c r="F59" s="34">
        <v>885</v>
      </c>
      <c r="G59" s="34">
        <v>1752</v>
      </c>
      <c r="H59" s="34">
        <v>1979.6610169491526</v>
      </c>
      <c r="I59" s="30" t="s">
        <v>283</v>
      </c>
      <c r="J59" s="34">
        <v>14</v>
      </c>
      <c r="K59" s="30" t="s">
        <v>76</v>
      </c>
      <c r="L59" s="30" t="s">
        <v>284</v>
      </c>
      <c r="M59" s="30" t="s">
        <v>60</v>
      </c>
      <c r="N59" s="30" t="s">
        <v>38</v>
      </c>
      <c r="O59" s="30" t="s">
        <v>276</v>
      </c>
      <c r="P59" s="32">
        <v>44294</v>
      </c>
      <c r="Q59" s="30" t="s">
        <v>28</v>
      </c>
    </row>
    <row r="60" spans="1:17">
      <c r="A60" s="30">
        <v>59</v>
      </c>
      <c r="B60" s="30" t="s">
        <v>556</v>
      </c>
      <c r="C60" s="37" t="s">
        <v>84</v>
      </c>
      <c r="D60" s="34" t="s">
        <v>480</v>
      </c>
      <c r="E60" s="34">
        <v>112</v>
      </c>
      <c r="F60" s="34">
        <v>1060</v>
      </c>
      <c r="G60" s="34">
        <v>1208</v>
      </c>
      <c r="H60" s="34">
        <v>1139.6226415094341</v>
      </c>
      <c r="I60" s="30" t="s">
        <v>285</v>
      </c>
      <c r="J60" s="34">
        <v>9</v>
      </c>
      <c r="K60" s="30" t="s">
        <v>266</v>
      </c>
      <c r="L60" s="30" t="s">
        <v>286</v>
      </c>
      <c r="M60" s="30" t="s">
        <v>60</v>
      </c>
      <c r="N60" s="30" t="s">
        <v>38</v>
      </c>
      <c r="O60" s="30" t="s">
        <v>287</v>
      </c>
      <c r="P60" s="32">
        <v>44275</v>
      </c>
      <c r="Q60" s="30" t="s">
        <v>28</v>
      </c>
    </row>
    <row r="61" spans="1:17">
      <c r="A61" s="30">
        <v>60</v>
      </c>
      <c r="B61" s="30" t="s">
        <v>557</v>
      </c>
      <c r="C61" s="37" t="s">
        <v>84</v>
      </c>
      <c r="D61" s="34" t="s">
        <v>481</v>
      </c>
      <c r="E61" s="34">
        <v>168</v>
      </c>
      <c r="F61" s="34">
        <v>1062</v>
      </c>
      <c r="G61" s="34">
        <v>1608</v>
      </c>
      <c r="H61" s="34">
        <v>1514.1242937853108</v>
      </c>
      <c r="I61" s="30" t="s">
        <v>288</v>
      </c>
      <c r="J61" s="34">
        <v>12</v>
      </c>
      <c r="K61" s="30" t="s">
        <v>289</v>
      </c>
      <c r="L61" s="30" t="s">
        <v>286</v>
      </c>
      <c r="M61" s="30" t="s">
        <v>60</v>
      </c>
      <c r="N61" s="30" t="s">
        <v>38</v>
      </c>
      <c r="O61" s="30" t="s">
        <v>287</v>
      </c>
      <c r="P61" s="32">
        <v>44275</v>
      </c>
      <c r="Q61" s="30" t="s">
        <v>28</v>
      </c>
    </row>
    <row r="62" spans="1:17">
      <c r="A62" s="30">
        <v>61</v>
      </c>
      <c r="B62" s="30" t="s">
        <v>558</v>
      </c>
      <c r="C62" s="37" t="s">
        <v>84</v>
      </c>
      <c r="D62" s="34" t="s">
        <v>473</v>
      </c>
      <c r="E62" s="34">
        <v>92</v>
      </c>
      <c r="F62" s="34">
        <v>1565</v>
      </c>
      <c r="G62" s="34">
        <v>1850</v>
      </c>
      <c r="H62" s="34">
        <v>1182.1086261980831</v>
      </c>
      <c r="I62" s="30" t="s">
        <v>290</v>
      </c>
      <c r="J62" s="34">
        <v>35</v>
      </c>
      <c r="K62" s="30" t="s">
        <v>213</v>
      </c>
      <c r="L62" s="30" t="s">
        <v>248</v>
      </c>
      <c r="M62" s="30" t="s">
        <v>60</v>
      </c>
      <c r="N62" s="30" t="s">
        <v>38</v>
      </c>
      <c r="O62" s="30" t="s">
        <v>27</v>
      </c>
      <c r="P62" s="32">
        <v>44271</v>
      </c>
      <c r="Q62" s="30" t="s">
        <v>28</v>
      </c>
    </row>
    <row r="63" spans="1:17">
      <c r="A63" s="30">
        <v>62</v>
      </c>
      <c r="B63" s="30" t="s">
        <v>559</v>
      </c>
      <c r="C63" s="37" t="s">
        <v>84</v>
      </c>
      <c r="D63" s="34" t="s">
        <v>474</v>
      </c>
      <c r="E63" s="34">
        <v>90</v>
      </c>
      <c r="F63" s="34">
        <v>1565</v>
      </c>
      <c r="G63" s="34">
        <v>1654</v>
      </c>
      <c r="H63" s="34">
        <v>1056.8690095846646</v>
      </c>
      <c r="I63" s="30" t="s">
        <v>291</v>
      </c>
      <c r="J63" s="34">
        <v>19</v>
      </c>
      <c r="K63" s="30" t="s">
        <v>213</v>
      </c>
      <c r="L63" s="30" t="s">
        <v>272</v>
      </c>
      <c r="M63" s="30" t="s">
        <v>60</v>
      </c>
      <c r="N63" s="30" t="s">
        <v>38</v>
      </c>
      <c r="O63" s="30" t="s">
        <v>27</v>
      </c>
      <c r="P63" s="32">
        <v>44271</v>
      </c>
      <c r="Q63" s="30" t="s">
        <v>28</v>
      </c>
    </row>
    <row r="64" spans="1:17">
      <c r="A64" s="30">
        <v>63</v>
      </c>
      <c r="B64" s="30" t="s">
        <v>560</v>
      </c>
      <c r="C64" s="37" t="s">
        <v>84</v>
      </c>
      <c r="D64" s="34" t="s">
        <v>482</v>
      </c>
      <c r="E64" s="34">
        <v>106</v>
      </c>
      <c r="F64" s="34">
        <v>900</v>
      </c>
      <c r="G64" s="34">
        <v>1475</v>
      </c>
      <c r="H64" s="34">
        <v>1638.8888888888889</v>
      </c>
      <c r="I64" s="30" t="s">
        <v>292</v>
      </c>
      <c r="J64" s="34">
        <v>18</v>
      </c>
      <c r="K64" s="30" t="s">
        <v>219</v>
      </c>
      <c r="L64" s="30" t="s">
        <v>293</v>
      </c>
      <c r="M64" s="30" t="s">
        <v>60</v>
      </c>
      <c r="N64" s="30" t="s">
        <v>38</v>
      </c>
      <c r="O64" s="30" t="s">
        <v>27</v>
      </c>
      <c r="P64" s="32">
        <v>44387</v>
      </c>
      <c r="Q64" s="30" t="s">
        <v>28</v>
      </c>
    </row>
    <row r="65" spans="1:17">
      <c r="A65" s="30">
        <v>64</v>
      </c>
      <c r="B65" s="30" t="s">
        <v>560</v>
      </c>
      <c r="C65" s="37" t="s">
        <v>84</v>
      </c>
      <c r="D65" s="34" t="s">
        <v>482</v>
      </c>
      <c r="E65" s="34">
        <v>106</v>
      </c>
      <c r="F65" s="34">
        <v>900</v>
      </c>
      <c r="G65" s="34">
        <v>1475</v>
      </c>
      <c r="H65" s="34">
        <v>1638.8888888888889</v>
      </c>
      <c r="I65" s="30" t="s">
        <v>292</v>
      </c>
      <c r="J65" s="34">
        <v>22</v>
      </c>
      <c r="K65" s="30" t="s">
        <v>219</v>
      </c>
      <c r="L65" s="30" t="s">
        <v>293</v>
      </c>
      <c r="M65" s="30" t="s">
        <v>60</v>
      </c>
      <c r="N65" s="30" t="s">
        <v>38</v>
      </c>
      <c r="O65" s="30" t="s">
        <v>27</v>
      </c>
      <c r="P65" s="32">
        <v>44418</v>
      </c>
      <c r="Q65" s="30" t="s">
        <v>28</v>
      </c>
    </row>
    <row r="66" spans="1:17">
      <c r="A66" s="30">
        <v>65</v>
      </c>
      <c r="B66" s="30" t="s">
        <v>561</v>
      </c>
      <c r="C66" s="37" t="s">
        <v>85</v>
      </c>
      <c r="D66" s="34" t="s">
        <v>480</v>
      </c>
      <c r="E66" s="34">
        <v>114</v>
      </c>
      <c r="F66" s="34">
        <v>1060</v>
      </c>
      <c r="G66" s="34">
        <v>1419</v>
      </c>
      <c r="H66" s="34">
        <v>1504</v>
      </c>
      <c r="I66" s="30" t="s">
        <v>259</v>
      </c>
      <c r="J66" s="34">
        <v>15</v>
      </c>
      <c r="K66" s="30" t="s">
        <v>266</v>
      </c>
      <c r="L66" s="30" t="s">
        <v>261</v>
      </c>
      <c r="N66" s="30" t="s">
        <v>38</v>
      </c>
      <c r="O66" s="30" t="s">
        <v>294</v>
      </c>
      <c r="P66" s="32">
        <v>44084</v>
      </c>
      <c r="Q66" s="30" t="s">
        <v>28</v>
      </c>
    </row>
    <row r="67" spans="1:17">
      <c r="A67" s="30">
        <v>66</v>
      </c>
      <c r="B67" s="30" t="s">
        <v>562</v>
      </c>
      <c r="C67" s="37" t="s">
        <v>84</v>
      </c>
      <c r="D67" s="34" t="s">
        <v>483</v>
      </c>
      <c r="E67" s="34">
        <v>158</v>
      </c>
      <c r="F67" s="34">
        <v>903</v>
      </c>
      <c r="G67" s="34">
        <v>1531</v>
      </c>
      <c r="H67" s="34">
        <v>1695.4595791805093</v>
      </c>
      <c r="I67" s="30" t="s">
        <v>295</v>
      </c>
      <c r="J67" s="34">
        <v>20</v>
      </c>
      <c r="K67" s="30" t="s">
        <v>296</v>
      </c>
      <c r="L67" s="30" t="s">
        <v>224</v>
      </c>
      <c r="M67" s="30" t="s">
        <v>60</v>
      </c>
      <c r="N67" s="30" t="s">
        <v>38</v>
      </c>
      <c r="O67" s="30" t="s">
        <v>27</v>
      </c>
      <c r="P67" s="32">
        <v>44277</v>
      </c>
      <c r="Q67" s="30" t="s">
        <v>28</v>
      </c>
    </row>
    <row r="68" spans="1:17">
      <c r="A68" s="30">
        <v>67</v>
      </c>
      <c r="B68" s="30" t="s">
        <v>563</v>
      </c>
      <c r="C68" s="37" t="s">
        <v>82</v>
      </c>
      <c r="D68" s="34" t="s">
        <v>480</v>
      </c>
      <c r="E68" s="34">
        <v>112</v>
      </c>
      <c r="F68" s="34">
        <v>1060</v>
      </c>
      <c r="G68" s="34">
        <v>1529</v>
      </c>
      <c r="H68" s="34">
        <v>1442.4528301886792</v>
      </c>
      <c r="I68" s="30" t="s">
        <v>269</v>
      </c>
      <c r="J68" s="34">
        <v>9</v>
      </c>
      <c r="K68" s="30" t="s">
        <v>266</v>
      </c>
      <c r="L68" s="30" t="s">
        <v>226</v>
      </c>
      <c r="M68" s="30" t="s">
        <v>60</v>
      </c>
      <c r="N68" s="30" t="s">
        <v>36</v>
      </c>
      <c r="O68" s="30" t="s">
        <v>270</v>
      </c>
      <c r="P68" s="32">
        <v>44356</v>
      </c>
      <c r="Q68" s="30" t="s">
        <v>28</v>
      </c>
    </row>
    <row r="69" spans="1:17">
      <c r="A69" s="30">
        <v>68</v>
      </c>
      <c r="B69" s="30" t="s">
        <v>563</v>
      </c>
      <c r="C69" s="37" t="s">
        <v>82</v>
      </c>
      <c r="D69" s="34" t="s">
        <v>480</v>
      </c>
      <c r="E69" s="34">
        <v>112</v>
      </c>
      <c r="F69" s="34">
        <v>1060</v>
      </c>
      <c r="G69" s="34">
        <v>1529</v>
      </c>
      <c r="H69" s="34">
        <v>1442.4528301886792</v>
      </c>
      <c r="I69" s="30" t="s">
        <v>269</v>
      </c>
      <c r="J69" s="34">
        <v>10</v>
      </c>
      <c r="K69" s="30" t="s">
        <v>266</v>
      </c>
      <c r="L69" s="30" t="s">
        <v>226</v>
      </c>
      <c r="M69" s="30" t="s">
        <v>60</v>
      </c>
      <c r="N69" s="30" t="s">
        <v>36</v>
      </c>
      <c r="O69" s="30" t="s">
        <v>270</v>
      </c>
      <c r="P69" s="32">
        <v>44376</v>
      </c>
      <c r="Q69" s="30" t="s">
        <v>28</v>
      </c>
    </row>
    <row r="70" spans="1:17">
      <c r="A70" s="30">
        <v>69</v>
      </c>
      <c r="B70" s="30" t="s">
        <v>564</v>
      </c>
      <c r="C70" s="37" t="s">
        <v>71</v>
      </c>
      <c r="D70" s="34" t="s">
        <v>484</v>
      </c>
      <c r="E70" s="34">
        <v>190</v>
      </c>
      <c r="F70" s="34">
        <v>1490</v>
      </c>
      <c r="G70" s="34">
        <v>3110</v>
      </c>
      <c r="H70" s="34">
        <v>2087.2483221476509</v>
      </c>
      <c r="I70" s="30" t="s">
        <v>297</v>
      </c>
      <c r="J70" s="34">
        <v>11</v>
      </c>
      <c r="K70" s="30" t="s">
        <v>298</v>
      </c>
      <c r="L70" s="30" t="s">
        <v>299</v>
      </c>
      <c r="M70" s="30" t="s">
        <v>60</v>
      </c>
      <c r="N70" s="30" t="s">
        <v>38</v>
      </c>
      <c r="O70" s="30" t="s">
        <v>300</v>
      </c>
      <c r="P70" s="32">
        <v>44154</v>
      </c>
      <c r="Q70" s="30" t="s">
        <v>28</v>
      </c>
    </row>
    <row r="71" spans="1:17">
      <c r="A71" s="30">
        <v>70</v>
      </c>
      <c r="B71" s="30" t="s">
        <v>585</v>
      </c>
      <c r="C71" s="37" t="s">
        <v>83</v>
      </c>
      <c r="D71" s="34" t="s">
        <v>473</v>
      </c>
      <c r="E71" s="34">
        <v>88</v>
      </c>
      <c r="F71" s="34">
        <v>1555</v>
      </c>
      <c r="G71" s="34">
        <v>1587</v>
      </c>
      <c r="H71" s="34">
        <v>1020.5787781350482</v>
      </c>
      <c r="I71" s="30" t="s">
        <v>249</v>
      </c>
      <c r="J71" s="34">
        <v>22</v>
      </c>
      <c r="K71" s="30" t="s">
        <v>240</v>
      </c>
      <c r="L71" s="30" t="s">
        <v>248</v>
      </c>
      <c r="M71" s="30" t="s">
        <v>59</v>
      </c>
      <c r="N71" s="30" t="s">
        <v>36</v>
      </c>
      <c r="O71" s="30" t="s">
        <v>250</v>
      </c>
      <c r="P71" s="32">
        <v>43699</v>
      </c>
      <c r="Q71" s="30" t="s">
        <v>28</v>
      </c>
    </row>
    <row r="72" spans="1:17">
      <c r="A72" s="30">
        <v>71</v>
      </c>
      <c r="B72" s="30" t="s">
        <v>585</v>
      </c>
      <c r="C72" s="37" t="s">
        <v>83</v>
      </c>
      <c r="D72" s="34" t="s">
        <v>473</v>
      </c>
      <c r="E72" s="34">
        <v>88</v>
      </c>
      <c r="F72" s="34">
        <v>1555</v>
      </c>
      <c r="G72" s="34">
        <v>1587</v>
      </c>
      <c r="H72" s="34">
        <v>1020.5787781350482</v>
      </c>
      <c r="I72" s="30" t="s">
        <v>249</v>
      </c>
      <c r="J72" s="34">
        <v>23</v>
      </c>
      <c r="K72" s="30" t="s">
        <v>240</v>
      </c>
      <c r="L72" s="30" t="s">
        <v>248</v>
      </c>
      <c r="M72" s="30" t="s">
        <v>59</v>
      </c>
      <c r="N72" s="30" t="s">
        <v>36</v>
      </c>
      <c r="O72" s="30" t="s">
        <v>250</v>
      </c>
      <c r="P72" s="32">
        <v>43699</v>
      </c>
      <c r="Q72" s="30" t="s">
        <v>28</v>
      </c>
    </row>
    <row r="73" spans="1:17">
      <c r="A73" s="30">
        <v>72</v>
      </c>
      <c r="B73" s="30" t="s">
        <v>585</v>
      </c>
      <c r="C73" s="37" t="s">
        <v>83</v>
      </c>
      <c r="D73" s="34" t="s">
        <v>473</v>
      </c>
      <c r="E73" s="34">
        <v>88</v>
      </c>
      <c r="F73" s="34">
        <v>1555</v>
      </c>
      <c r="G73" s="34">
        <v>1587</v>
      </c>
      <c r="H73" s="34">
        <v>1020.5787781350482</v>
      </c>
      <c r="I73" s="30" t="s">
        <v>249</v>
      </c>
      <c r="J73" s="34">
        <v>25</v>
      </c>
      <c r="K73" s="30" t="s">
        <v>240</v>
      </c>
      <c r="L73" s="30" t="s">
        <v>248</v>
      </c>
      <c r="M73" s="30" t="s">
        <v>59</v>
      </c>
      <c r="N73" s="30" t="s">
        <v>36</v>
      </c>
      <c r="O73" s="30" t="s">
        <v>250</v>
      </c>
      <c r="P73" s="32">
        <v>43727</v>
      </c>
      <c r="Q73" s="30" t="s">
        <v>28</v>
      </c>
    </row>
    <row r="74" spans="1:17">
      <c r="A74" s="30">
        <v>73</v>
      </c>
      <c r="B74" s="30" t="s">
        <v>585</v>
      </c>
      <c r="C74" s="37" t="s">
        <v>83</v>
      </c>
      <c r="D74" s="34" t="s">
        <v>473</v>
      </c>
      <c r="E74" s="34">
        <v>88</v>
      </c>
      <c r="F74" s="34">
        <v>1555</v>
      </c>
      <c r="G74" s="34">
        <v>1587</v>
      </c>
      <c r="H74" s="34">
        <v>1020.5787781350482</v>
      </c>
      <c r="I74" s="30" t="s">
        <v>249</v>
      </c>
      <c r="J74" s="34">
        <v>26</v>
      </c>
      <c r="K74" s="30" t="s">
        <v>240</v>
      </c>
      <c r="L74" s="30" t="s">
        <v>248</v>
      </c>
      <c r="M74" s="30" t="s">
        <v>59</v>
      </c>
      <c r="N74" s="30" t="s">
        <v>36</v>
      </c>
      <c r="O74" s="30" t="s">
        <v>250</v>
      </c>
      <c r="P74" s="32">
        <v>43727</v>
      </c>
      <c r="Q74" s="30" t="s">
        <v>28</v>
      </c>
    </row>
    <row r="75" spans="1:17">
      <c r="A75" s="30">
        <v>74</v>
      </c>
      <c r="B75" s="30" t="s">
        <v>585</v>
      </c>
      <c r="C75" s="37" t="s">
        <v>83</v>
      </c>
      <c r="D75" s="34" t="s">
        <v>473</v>
      </c>
      <c r="E75" s="34">
        <v>88</v>
      </c>
      <c r="F75" s="34">
        <v>1555</v>
      </c>
      <c r="G75" s="34">
        <v>1587</v>
      </c>
      <c r="H75" s="34">
        <v>1020.5787781350482</v>
      </c>
      <c r="I75" s="30" t="s">
        <v>249</v>
      </c>
      <c r="J75" s="34">
        <v>27</v>
      </c>
      <c r="K75" s="30" t="s">
        <v>240</v>
      </c>
      <c r="L75" s="30" t="s">
        <v>248</v>
      </c>
      <c r="M75" s="30" t="s">
        <v>59</v>
      </c>
      <c r="N75" s="30" t="s">
        <v>36</v>
      </c>
      <c r="O75" s="30" t="s">
        <v>250</v>
      </c>
      <c r="P75" s="32">
        <v>43727</v>
      </c>
      <c r="Q75" s="30" t="s">
        <v>28</v>
      </c>
    </row>
    <row r="76" spans="1:17">
      <c r="A76" s="30">
        <v>75</v>
      </c>
      <c r="B76" s="30" t="s">
        <v>565</v>
      </c>
      <c r="C76" s="37" t="s">
        <v>84</v>
      </c>
      <c r="D76" s="34" t="s">
        <v>485</v>
      </c>
      <c r="E76" s="34">
        <v>80</v>
      </c>
      <c r="F76" s="34">
        <v>1485</v>
      </c>
      <c r="G76" s="34">
        <v>1493</v>
      </c>
      <c r="H76" s="34">
        <v>1005.3872053872054</v>
      </c>
      <c r="I76" s="30" t="s">
        <v>301</v>
      </c>
      <c r="J76" s="34">
        <v>9</v>
      </c>
      <c r="K76" s="30" t="s">
        <v>238</v>
      </c>
      <c r="L76" s="30" t="s">
        <v>302</v>
      </c>
      <c r="M76" s="30" t="s">
        <v>59</v>
      </c>
      <c r="N76" s="30" t="s">
        <v>38</v>
      </c>
      <c r="O76" s="30" t="s">
        <v>27</v>
      </c>
      <c r="P76" s="32">
        <v>44387</v>
      </c>
      <c r="Q76" s="30" t="s">
        <v>28</v>
      </c>
    </row>
    <row r="77" spans="1:17">
      <c r="A77" s="30">
        <v>76</v>
      </c>
      <c r="B77" s="30" t="s">
        <v>566</v>
      </c>
      <c r="C77" s="37" t="s">
        <v>84</v>
      </c>
      <c r="D77" s="34" t="s">
        <v>485</v>
      </c>
      <c r="E77" s="34">
        <v>80</v>
      </c>
      <c r="F77" s="34">
        <v>1550</v>
      </c>
      <c r="G77" s="34">
        <v>1558</v>
      </c>
      <c r="H77" s="34">
        <v>1005.1612903225806</v>
      </c>
      <c r="I77" s="30" t="s">
        <v>303</v>
      </c>
      <c r="J77" s="34">
        <v>11</v>
      </c>
      <c r="K77" s="30" t="s">
        <v>240</v>
      </c>
      <c r="L77" s="30" t="s">
        <v>302</v>
      </c>
      <c r="M77" s="30" t="s">
        <v>59</v>
      </c>
      <c r="N77" s="30" t="s">
        <v>38</v>
      </c>
      <c r="O77" s="30" t="s">
        <v>27</v>
      </c>
      <c r="P77" s="32">
        <v>44294</v>
      </c>
      <c r="Q77" s="30" t="s">
        <v>28</v>
      </c>
    </row>
    <row r="78" spans="1:17">
      <c r="A78" s="30">
        <v>77</v>
      </c>
      <c r="B78" s="30" t="s">
        <v>567</v>
      </c>
      <c r="C78" s="37" t="s">
        <v>84</v>
      </c>
      <c r="D78" s="34" t="s">
        <v>485</v>
      </c>
      <c r="E78" s="34">
        <v>80</v>
      </c>
      <c r="F78" s="34">
        <v>1550</v>
      </c>
      <c r="G78" s="34">
        <v>1558</v>
      </c>
      <c r="H78" s="34">
        <v>1005.1612903225806</v>
      </c>
      <c r="I78" s="30" t="s">
        <v>304</v>
      </c>
      <c r="J78" s="34">
        <v>5</v>
      </c>
      <c r="K78" s="30" t="s">
        <v>240</v>
      </c>
      <c r="L78" s="30" t="s">
        <v>302</v>
      </c>
      <c r="M78" s="30" t="s">
        <v>60</v>
      </c>
      <c r="N78" s="30" t="s">
        <v>38</v>
      </c>
      <c r="O78" s="30" t="s">
        <v>27</v>
      </c>
      <c r="P78" s="32" t="s">
        <v>568</v>
      </c>
      <c r="Q78" s="30" t="s">
        <v>28</v>
      </c>
    </row>
    <row r="79" spans="1:17">
      <c r="A79" s="30">
        <v>78</v>
      </c>
      <c r="B79" s="30" t="s">
        <v>569</v>
      </c>
      <c r="C79" s="37" t="s">
        <v>82</v>
      </c>
      <c r="D79" s="34" t="s">
        <v>473</v>
      </c>
      <c r="E79" s="34">
        <v>94</v>
      </c>
      <c r="F79" s="34">
        <v>1565</v>
      </c>
      <c r="G79" s="34">
        <v>1599</v>
      </c>
      <c r="H79" s="34">
        <v>1021.7252396166134</v>
      </c>
      <c r="I79" s="30" t="s">
        <v>305</v>
      </c>
      <c r="J79" s="34">
        <v>3</v>
      </c>
      <c r="K79" s="30" t="s">
        <v>213</v>
      </c>
      <c r="L79" s="30" t="s">
        <v>306</v>
      </c>
      <c r="M79" s="30" t="s">
        <v>60</v>
      </c>
      <c r="N79" s="30" t="s">
        <v>36</v>
      </c>
      <c r="O79" s="30" t="s">
        <v>307</v>
      </c>
      <c r="P79" s="32">
        <v>43698</v>
      </c>
      <c r="Q79" s="30" t="s">
        <v>28</v>
      </c>
    </row>
    <row r="80" spans="1:17">
      <c r="A80" s="30">
        <v>79</v>
      </c>
      <c r="B80" s="30" t="s">
        <v>569</v>
      </c>
      <c r="C80" s="37" t="s">
        <v>82</v>
      </c>
      <c r="D80" s="34" t="s">
        <v>473</v>
      </c>
      <c r="E80" s="34">
        <v>94</v>
      </c>
      <c r="F80" s="34">
        <v>1565</v>
      </c>
      <c r="G80" s="34">
        <v>1599</v>
      </c>
      <c r="H80" s="34">
        <v>1021.7252396166134</v>
      </c>
      <c r="I80" s="30" t="s">
        <v>305</v>
      </c>
      <c r="J80" s="34">
        <v>4</v>
      </c>
      <c r="K80" s="30" t="s">
        <v>213</v>
      </c>
      <c r="L80" s="30" t="s">
        <v>306</v>
      </c>
      <c r="M80" s="30" t="s">
        <v>60</v>
      </c>
      <c r="N80" s="30" t="s">
        <v>36</v>
      </c>
      <c r="O80" s="30" t="s">
        <v>307</v>
      </c>
      <c r="P80" s="32">
        <v>43698</v>
      </c>
      <c r="Q80" s="30" t="s">
        <v>28</v>
      </c>
    </row>
    <row r="81" spans="1:17">
      <c r="A81" s="30">
        <v>80</v>
      </c>
      <c r="B81" s="30" t="s">
        <v>569</v>
      </c>
      <c r="C81" s="37" t="s">
        <v>82</v>
      </c>
      <c r="D81" s="34" t="s">
        <v>473</v>
      </c>
      <c r="E81" s="34">
        <v>94</v>
      </c>
      <c r="F81" s="34">
        <v>1565</v>
      </c>
      <c r="G81" s="34">
        <v>1599</v>
      </c>
      <c r="H81" s="34">
        <v>1021.7252396166134</v>
      </c>
      <c r="I81" s="30" t="s">
        <v>305</v>
      </c>
      <c r="J81" s="34">
        <v>5</v>
      </c>
      <c r="K81" s="30" t="s">
        <v>213</v>
      </c>
      <c r="L81" s="30" t="s">
        <v>306</v>
      </c>
      <c r="M81" s="30" t="s">
        <v>60</v>
      </c>
      <c r="N81" s="30" t="s">
        <v>36</v>
      </c>
      <c r="O81" s="30" t="s">
        <v>307</v>
      </c>
      <c r="P81" s="32">
        <v>43698</v>
      </c>
      <c r="Q81" s="30" t="s">
        <v>28</v>
      </c>
    </row>
    <row r="82" spans="1:17">
      <c r="A82" s="30">
        <v>81</v>
      </c>
      <c r="B82" s="30" t="s">
        <v>570</v>
      </c>
      <c r="C82" s="37" t="s">
        <v>82</v>
      </c>
      <c r="D82" s="34" t="s">
        <v>486</v>
      </c>
      <c r="E82" s="34">
        <v>122</v>
      </c>
      <c r="F82" s="34">
        <v>1565</v>
      </c>
      <c r="G82" s="34">
        <v>2125</v>
      </c>
      <c r="H82" s="34">
        <v>1357.8274760383385</v>
      </c>
      <c r="I82" s="30" t="s">
        <v>308</v>
      </c>
      <c r="J82" s="34">
        <v>3</v>
      </c>
      <c r="K82" s="30" t="s">
        <v>309</v>
      </c>
      <c r="L82" s="30" t="s">
        <v>310</v>
      </c>
      <c r="M82" s="30" t="s">
        <v>60</v>
      </c>
      <c r="N82" s="30" t="s">
        <v>36</v>
      </c>
      <c r="O82" s="30" t="s">
        <v>307</v>
      </c>
      <c r="P82" s="32">
        <v>43698</v>
      </c>
      <c r="Q82" s="30" t="s">
        <v>28</v>
      </c>
    </row>
    <row r="83" spans="1:17">
      <c r="A83" s="30">
        <v>82</v>
      </c>
      <c r="B83" s="30" t="s">
        <v>570</v>
      </c>
      <c r="C83" s="37" t="s">
        <v>82</v>
      </c>
      <c r="D83" s="34" t="s">
        <v>486</v>
      </c>
      <c r="E83" s="34">
        <v>122</v>
      </c>
      <c r="F83" s="34">
        <v>1565</v>
      </c>
      <c r="G83" s="34">
        <v>2125</v>
      </c>
      <c r="H83" s="34">
        <v>1357.8274760383385</v>
      </c>
      <c r="I83" s="30" t="s">
        <v>308</v>
      </c>
      <c r="J83" s="34">
        <v>4</v>
      </c>
      <c r="K83" s="30" t="s">
        <v>309</v>
      </c>
      <c r="L83" s="30" t="s">
        <v>310</v>
      </c>
      <c r="M83" s="30" t="s">
        <v>60</v>
      </c>
      <c r="N83" s="30" t="s">
        <v>36</v>
      </c>
      <c r="O83" s="30" t="s">
        <v>307</v>
      </c>
      <c r="P83" s="32">
        <v>43698</v>
      </c>
      <c r="Q83" s="30" t="s">
        <v>28</v>
      </c>
    </row>
    <row r="84" spans="1:17">
      <c r="A84" s="30">
        <v>83</v>
      </c>
      <c r="B84" s="30" t="s">
        <v>571</v>
      </c>
      <c r="C84" s="37" t="s">
        <v>84</v>
      </c>
      <c r="D84" s="34" t="s">
        <v>478</v>
      </c>
      <c r="E84" s="34">
        <v>87</v>
      </c>
      <c r="F84" s="34">
        <v>1562</v>
      </c>
      <c r="G84" s="34">
        <v>1952</v>
      </c>
      <c r="H84" s="34">
        <v>1249.6798975672216</v>
      </c>
      <c r="I84" s="30" t="s">
        <v>311</v>
      </c>
      <c r="J84" s="34">
        <v>10</v>
      </c>
      <c r="K84" s="30" t="s">
        <v>213</v>
      </c>
      <c r="L84" s="30" t="s">
        <v>241</v>
      </c>
      <c r="M84" s="30" t="s">
        <v>60</v>
      </c>
      <c r="N84" s="30" t="s">
        <v>38</v>
      </c>
      <c r="O84" s="30" t="s">
        <v>27</v>
      </c>
      <c r="P84" s="32">
        <v>44387</v>
      </c>
      <c r="Q84" s="30" t="s">
        <v>28</v>
      </c>
    </row>
    <row r="85" spans="1:17">
      <c r="A85" s="30">
        <v>84</v>
      </c>
      <c r="B85" s="30" t="s">
        <v>572</v>
      </c>
      <c r="C85" s="37" t="s">
        <v>84</v>
      </c>
      <c r="D85" s="34" t="s">
        <v>485</v>
      </c>
      <c r="E85" s="34">
        <v>87</v>
      </c>
      <c r="F85" s="34">
        <v>1572</v>
      </c>
      <c r="G85" s="34">
        <v>1856</v>
      </c>
      <c r="H85" s="34">
        <v>1180.6615776081426</v>
      </c>
      <c r="I85" s="30" t="s">
        <v>312</v>
      </c>
      <c r="J85" s="34">
        <v>10</v>
      </c>
      <c r="K85" s="30" t="s">
        <v>213</v>
      </c>
      <c r="L85" s="30" t="s">
        <v>263</v>
      </c>
      <c r="M85" s="30" t="s">
        <v>60</v>
      </c>
      <c r="N85" s="30" t="s">
        <v>38</v>
      </c>
      <c r="O85" s="30" t="s">
        <v>27</v>
      </c>
      <c r="P85" s="32">
        <v>44387</v>
      </c>
      <c r="Q85" s="30" t="s">
        <v>28</v>
      </c>
    </row>
    <row r="86" spans="1:17">
      <c r="A86" s="30">
        <v>85</v>
      </c>
      <c r="B86" s="30" t="s">
        <v>573</v>
      </c>
      <c r="C86" s="37" t="s">
        <v>313</v>
      </c>
      <c r="D86" s="34" t="s">
        <v>478</v>
      </c>
      <c r="E86" s="34">
        <v>126</v>
      </c>
      <c r="F86" s="34">
        <v>1485</v>
      </c>
      <c r="G86" s="34">
        <v>1899</v>
      </c>
      <c r="H86" s="34">
        <v>1278.7878787878788</v>
      </c>
      <c r="I86" s="30" t="s">
        <v>314</v>
      </c>
      <c r="J86" s="34">
        <v>9</v>
      </c>
      <c r="K86" s="30" t="s">
        <v>315</v>
      </c>
      <c r="L86" s="30" t="s">
        <v>316</v>
      </c>
      <c r="M86" s="30" t="s">
        <v>60</v>
      </c>
      <c r="N86" s="30" t="s">
        <v>38</v>
      </c>
      <c r="O86" s="30" t="s">
        <v>300</v>
      </c>
      <c r="P86" s="32">
        <v>43990</v>
      </c>
      <c r="Q86" s="30" t="s">
        <v>28</v>
      </c>
    </row>
    <row r="87" spans="1:17">
      <c r="A87" s="30">
        <v>86</v>
      </c>
      <c r="B87" s="30" t="s">
        <v>574</v>
      </c>
      <c r="C87" s="37" t="s">
        <v>83</v>
      </c>
      <c r="D87" s="34" t="s">
        <v>473</v>
      </c>
      <c r="E87" s="34">
        <v>92</v>
      </c>
      <c r="F87" s="34">
        <v>1565</v>
      </c>
      <c r="G87" s="34">
        <v>1756</v>
      </c>
      <c r="H87" s="34">
        <v>1122.0447284345048</v>
      </c>
      <c r="I87" s="30" t="s">
        <v>290</v>
      </c>
      <c r="J87" s="34">
        <v>33</v>
      </c>
      <c r="K87" s="30" t="s">
        <v>213</v>
      </c>
      <c r="L87" s="30" t="s">
        <v>248</v>
      </c>
      <c r="M87" s="30" t="s">
        <v>60</v>
      </c>
      <c r="N87" s="30" t="s">
        <v>37</v>
      </c>
      <c r="O87" s="30" t="s">
        <v>317</v>
      </c>
      <c r="P87" s="32">
        <v>43715</v>
      </c>
      <c r="Q87" s="30" t="s">
        <v>28</v>
      </c>
    </row>
    <row r="88" spans="1:17">
      <c r="A88" s="30">
        <v>87</v>
      </c>
      <c r="B88" s="30" t="s">
        <v>575</v>
      </c>
      <c r="C88" s="37" t="s">
        <v>83</v>
      </c>
      <c r="D88" s="34" t="s">
        <v>474</v>
      </c>
      <c r="E88" s="34">
        <v>90</v>
      </c>
      <c r="F88" s="34">
        <v>1565</v>
      </c>
      <c r="G88" s="34">
        <v>1652</v>
      </c>
      <c r="H88" s="34">
        <v>1055.591054313099</v>
      </c>
      <c r="I88" s="30" t="s">
        <v>291</v>
      </c>
      <c r="J88" s="34">
        <v>17</v>
      </c>
      <c r="K88" s="30" t="s">
        <v>213</v>
      </c>
      <c r="L88" s="30" t="s">
        <v>272</v>
      </c>
      <c r="M88" s="30" t="s">
        <v>60</v>
      </c>
      <c r="N88" s="30" t="s">
        <v>37</v>
      </c>
      <c r="O88" s="30" t="s">
        <v>317</v>
      </c>
      <c r="P88" s="32">
        <v>43715</v>
      </c>
      <c r="Q88" s="30" t="s">
        <v>28</v>
      </c>
    </row>
    <row r="89" spans="1:17">
      <c r="A89" s="30">
        <v>88</v>
      </c>
      <c r="B89" s="30" t="s">
        <v>576</v>
      </c>
      <c r="C89" s="37" t="s">
        <v>84</v>
      </c>
      <c r="D89" s="34" t="s">
        <v>486</v>
      </c>
      <c r="E89" s="34">
        <v>94</v>
      </c>
      <c r="F89" s="34">
        <v>1490</v>
      </c>
      <c r="G89" s="34">
        <v>2044</v>
      </c>
      <c r="H89" s="34">
        <v>1371.8120805369128</v>
      </c>
      <c r="I89" s="30" t="s">
        <v>318</v>
      </c>
      <c r="J89" s="34">
        <v>8</v>
      </c>
      <c r="K89" s="30" t="s">
        <v>254</v>
      </c>
      <c r="L89" s="30" t="s">
        <v>217</v>
      </c>
      <c r="M89" s="30" t="s">
        <v>59</v>
      </c>
      <c r="N89" s="30" t="s">
        <v>38</v>
      </c>
      <c r="O89" s="30" t="s">
        <v>27</v>
      </c>
      <c r="P89" s="32">
        <v>44387</v>
      </c>
      <c r="Q89" s="30" t="s">
        <v>28</v>
      </c>
    </row>
    <row r="90" spans="1:17">
      <c r="A90" s="30">
        <v>89</v>
      </c>
      <c r="B90" s="30" t="s">
        <v>577</v>
      </c>
      <c r="C90" s="37" t="s">
        <v>84</v>
      </c>
      <c r="D90" s="34" t="s">
        <v>486</v>
      </c>
      <c r="E90" s="34">
        <v>92</v>
      </c>
      <c r="F90" s="34">
        <v>1567</v>
      </c>
      <c r="G90" s="34">
        <v>2069</v>
      </c>
      <c r="H90" s="34">
        <v>1320.3573707721762</v>
      </c>
      <c r="I90" s="30" t="s">
        <v>319</v>
      </c>
      <c r="J90" s="34">
        <v>7</v>
      </c>
      <c r="K90" s="30" t="s">
        <v>256</v>
      </c>
      <c r="L90" s="30" t="s">
        <v>217</v>
      </c>
      <c r="M90" s="30" t="s">
        <v>59</v>
      </c>
      <c r="N90" s="30" t="s">
        <v>38</v>
      </c>
      <c r="O90" s="30" t="s">
        <v>27</v>
      </c>
      <c r="P90" s="32">
        <v>44278</v>
      </c>
      <c r="Q90" s="30" t="s">
        <v>28</v>
      </c>
    </row>
    <row r="91" spans="1:17">
      <c r="A91" s="30">
        <v>90</v>
      </c>
      <c r="B91" s="30" t="s">
        <v>578</v>
      </c>
      <c r="C91" s="37" t="s">
        <v>82</v>
      </c>
      <c r="D91" s="34" t="s">
        <v>474</v>
      </c>
      <c r="E91" s="34">
        <v>130</v>
      </c>
      <c r="F91" s="34">
        <v>1488</v>
      </c>
      <c r="G91" s="34">
        <v>2105</v>
      </c>
      <c r="H91" s="34">
        <v>1414.6505376344087</v>
      </c>
      <c r="I91" s="30" t="s">
        <v>320</v>
      </c>
      <c r="J91" s="34">
        <v>14</v>
      </c>
      <c r="K91" s="30" t="s">
        <v>321</v>
      </c>
      <c r="L91" s="30" t="s">
        <v>322</v>
      </c>
      <c r="M91" s="30" t="s">
        <v>60</v>
      </c>
      <c r="N91" s="30" t="s">
        <v>38</v>
      </c>
      <c r="O91" s="30" t="s">
        <v>323</v>
      </c>
      <c r="P91" s="32">
        <v>44217</v>
      </c>
      <c r="Q91" s="30" t="s">
        <v>28</v>
      </c>
    </row>
    <row r="92" spans="1:17">
      <c r="A92" s="30">
        <v>91</v>
      </c>
      <c r="B92" s="30" t="s">
        <v>579</v>
      </c>
      <c r="C92" s="37" t="s">
        <v>82</v>
      </c>
      <c r="D92" s="34" t="s">
        <v>473</v>
      </c>
      <c r="E92" s="34">
        <v>98</v>
      </c>
      <c r="F92" s="34">
        <v>1480</v>
      </c>
      <c r="G92" s="34">
        <v>1690</v>
      </c>
      <c r="H92" s="34">
        <v>1141.8918918918919</v>
      </c>
      <c r="I92" s="30" t="s">
        <v>324</v>
      </c>
      <c r="J92" s="34">
        <v>13</v>
      </c>
      <c r="K92" s="30" t="s">
        <v>325</v>
      </c>
      <c r="L92" s="30" t="s">
        <v>322</v>
      </c>
      <c r="M92" s="30" t="s">
        <v>60</v>
      </c>
      <c r="N92" s="30" t="s">
        <v>38</v>
      </c>
      <c r="O92" s="30" t="s">
        <v>323</v>
      </c>
      <c r="P92" s="32">
        <v>44277</v>
      </c>
      <c r="Q92" s="30" t="s">
        <v>28</v>
      </c>
    </row>
    <row r="93" spans="1:17">
      <c r="A93" s="30">
        <v>92</v>
      </c>
      <c r="B93" s="30" t="s">
        <v>580</v>
      </c>
      <c r="C93" s="37" t="s">
        <v>313</v>
      </c>
      <c r="D93" s="34" t="s">
        <v>478</v>
      </c>
      <c r="E93" s="34">
        <v>126</v>
      </c>
      <c r="F93" s="34">
        <v>1485</v>
      </c>
      <c r="G93" s="34">
        <v>1923</v>
      </c>
      <c r="H93" s="34">
        <v>1294.9494949494949</v>
      </c>
      <c r="I93" s="30" t="s">
        <v>326</v>
      </c>
      <c r="J93" s="34">
        <v>4</v>
      </c>
      <c r="K93" s="30" t="s">
        <v>315</v>
      </c>
      <c r="L93" s="30" t="s">
        <v>316</v>
      </c>
      <c r="M93" s="30" t="s">
        <v>60</v>
      </c>
      <c r="N93" s="30" t="s">
        <v>38</v>
      </c>
      <c r="O93" s="30" t="s">
        <v>27</v>
      </c>
      <c r="P93" s="32">
        <v>44214</v>
      </c>
      <c r="Q93" s="30" t="s">
        <v>28</v>
      </c>
    </row>
    <row r="94" spans="1:17">
      <c r="A94" s="30">
        <v>93</v>
      </c>
      <c r="B94" s="30" t="s">
        <v>581</v>
      </c>
      <c r="C94" s="37" t="s">
        <v>313</v>
      </c>
      <c r="D94" s="34" t="s">
        <v>484</v>
      </c>
      <c r="E94" s="34">
        <v>190</v>
      </c>
      <c r="F94" s="34">
        <v>1490</v>
      </c>
      <c r="G94" s="34">
        <v>3121</v>
      </c>
      <c r="H94" s="34">
        <v>2094.6308724832215</v>
      </c>
      <c r="I94" s="30" t="s">
        <v>327</v>
      </c>
      <c r="J94" s="34">
        <v>4</v>
      </c>
      <c r="K94" s="30" t="s">
        <v>298</v>
      </c>
      <c r="L94" s="30" t="s">
        <v>299</v>
      </c>
      <c r="M94" s="30" t="s">
        <v>60</v>
      </c>
      <c r="N94" s="30" t="s">
        <v>38</v>
      </c>
      <c r="O94" s="30" t="s">
        <v>27</v>
      </c>
      <c r="P94" s="32">
        <v>44387</v>
      </c>
      <c r="Q94" s="30" t="s">
        <v>28</v>
      </c>
    </row>
    <row r="95" spans="1:17">
      <c r="A95" s="30">
        <v>94</v>
      </c>
      <c r="B95" s="30" t="s">
        <v>582</v>
      </c>
      <c r="C95" s="37" t="s">
        <v>82</v>
      </c>
      <c r="D95" s="34" t="s">
        <v>484</v>
      </c>
      <c r="E95" s="34">
        <v>188</v>
      </c>
      <c r="F95" s="34">
        <v>1482</v>
      </c>
      <c r="G95" s="34">
        <v>3196</v>
      </c>
      <c r="H95" s="34">
        <v>2156.5452091767879</v>
      </c>
      <c r="I95" s="30" t="s">
        <v>328</v>
      </c>
      <c r="J95" s="34">
        <v>12</v>
      </c>
      <c r="K95" s="30" t="s">
        <v>298</v>
      </c>
      <c r="L95" s="30" t="s">
        <v>329</v>
      </c>
      <c r="M95" s="30" t="s">
        <v>60</v>
      </c>
      <c r="N95" s="30" t="s">
        <v>38</v>
      </c>
      <c r="O95" s="30" t="s">
        <v>323</v>
      </c>
      <c r="P95" s="32">
        <v>44387</v>
      </c>
      <c r="Q95" s="30" t="s">
        <v>28</v>
      </c>
    </row>
    <row r="96" spans="1:17">
      <c r="A96" s="30">
        <v>95</v>
      </c>
      <c r="B96" s="30" t="s">
        <v>583</v>
      </c>
      <c r="C96" s="37" t="s">
        <v>82</v>
      </c>
      <c r="D96" s="34" t="s">
        <v>475</v>
      </c>
      <c r="E96" s="34">
        <v>130</v>
      </c>
      <c r="F96" s="34">
        <v>1488</v>
      </c>
      <c r="G96" s="34">
        <v>2514</v>
      </c>
      <c r="H96" s="34">
        <v>1689.516129032258</v>
      </c>
      <c r="I96" s="30" t="s">
        <v>330</v>
      </c>
      <c r="J96" s="34">
        <v>12</v>
      </c>
      <c r="K96" s="30" t="s">
        <v>331</v>
      </c>
      <c r="L96" s="30" t="s">
        <v>329</v>
      </c>
      <c r="M96" s="30" t="s">
        <v>60</v>
      </c>
      <c r="N96" s="30" t="s">
        <v>38</v>
      </c>
      <c r="O96" s="30" t="s">
        <v>323</v>
      </c>
      <c r="P96" s="32">
        <v>44301</v>
      </c>
      <c r="Q96" s="30" t="s">
        <v>28</v>
      </c>
    </row>
    <row r="97" spans="1:17">
      <c r="A97" s="30">
        <v>96</v>
      </c>
      <c r="B97" s="30" t="s">
        <v>584</v>
      </c>
      <c r="C97" s="37" t="s">
        <v>82</v>
      </c>
      <c r="D97" s="34" t="s">
        <v>483</v>
      </c>
      <c r="E97" s="34">
        <v>166</v>
      </c>
      <c r="F97" s="34">
        <v>1490</v>
      </c>
      <c r="G97" s="34">
        <v>2999</v>
      </c>
      <c r="H97" s="34">
        <v>2012.7516778523491</v>
      </c>
      <c r="I97" s="30" t="s">
        <v>332</v>
      </c>
      <c r="J97" s="34">
        <v>11</v>
      </c>
      <c r="K97" s="30" t="s">
        <v>333</v>
      </c>
      <c r="L97" s="30" t="s">
        <v>329</v>
      </c>
      <c r="M97" s="30" t="s">
        <v>60</v>
      </c>
      <c r="N97" s="30" t="s">
        <v>38</v>
      </c>
      <c r="O97" s="30" t="s">
        <v>323</v>
      </c>
      <c r="P97" s="32">
        <v>44301</v>
      </c>
      <c r="Q97" s="30" t="s">
        <v>28</v>
      </c>
    </row>
    <row r="98" spans="1:17">
      <c r="A98" s="30">
        <v>97</v>
      </c>
      <c r="B98" s="30" t="s">
        <v>334</v>
      </c>
      <c r="C98" s="37" t="s">
        <v>82</v>
      </c>
      <c r="D98" s="34" t="s">
        <v>487</v>
      </c>
      <c r="E98" s="34">
        <v>135</v>
      </c>
      <c r="F98" s="34">
        <v>1494</v>
      </c>
      <c r="G98" s="34">
        <v>2701</v>
      </c>
      <c r="H98" s="34">
        <v>1807.8982597054887</v>
      </c>
      <c r="I98" s="30" t="s">
        <v>335</v>
      </c>
      <c r="J98" s="34">
        <v>9</v>
      </c>
      <c r="K98" s="30" t="s">
        <v>336</v>
      </c>
      <c r="L98" s="30" t="s">
        <v>329</v>
      </c>
      <c r="M98" s="30" t="s">
        <v>60</v>
      </c>
      <c r="N98" s="30" t="s">
        <v>38</v>
      </c>
      <c r="O98" s="30" t="s">
        <v>323</v>
      </c>
      <c r="P98" s="32"/>
      <c r="Q98" s="30" t="s">
        <v>28</v>
      </c>
    </row>
    <row r="99" spans="1:17">
      <c r="A99" s="30">
        <v>98</v>
      </c>
      <c r="B99" s="30" t="s">
        <v>337</v>
      </c>
      <c r="C99" s="37" t="s">
        <v>82</v>
      </c>
      <c r="D99" s="34" t="s">
        <v>488</v>
      </c>
      <c r="E99" s="34">
        <v>123</v>
      </c>
      <c r="F99" s="34">
        <v>1572</v>
      </c>
      <c r="G99" s="34">
        <v>2485</v>
      </c>
      <c r="H99" s="34">
        <v>1580.7888040712469</v>
      </c>
      <c r="I99" s="30" t="s">
        <v>338</v>
      </c>
      <c r="J99" s="34">
        <v>9</v>
      </c>
      <c r="K99" s="30" t="s">
        <v>339</v>
      </c>
      <c r="L99" s="30" t="s">
        <v>329</v>
      </c>
      <c r="M99" s="30" t="s">
        <v>60</v>
      </c>
      <c r="N99" s="30" t="s">
        <v>38</v>
      </c>
      <c r="O99" s="30" t="s">
        <v>323</v>
      </c>
      <c r="P99" s="32"/>
      <c r="Q99" s="30" t="s">
        <v>28</v>
      </c>
    </row>
    <row r="100" spans="1:17">
      <c r="A100" s="30">
        <v>99</v>
      </c>
      <c r="B100" s="30" t="s">
        <v>337</v>
      </c>
      <c r="C100" s="37" t="s">
        <v>82</v>
      </c>
      <c r="D100" s="34" t="s">
        <v>488</v>
      </c>
      <c r="E100" s="34">
        <v>123</v>
      </c>
      <c r="F100" s="34">
        <v>1572</v>
      </c>
      <c r="G100" s="34">
        <v>2485</v>
      </c>
      <c r="H100" s="34">
        <v>1580.7888040712469</v>
      </c>
      <c r="I100" s="30" t="s">
        <v>338</v>
      </c>
      <c r="J100" s="34">
        <v>10</v>
      </c>
      <c r="K100" s="30" t="s">
        <v>339</v>
      </c>
      <c r="L100" s="30" t="s">
        <v>329</v>
      </c>
      <c r="M100" s="30" t="s">
        <v>60</v>
      </c>
      <c r="N100" s="30" t="s">
        <v>37</v>
      </c>
      <c r="O100" s="30" t="s">
        <v>323</v>
      </c>
      <c r="P100" s="32"/>
      <c r="Q100" s="30" t="s">
        <v>28</v>
      </c>
    </row>
    <row r="101" spans="1:17">
      <c r="A101" s="30">
        <v>100</v>
      </c>
      <c r="B101" s="30" t="s">
        <v>340</v>
      </c>
      <c r="C101" s="37" t="s">
        <v>82</v>
      </c>
      <c r="D101" s="34" t="s">
        <v>489</v>
      </c>
      <c r="E101" s="34">
        <v>154</v>
      </c>
      <c r="F101" s="34">
        <v>1231</v>
      </c>
      <c r="G101" s="34">
        <v>1645</v>
      </c>
      <c r="H101" s="34">
        <v>1336.3119415109668</v>
      </c>
      <c r="I101" s="30" t="s">
        <v>341</v>
      </c>
      <c r="J101" s="34">
        <v>3</v>
      </c>
      <c r="K101" s="30" t="s">
        <v>342</v>
      </c>
      <c r="L101" s="30" t="s">
        <v>343</v>
      </c>
      <c r="M101" s="30" t="s">
        <v>60</v>
      </c>
      <c r="N101" s="30" t="s">
        <v>36</v>
      </c>
      <c r="O101" s="30" t="s">
        <v>344</v>
      </c>
      <c r="P101" s="32"/>
      <c r="Q101" s="30" t="s">
        <v>28</v>
      </c>
    </row>
    <row r="102" spans="1:17">
      <c r="A102" s="30">
        <v>101</v>
      </c>
      <c r="B102" s="30" t="s">
        <v>340</v>
      </c>
      <c r="C102" s="37" t="s">
        <v>82</v>
      </c>
      <c r="D102" s="34" t="s">
        <v>489</v>
      </c>
      <c r="E102" s="34">
        <v>154</v>
      </c>
      <c r="F102" s="34">
        <v>1231</v>
      </c>
      <c r="G102" s="34">
        <v>1645</v>
      </c>
      <c r="H102" s="34">
        <v>1336.3119415109668</v>
      </c>
      <c r="I102" s="30" t="s">
        <v>341</v>
      </c>
      <c r="J102" s="34">
        <v>4</v>
      </c>
      <c r="K102" s="30" t="s">
        <v>342</v>
      </c>
      <c r="L102" s="30" t="s">
        <v>343</v>
      </c>
      <c r="M102" s="30" t="s">
        <v>60</v>
      </c>
      <c r="N102" s="30" t="s">
        <v>36</v>
      </c>
      <c r="O102" s="30" t="s">
        <v>344</v>
      </c>
      <c r="P102" s="32"/>
      <c r="Q102" s="30" t="s">
        <v>28</v>
      </c>
    </row>
    <row r="103" spans="1:17">
      <c r="A103" s="30">
        <v>102</v>
      </c>
      <c r="B103" s="30" t="s">
        <v>340</v>
      </c>
      <c r="C103" s="37" t="s">
        <v>82</v>
      </c>
      <c r="D103" s="34" t="s">
        <v>489</v>
      </c>
      <c r="E103" s="34">
        <v>154</v>
      </c>
      <c r="F103" s="34">
        <v>1231</v>
      </c>
      <c r="G103" s="34">
        <v>1645</v>
      </c>
      <c r="H103" s="34">
        <v>1336.3119415109668</v>
      </c>
      <c r="I103" s="30" t="s">
        <v>341</v>
      </c>
      <c r="J103" s="34">
        <v>5</v>
      </c>
      <c r="K103" s="30" t="s">
        <v>342</v>
      </c>
      <c r="L103" s="30" t="s">
        <v>343</v>
      </c>
      <c r="M103" s="30" t="s">
        <v>60</v>
      </c>
      <c r="N103" s="30" t="s">
        <v>36</v>
      </c>
      <c r="O103" s="30" t="s">
        <v>344</v>
      </c>
      <c r="P103" s="32"/>
      <c r="Q103" s="30" t="s">
        <v>28</v>
      </c>
    </row>
    <row r="104" spans="1:17">
      <c r="A104" s="30">
        <v>103</v>
      </c>
      <c r="B104" s="30" t="s">
        <v>340</v>
      </c>
      <c r="C104" s="37" t="s">
        <v>82</v>
      </c>
      <c r="D104" s="34" t="s">
        <v>489</v>
      </c>
      <c r="E104" s="34">
        <v>154</v>
      </c>
      <c r="F104" s="34">
        <v>1231</v>
      </c>
      <c r="G104" s="34">
        <v>1645</v>
      </c>
      <c r="H104" s="34">
        <v>1336.3119415109668</v>
      </c>
      <c r="I104" s="30" t="s">
        <v>341</v>
      </c>
      <c r="J104" s="34">
        <v>6</v>
      </c>
      <c r="K104" s="30" t="s">
        <v>342</v>
      </c>
      <c r="L104" s="30" t="s">
        <v>343</v>
      </c>
      <c r="M104" s="30" t="s">
        <v>60</v>
      </c>
      <c r="N104" s="30" t="s">
        <v>36</v>
      </c>
      <c r="O104" s="30" t="s">
        <v>344</v>
      </c>
      <c r="P104" s="32"/>
      <c r="Q104" s="30" t="s">
        <v>28</v>
      </c>
    </row>
    <row r="105" spans="1:17">
      <c r="A105" s="30">
        <v>104</v>
      </c>
      <c r="B105" s="30" t="s">
        <v>340</v>
      </c>
      <c r="C105" s="37" t="s">
        <v>82</v>
      </c>
      <c r="D105" s="34" t="s">
        <v>489</v>
      </c>
      <c r="E105" s="34">
        <v>154</v>
      </c>
      <c r="F105" s="34">
        <v>1231</v>
      </c>
      <c r="G105" s="34">
        <v>1645</v>
      </c>
      <c r="H105" s="34">
        <v>1336.3119415109668</v>
      </c>
      <c r="I105" s="30" t="s">
        <v>341</v>
      </c>
      <c r="J105" s="34">
        <v>7</v>
      </c>
      <c r="K105" s="30" t="s">
        <v>342</v>
      </c>
      <c r="L105" s="30" t="s">
        <v>343</v>
      </c>
      <c r="M105" s="30" t="s">
        <v>60</v>
      </c>
      <c r="N105" s="30" t="s">
        <v>36</v>
      </c>
      <c r="O105" s="30" t="s">
        <v>344</v>
      </c>
      <c r="P105" s="32"/>
      <c r="Q105" s="30" t="s">
        <v>28</v>
      </c>
    </row>
    <row r="106" spans="1:17">
      <c r="A106" s="30">
        <v>105</v>
      </c>
      <c r="B106" s="30" t="s">
        <v>345</v>
      </c>
      <c r="C106" s="37" t="s">
        <v>84</v>
      </c>
      <c r="D106" s="34" t="s">
        <v>490</v>
      </c>
      <c r="E106" s="34">
        <v>164</v>
      </c>
      <c r="F106" s="34">
        <v>1226</v>
      </c>
      <c r="G106" s="34">
        <v>2028</v>
      </c>
      <c r="H106" s="34">
        <v>1654.1598694942904</v>
      </c>
      <c r="I106" s="30" t="s">
        <v>346</v>
      </c>
      <c r="J106" s="34">
        <v>3</v>
      </c>
      <c r="K106" s="30" t="s">
        <v>347</v>
      </c>
      <c r="L106" s="30" t="s">
        <v>343</v>
      </c>
      <c r="M106" s="30" t="s">
        <v>60</v>
      </c>
      <c r="N106" s="30" t="s">
        <v>36</v>
      </c>
      <c r="O106" s="30" t="s">
        <v>344</v>
      </c>
      <c r="P106" s="32"/>
      <c r="Q106" s="30" t="s">
        <v>28</v>
      </c>
    </row>
    <row r="107" spans="1:17">
      <c r="A107" s="30">
        <v>106</v>
      </c>
      <c r="B107" s="30" t="s">
        <v>345</v>
      </c>
      <c r="C107" s="37" t="s">
        <v>84</v>
      </c>
      <c r="D107" s="34" t="s">
        <v>490</v>
      </c>
      <c r="E107" s="34">
        <v>164</v>
      </c>
      <c r="F107" s="34">
        <v>1226</v>
      </c>
      <c r="G107" s="34">
        <v>2028</v>
      </c>
      <c r="H107" s="34">
        <v>1654.1598694942904</v>
      </c>
      <c r="I107" s="30" t="s">
        <v>346</v>
      </c>
      <c r="J107" s="34">
        <v>4</v>
      </c>
      <c r="K107" s="30" t="s">
        <v>347</v>
      </c>
      <c r="L107" s="30" t="s">
        <v>343</v>
      </c>
      <c r="M107" s="30" t="s">
        <v>60</v>
      </c>
      <c r="N107" s="30" t="s">
        <v>36</v>
      </c>
      <c r="O107" s="30" t="s">
        <v>344</v>
      </c>
      <c r="P107" s="32"/>
      <c r="Q107" s="30" t="s">
        <v>28</v>
      </c>
    </row>
    <row r="108" spans="1:17">
      <c r="A108" s="30">
        <v>107</v>
      </c>
      <c r="B108" s="30" t="s">
        <v>345</v>
      </c>
      <c r="C108" s="37" t="s">
        <v>84</v>
      </c>
      <c r="D108" s="34" t="s">
        <v>490</v>
      </c>
      <c r="E108" s="34">
        <v>164</v>
      </c>
      <c r="F108" s="34">
        <v>1226</v>
      </c>
      <c r="G108" s="34">
        <v>2028</v>
      </c>
      <c r="H108" s="34">
        <v>1654.1598694942904</v>
      </c>
      <c r="I108" s="30" t="s">
        <v>346</v>
      </c>
      <c r="J108" s="34">
        <v>5</v>
      </c>
      <c r="K108" s="30" t="s">
        <v>347</v>
      </c>
      <c r="L108" s="30" t="s">
        <v>343</v>
      </c>
      <c r="M108" s="30" t="s">
        <v>60</v>
      </c>
      <c r="N108" s="30" t="s">
        <v>36</v>
      </c>
      <c r="O108" s="30" t="s">
        <v>344</v>
      </c>
      <c r="P108" s="32"/>
      <c r="Q108" s="30" t="s">
        <v>28</v>
      </c>
    </row>
    <row r="109" spans="1:17">
      <c r="A109" s="30">
        <v>108</v>
      </c>
      <c r="B109" s="30" t="s">
        <v>345</v>
      </c>
      <c r="C109" s="37" t="s">
        <v>84</v>
      </c>
      <c r="D109" s="34" t="s">
        <v>490</v>
      </c>
      <c r="E109" s="34">
        <v>164</v>
      </c>
      <c r="F109" s="34">
        <v>1226</v>
      </c>
      <c r="G109" s="34">
        <v>2028</v>
      </c>
      <c r="H109" s="34">
        <v>1654.1598694942904</v>
      </c>
      <c r="I109" s="30" t="s">
        <v>346</v>
      </c>
      <c r="J109" s="34">
        <v>6</v>
      </c>
      <c r="K109" s="30" t="s">
        <v>347</v>
      </c>
      <c r="L109" s="30" t="s">
        <v>343</v>
      </c>
      <c r="M109" s="30" t="s">
        <v>60</v>
      </c>
      <c r="N109" s="30" t="s">
        <v>36</v>
      </c>
      <c r="O109" s="30" t="s">
        <v>344</v>
      </c>
      <c r="P109" s="32"/>
      <c r="Q109" s="30" t="s">
        <v>28</v>
      </c>
    </row>
    <row r="110" spans="1:17">
      <c r="A110" s="30">
        <v>109</v>
      </c>
      <c r="B110" s="30" t="s">
        <v>345</v>
      </c>
      <c r="C110" s="37" t="s">
        <v>84</v>
      </c>
      <c r="D110" s="34" t="s">
        <v>490</v>
      </c>
      <c r="E110" s="34">
        <v>164</v>
      </c>
      <c r="F110" s="34">
        <v>1226</v>
      </c>
      <c r="G110" s="34">
        <v>2028</v>
      </c>
      <c r="H110" s="34">
        <v>1654.1598694942904</v>
      </c>
      <c r="I110" s="30" t="s">
        <v>346</v>
      </c>
      <c r="J110" s="34">
        <v>7</v>
      </c>
      <c r="K110" s="30" t="s">
        <v>347</v>
      </c>
      <c r="L110" s="30" t="s">
        <v>343</v>
      </c>
      <c r="M110" s="30" t="s">
        <v>60</v>
      </c>
      <c r="N110" s="30" t="s">
        <v>36</v>
      </c>
      <c r="O110" s="30" t="s">
        <v>344</v>
      </c>
      <c r="P110" s="32"/>
      <c r="Q110" s="30" t="s">
        <v>28</v>
      </c>
    </row>
    <row r="111" spans="1:17">
      <c r="A111" s="30">
        <v>110</v>
      </c>
      <c r="B111" s="30" t="s">
        <v>348</v>
      </c>
      <c r="C111" s="37" t="s">
        <v>82</v>
      </c>
      <c r="D111" s="34" t="s">
        <v>490</v>
      </c>
      <c r="E111" s="34">
        <v>168</v>
      </c>
      <c r="F111" s="34">
        <v>1495</v>
      </c>
      <c r="G111" s="34">
        <v>2989</v>
      </c>
      <c r="H111" s="34">
        <v>1999.3311036789298</v>
      </c>
      <c r="I111" s="30" t="s">
        <v>349</v>
      </c>
      <c r="J111" s="34">
        <v>11</v>
      </c>
      <c r="K111" s="30" t="s">
        <v>350</v>
      </c>
      <c r="L111" s="30" t="s">
        <v>329</v>
      </c>
      <c r="M111" s="30" t="s">
        <v>60</v>
      </c>
      <c r="N111" s="30" t="s">
        <v>38</v>
      </c>
      <c r="O111" s="30" t="s">
        <v>323</v>
      </c>
      <c r="P111" s="32"/>
      <c r="Q111" s="30" t="s">
        <v>28</v>
      </c>
    </row>
    <row r="112" spans="1:17">
      <c r="A112" s="30">
        <v>111</v>
      </c>
      <c r="B112" s="30" t="s">
        <v>351</v>
      </c>
      <c r="C112" s="37" t="s">
        <v>82</v>
      </c>
      <c r="D112" s="34" t="s">
        <v>489</v>
      </c>
      <c r="E112" s="34">
        <v>150</v>
      </c>
      <c r="F112" s="34">
        <v>1488</v>
      </c>
      <c r="G112" s="34">
        <v>2693</v>
      </c>
      <c r="H112" s="34">
        <v>1809.8118279569892</v>
      </c>
      <c r="I112" s="30" t="s">
        <v>352</v>
      </c>
      <c r="J112" s="34">
        <v>13</v>
      </c>
      <c r="K112" s="30" t="s">
        <v>353</v>
      </c>
      <c r="L112" s="30" t="s">
        <v>329</v>
      </c>
      <c r="M112" s="30" t="s">
        <v>60</v>
      </c>
      <c r="N112" s="30" t="s">
        <v>38</v>
      </c>
      <c r="O112" s="30" t="s">
        <v>323</v>
      </c>
      <c r="P112" s="32"/>
      <c r="Q112" s="30" t="s">
        <v>28</v>
      </c>
    </row>
    <row r="113" spans="1:17">
      <c r="A113" s="30">
        <v>112</v>
      </c>
      <c r="B113" s="30" t="s">
        <v>354</v>
      </c>
      <c r="C113" s="37" t="s">
        <v>82</v>
      </c>
      <c r="D113" s="34" t="s">
        <v>478</v>
      </c>
      <c r="E113" s="34">
        <v>120</v>
      </c>
      <c r="F113" s="34">
        <v>1470</v>
      </c>
      <c r="G113" s="34">
        <v>1735</v>
      </c>
      <c r="H113" s="34">
        <v>1180.2721088435374</v>
      </c>
      <c r="I113" s="30" t="s">
        <v>355</v>
      </c>
      <c r="J113" s="34">
        <v>17</v>
      </c>
      <c r="K113" s="30" t="s">
        <v>356</v>
      </c>
      <c r="L113" s="30" t="s">
        <v>322</v>
      </c>
      <c r="M113" s="30" t="s">
        <v>60</v>
      </c>
      <c r="N113" s="30" t="s">
        <v>38</v>
      </c>
      <c r="O113" s="30" t="s">
        <v>323</v>
      </c>
      <c r="P113" s="32"/>
      <c r="Q113" s="30" t="s">
        <v>28</v>
      </c>
    </row>
    <row r="114" spans="1:17">
      <c r="A114" s="30">
        <v>113</v>
      </c>
      <c r="B114" s="30" t="s">
        <v>357</v>
      </c>
      <c r="C114" s="37" t="s">
        <v>83</v>
      </c>
      <c r="D114" s="34" t="s">
        <v>486</v>
      </c>
      <c r="E114" s="34">
        <v>122</v>
      </c>
      <c r="F114" s="34">
        <v>1565</v>
      </c>
      <c r="G114" s="34">
        <v>2107</v>
      </c>
      <c r="H114" s="34">
        <v>1346.3258785942492</v>
      </c>
      <c r="I114" s="30" t="s">
        <v>308</v>
      </c>
      <c r="J114" s="34">
        <v>7</v>
      </c>
      <c r="K114" s="30" t="s">
        <v>309</v>
      </c>
      <c r="L114" s="30" t="s">
        <v>310</v>
      </c>
      <c r="M114" s="30" t="s">
        <v>60</v>
      </c>
      <c r="N114" s="30" t="s">
        <v>36</v>
      </c>
      <c r="O114" s="30" t="s">
        <v>358</v>
      </c>
      <c r="P114" s="32"/>
      <c r="Q114" s="30" t="s">
        <v>28</v>
      </c>
    </row>
    <row r="115" spans="1:17">
      <c r="A115" s="30">
        <v>114</v>
      </c>
      <c r="B115" s="30" t="s">
        <v>357</v>
      </c>
      <c r="C115" s="37" t="s">
        <v>83</v>
      </c>
      <c r="D115" s="34" t="s">
        <v>486</v>
      </c>
      <c r="E115" s="34">
        <v>122</v>
      </c>
      <c r="F115" s="34">
        <v>1565</v>
      </c>
      <c r="G115" s="34">
        <v>2107</v>
      </c>
      <c r="H115" s="34">
        <v>1346.3258785942492</v>
      </c>
      <c r="I115" s="30" t="s">
        <v>308</v>
      </c>
      <c r="J115" s="34">
        <v>8</v>
      </c>
      <c r="K115" s="30" t="s">
        <v>309</v>
      </c>
      <c r="L115" s="30" t="s">
        <v>310</v>
      </c>
      <c r="M115" s="30" t="s">
        <v>60</v>
      </c>
      <c r="N115" s="30" t="s">
        <v>36</v>
      </c>
      <c r="O115" s="30" t="s">
        <v>358</v>
      </c>
      <c r="P115" s="32"/>
      <c r="Q115" s="30" t="s">
        <v>28</v>
      </c>
    </row>
    <row r="116" spans="1:17">
      <c r="A116" s="30">
        <v>115</v>
      </c>
      <c r="B116" s="30" t="s">
        <v>357</v>
      </c>
      <c r="C116" s="37" t="s">
        <v>83</v>
      </c>
      <c r="D116" s="34" t="s">
        <v>486</v>
      </c>
      <c r="E116" s="34">
        <v>122</v>
      </c>
      <c r="F116" s="34">
        <v>1565</v>
      </c>
      <c r="G116" s="34">
        <v>2107</v>
      </c>
      <c r="H116" s="34">
        <v>1346.3258785942492</v>
      </c>
      <c r="I116" s="30" t="s">
        <v>308</v>
      </c>
      <c r="J116" s="34">
        <v>9</v>
      </c>
      <c r="K116" s="30" t="s">
        <v>309</v>
      </c>
      <c r="L116" s="30" t="s">
        <v>310</v>
      </c>
      <c r="M116" s="30" t="s">
        <v>60</v>
      </c>
      <c r="N116" s="30" t="s">
        <v>36</v>
      </c>
      <c r="O116" s="30" t="s">
        <v>358</v>
      </c>
      <c r="P116" s="32"/>
      <c r="Q116" s="30" t="s">
        <v>28</v>
      </c>
    </row>
    <row r="117" spans="1:17">
      <c r="A117" s="30">
        <v>116</v>
      </c>
      <c r="B117" s="30" t="s">
        <v>357</v>
      </c>
      <c r="C117" s="37" t="s">
        <v>83</v>
      </c>
      <c r="D117" s="34" t="s">
        <v>486</v>
      </c>
      <c r="E117" s="34">
        <v>122</v>
      </c>
      <c r="F117" s="34">
        <v>1565</v>
      </c>
      <c r="G117" s="34">
        <v>2107</v>
      </c>
      <c r="H117" s="34">
        <v>1346.3258785942492</v>
      </c>
      <c r="I117" s="30" t="s">
        <v>308</v>
      </c>
      <c r="J117" s="34">
        <v>10</v>
      </c>
      <c r="K117" s="30" t="s">
        <v>309</v>
      </c>
      <c r="L117" s="30" t="s">
        <v>310</v>
      </c>
      <c r="M117" s="30" t="s">
        <v>60</v>
      </c>
      <c r="N117" s="30" t="s">
        <v>36</v>
      </c>
      <c r="O117" s="30" t="s">
        <v>358</v>
      </c>
      <c r="P117" s="32"/>
      <c r="Q117" s="30" t="s">
        <v>28</v>
      </c>
    </row>
    <row r="118" spans="1:17">
      <c r="A118" s="30">
        <v>117</v>
      </c>
      <c r="B118" s="30" t="s">
        <v>359</v>
      </c>
      <c r="C118" s="37" t="s">
        <v>82</v>
      </c>
      <c r="D118" s="34" t="s">
        <v>473</v>
      </c>
      <c r="E118" s="34">
        <v>94</v>
      </c>
      <c r="F118" s="34">
        <v>1565</v>
      </c>
      <c r="G118" s="34">
        <v>1646</v>
      </c>
      <c r="H118" s="34">
        <v>1051.7571884984025</v>
      </c>
      <c r="I118" s="30" t="s">
        <v>305</v>
      </c>
      <c r="J118" s="34">
        <v>6</v>
      </c>
      <c r="K118" s="30" t="s">
        <v>213</v>
      </c>
      <c r="L118" s="30" t="s">
        <v>306</v>
      </c>
      <c r="M118" s="30" t="s">
        <v>60</v>
      </c>
      <c r="N118" s="30" t="s">
        <v>36</v>
      </c>
      <c r="O118" s="30" t="s">
        <v>358</v>
      </c>
      <c r="P118" s="32"/>
      <c r="Q118" s="30" t="s">
        <v>28</v>
      </c>
    </row>
    <row r="119" spans="1:17">
      <c r="A119" s="30">
        <v>118</v>
      </c>
      <c r="B119" s="30" t="s">
        <v>359</v>
      </c>
      <c r="C119" s="37" t="s">
        <v>82</v>
      </c>
      <c r="D119" s="34" t="s">
        <v>473</v>
      </c>
      <c r="E119" s="34">
        <v>94</v>
      </c>
      <c r="F119" s="34">
        <v>1565</v>
      </c>
      <c r="G119" s="34">
        <v>1646</v>
      </c>
      <c r="H119" s="34">
        <v>1051.7571884984025</v>
      </c>
      <c r="I119" s="30" t="s">
        <v>305</v>
      </c>
      <c r="J119" s="34">
        <v>7</v>
      </c>
      <c r="K119" s="30" t="s">
        <v>213</v>
      </c>
      <c r="L119" s="30" t="s">
        <v>306</v>
      </c>
      <c r="M119" s="30" t="s">
        <v>60</v>
      </c>
      <c r="N119" s="30" t="s">
        <v>36</v>
      </c>
      <c r="O119" s="30" t="s">
        <v>358</v>
      </c>
      <c r="P119" s="32"/>
      <c r="Q119" s="30" t="s">
        <v>28</v>
      </c>
    </row>
    <row r="120" spans="1:17">
      <c r="A120" s="30">
        <v>119</v>
      </c>
      <c r="B120" s="30" t="s">
        <v>359</v>
      </c>
      <c r="C120" s="37" t="s">
        <v>82</v>
      </c>
      <c r="D120" s="34" t="s">
        <v>473</v>
      </c>
      <c r="E120" s="34">
        <v>94</v>
      </c>
      <c r="F120" s="34">
        <v>1565</v>
      </c>
      <c r="G120" s="34">
        <v>1646</v>
      </c>
      <c r="H120" s="34">
        <v>1051.7571884984025</v>
      </c>
      <c r="I120" s="30" t="s">
        <v>305</v>
      </c>
      <c r="J120" s="34">
        <v>8</v>
      </c>
      <c r="K120" s="30" t="s">
        <v>213</v>
      </c>
      <c r="L120" s="30" t="s">
        <v>306</v>
      </c>
      <c r="M120" s="30" t="s">
        <v>60</v>
      </c>
      <c r="N120" s="30" t="s">
        <v>36</v>
      </c>
      <c r="O120" s="30" t="s">
        <v>358</v>
      </c>
      <c r="P120" s="32"/>
      <c r="Q120" s="30" t="s">
        <v>28</v>
      </c>
    </row>
    <row r="121" spans="1:17">
      <c r="A121" s="30">
        <v>120</v>
      </c>
      <c r="B121" s="30" t="s">
        <v>359</v>
      </c>
      <c r="C121" s="37" t="s">
        <v>82</v>
      </c>
      <c r="D121" s="34" t="s">
        <v>473</v>
      </c>
      <c r="E121" s="34">
        <v>94</v>
      </c>
      <c r="F121" s="34">
        <v>1565</v>
      </c>
      <c r="G121" s="34">
        <v>1646</v>
      </c>
      <c r="H121" s="34">
        <v>1051.7571884984025</v>
      </c>
      <c r="I121" s="30" t="s">
        <v>305</v>
      </c>
      <c r="J121" s="34">
        <v>9</v>
      </c>
      <c r="K121" s="30" t="s">
        <v>213</v>
      </c>
      <c r="L121" s="30" t="s">
        <v>306</v>
      </c>
      <c r="M121" s="30" t="s">
        <v>60</v>
      </c>
      <c r="N121" s="30" t="s">
        <v>36</v>
      </c>
      <c r="O121" s="30" t="s">
        <v>358</v>
      </c>
      <c r="P121" s="32"/>
      <c r="Q121" s="30" t="s">
        <v>28</v>
      </c>
    </row>
    <row r="122" spans="1:17">
      <c r="A122" s="30">
        <v>121</v>
      </c>
      <c r="B122" s="30" t="s">
        <v>360</v>
      </c>
      <c r="C122" s="37" t="s">
        <v>361</v>
      </c>
      <c r="D122" s="34" t="s">
        <v>490</v>
      </c>
      <c r="E122" s="34">
        <v>150</v>
      </c>
      <c r="F122" s="34">
        <v>1220</v>
      </c>
      <c r="G122" s="34">
        <v>1938</v>
      </c>
      <c r="H122" s="34">
        <v>1588.5245901639344</v>
      </c>
      <c r="I122" s="30" t="s">
        <v>362</v>
      </c>
      <c r="J122" s="34">
        <v>2</v>
      </c>
      <c r="K122" s="30" t="s">
        <v>342</v>
      </c>
      <c r="L122" s="30" t="s">
        <v>363</v>
      </c>
      <c r="M122" s="30" t="s">
        <v>60</v>
      </c>
      <c r="N122" s="30" t="s">
        <v>36</v>
      </c>
      <c r="O122" s="30" t="s">
        <v>364</v>
      </c>
      <c r="P122" s="32"/>
      <c r="Q122" s="30" t="s">
        <v>28</v>
      </c>
    </row>
    <row r="123" spans="1:17">
      <c r="A123" s="30">
        <v>122</v>
      </c>
      <c r="B123" s="30" t="s">
        <v>365</v>
      </c>
      <c r="C123" s="37" t="s">
        <v>361</v>
      </c>
      <c r="D123" s="34" t="s">
        <v>491</v>
      </c>
      <c r="E123" s="34">
        <v>195</v>
      </c>
      <c r="F123" s="34">
        <v>1230</v>
      </c>
      <c r="G123" s="34">
        <v>3120</v>
      </c>
      <c r="H123" s="34">
        <v>2536.5853658536585</v>
      </c>
      <c r="I123" s="30" t="s">
        <v>366</v>
      </c>
      <c r="J123" s="34">
        <v>2</v>
      </c>
      <c r="K123" s="30" t="s">
        <v>367</v>
      </c>
      <c r="L123" s="30" t="s">
        <v>363</v>
      </c>
      <c r="M123" s="30" t="s">
        <v>60</v>
      </c>
      <c r="N123" s="30" t="s">
        <v>36</v>
      </c>
      <c r="O123" s="30" t="s">
        <v>364</v>
      </c>
      <c r="P123" s="32"/>
      <c r="Q123" s="30" t="s">
        <v>28</v>
      </c>
    </row>
    <row r="124" spans="1:17">
      <c r="A124" s="30">
        <v>123</v>
      </c>
      <c r="B124" s="30" t="s">
        <v>368</v>
      </c>
      <c r="C124" s="37" t="s">
        <v>87</v>
      </c>
      <c r="D124" s="34" t="s">
        <v>475</v>
      </c>
      <c r="E124" s="34">
        <v>130</v>
      </c>
      <c r="F124" s="34">
        <v>1488</v>
      </c>
      <c r="G124" s="34">
        <v>2343</v>
      </c>
      <c r="H124" s="34">
        <v>1574.5967741935483</v>
      </c>
      <c r="I124" s="30" t="s">
        <v>369</v>
      </c>
      <c r="J124" s="34">
        <v>4</v>
      </c>
      <c r="K124" s="30" t="s">
        <v>331</v>
      </c>
      <c r="L124" s="30" t="s">
        <v>370</v>
      </c>
      <c r="M124" s="30" t="s">
        <v>60</v>
      </c>
      <c r="N124" s="30" t="s">
        <v>37</v>
      </c>
      <c r="O124" s="30" t="s">
        <v>371</v>
      </c>
      <c r="P124" s="32"/>
      <c r="Q124" s="30" t="s">
        <v>28</v>
      </c>
    </row>
    <row r="125" spans="1:17">
      <c r="A125" s="30">
        <v>124</v>
      </c>
      <c r="B125" s="30" t="s">
        <v>372</v>
      </c>
      <c r="C125" s="37" t="s">
        <v>82</v>
      </c>
      <c r="D125" s="34" t="s">
        <v>477</v>
      </c>
      <c r="E125" s="34">
        <v>106</v>
      </c>
      <c r="F125" s="34">
        <v>900</v>
      </c>
      <c r="G125" s="34">
        <v>1618</v>
      </c>
      <c r="H125" s="34">
        <v>1797.7777777777778</v>
      </c>
      <c r="I125" s="30" t="s">
        <v>232</v>
      </c>
      <c r="J125" s="34">
        <v>16</v>
      </c>
      <c r="K125" s="30" t="s">
        <v>219</v>
      </c>
      <c r="L125" s="30" t="s">
        <v>226</v>
      </c>
      <c r="M125" s="30" t="s">
        <v>60</v>
      </c>
      <c r="N125" s="30" t="s">
        <v>36</v>
      </c>
      <c r="O125" s="30" t="s">
        <v>233</v>
      </c>
      <c r="P125" s="32"/>
      <c r="Q125" s="30" t="s">
        <v>28</v>
      </c>
    </row>
    <row r="126" spans="1:17">
      <c r="A126" s="30">
        <v>125</v>
      </c>
      <c r="B126" s="30" t="s">
        <v>373</v>
      </c>
      <c r="C126" s="37" t="s">
        <v>83</v>
      </c>
      <c r="D126" s="34" t="s">
        <v>477</v>
      </c>
      <c r="E126" s="34">
        <v>106</v>
      </c>
      <c r="F126" s="34">
        <v>900</v>
      </c>
      <c r="G126" s="34">
        <v>1632</v>
      </c>
      <c r="H126" s="34">
        <v>1813.3333333333333</v>
      </c>
      <c r="I126" s="30" t="s">
        <v>232</v>
      </c>
      <c r="J126" s="34">
        <v>17</v>
      </c>
      <c r="K126" s="30" t="s">
        <v>219</v>
      </c>
      <c r="L126" s="30" t="s">
        <v>226</v>
      </c>
      <c r="M126" s="30" t="s">
        <v>60</v>
      </c>
      <c r="N126" s="30" t="s">
        <v>36</v>
      </c>
      <c r="O126" s="30" t="s">
        <v>233</v>
      </c>
      <c r="P126" s="32"/>
      <c r="Q126" s="30" t="s">
        <v>28</v>
      </c>
    </row>
    <row r="127" spans="1:17">
      <c r="A127" s="30">
        <v>126</v>
      </c>
      <c r="B127" s="30" t="s">
        <v>374</v>
      </c>
      <c r="C127" s="37" t="s">
        <v>87</v>
      </c>
      <c r="D127" s="34" t="s">
        <v>480</v>
      </c>
      <c r="E127" s="34">
        <v>110</v>
      </c>
      <c r="F127" s="34">
        <v>1065</v>
      </c>
      <c r="G127" s="34">
        <v>1550</v>
      </c>
      <c r="H127" s="34">
        <v>1455.3990610328638</v>
      </c>
      <c r="I127" s="30" t="s">
        <v>375</v>
      </c>
      <c r="J127" s="34">
        <v>11</v>
      </c>
      <c r="K127" s="30" t="s">
        <v>266</v>
      </c>
      <c r="L127" s="30" t="s">
        <v>221</v>
      </c>
      <c r="M127" s="30" t="s">
        <v>60</v>
      </c>
      <c r="N127" s="30" t="s">
        <v>37</v>
      </c>
      <c r="O127" s="30" t="s">
        <v>270</v>
      </c>
      <c r="P127" s="32"/>
      <c r="Q127" s="30" t="s">
        <v>28</v>
      </c>
    </row>
    <row r="128" spans="1:17">
      <c r="A128" s="30">
        <v>127</v>
      </c>
      <c r="B128" s="30" t="s">
        <v>374</v>
      </c>
      <c r="C128" s="37" t="s">
        <v>87</v>
      </c>
      <c r="D128" s="34" t="s">
        <v>480</v>
      </c>
      <c r="E128" s="34">
        <v>110</v>
      </c>
      <c r="F128" s="34">
        <v>1065</v>
      </c>
      <c r="G128" s="34">
        <v>1550</v>
      </c>
      <c r="H128" s="34">
        <v>1455.3990610328638</v>
      </c>
      <c r="I128" s="30" t="s">
        <v>375</v>
      </c>
      <c r="J128" s="34">
        <v>14</v>
      </c>
      <c r="K128" s="30" t="s">
        <v>266</v>
      </c>
      <c r="L128" s="30" t="s">
        <v>221</v>
      </c>
      <c r="M128" s="30" t="s">
        <v>60</v>
      </c>
      <c r="N128" s="30" t="s">
        <v>38</v>
      </c>
      <c r="O128" s="30" t="s">
        <v>270</v>
      </c>
      <c r="P128" s="32"/>
      <c r="Q128" s="30" t="s">
        <v>28</v>
      </c>
    </row>
    <row r="129" spans="1:17">
      <c r="A129" s="30">
        <v>128</v>
      </c>
      <c r="B129" s="30" t="s">
        <v>376</v>
      </c>
      <c r="C129" s="37" t="s">
        <v>83</v>
      </c>
      <c r="D129" s="34" t="s">
        <v>480</v>
      </c>
      <c r="E129" s="34">
        <v>112</v>
      </c>
      <c r="F129" s="34">
        <v>1060</v>
      </c>
      <c r="G129" s="34">
        <v>1441</v>
      </c>
      <c r="H129" s="34">
        <v>1359.433962264151</v>
      </c>
      <c r="I129" s="30" t="s">
        <v>267</v>
      </c>
      <c r="J129" s="34">
        <v>28</v>
      </c>
      <c r="K129" s="30" t="s">
        <v>266</v>
      </c>
      <c r="L129" s="30" t="s">
        <v>226</v>
      </c>
      <c r="M129" s="30" t="s">
        <v>60</v>
      </c>
      <c r="N129" s="30" t="s">
        <v>36</v>
      </c>
      <c r="O129" s="30" t="s">
        <v>268</v>
      </c>
      <c r="P129" s="32"/>
      <c r="Q129" s="30" t="s">
        <v>28</v>
      </c>
    </row>
    <row r="130" spans="1:17">
      <c r="A130" s="30">
        <v>129</v>
      </c>
      <c r="B130" s="30" t="s">
        <v>377</v>
      </c>
      <c r="C130" s="37" t="s">
        <v>82</v>
      </c>
      <c r="D130" s="34" t="s">
        <v>480</v>
      </c>
      <c r="E130" s="34">
        <v>112</v>
      </c>
      <c r="F130" s="34">
        <v>1060</v>
      </c>
      <c r="G130" s="34">
        <v>1466</v>
      </c>
      <c r="H130" s="34">
        <v>1383.0188679245282</v>
      </c>
      <c r="I130" s="30" t="s">
        <v>267</v>
      </c>
      <c r="J130" s="34">
        <v>29</v>
      </c>
      <c r="K130" s="30" t="s">
        <v>266</v>
      </c>
      <c r="L130" s="30" t="s">
        <v>226</v>
      </c>
      <c r="M130" s="30" t="s">
        <v>60</v>
      </c>
      <c r="N130" s="30" t="s">
        <v>36</v>
      </c>
      <c r="O130" s="30" t="s">
        <v>268</v>
      </c>
      <c r="P130" s="32"/>
      <c r="Q130" s="30" t="s">
        <v>28</v>
      </c>
    </row>
    <row r="131" spans="1:17">
      <c r="A131" s="30">
        <v>130</v>
      </c>
      <c r="B131" s="30" t="s">
        <v>377</v>
      </c>
      <c r="C131" s="37" t="s">
        <v>82</v>
      </c>
      <c r="D131" s="34" t="s">
        <v>480</v>
      </c>
      <c r="E131" s="34">
        <v>112</v>
      </c>
      <c r="F131" s="34">
        <v>1060</v>
      </c>
      <c r="G131" s="34">
        <v>1458</v>
      </c>
      <c r="H131" s="34">
        <v>1375.4716981132076</v>
      </c>
      <c r="I131" s="30" t="s">
        <v>267</v>
      </c>
      <c r="J131" s="34">
        <v>32</v>
      </c>
      <c r="K131" s="30" t="s">
        <v>266</v>
      </c>
      <c r="L131" s="30" t="s">
        <v>226</v>
      </c>
      <c r="M131" s="30" t="s">
        <v>60</v>
      </c>
      <c r="N131" s="30" t="s">
        <v>36</v>
      </c>
      <c r="O131" s="30" t="s">
        <v>268</v>
      </c>
      <c r="P131" s="32"/>
      <c r="Q131" s="30" t="s">
        <v>28</v>
      </c>
    </row>
    <row r="132" spans="1:17">
      <c r="A132" s="30">
        <v>131</v>
      </c>
      <c r="B132" s="30" t="s">
        <v>377</v>
      </c>
      <c r="C132" s="37" t="s">
        <v>82</v>
      </c>
      <c r="D132" s="34" t="s">
        <v>480</v>
      </c>
      <c r="E132" s="34">
        <v>112</v>
      </c>
      <c r="F132" s="34">
        <v>1060</v>
      </c>
      <c r="G132" s="34">
        <v>1458</v>
      </c>
      <c r="H132" s="34">
        <v>1375.4716981132076</v>
      </c>
      <c r="I132" s="30" t="s">
        <v>267</v>
      </c>
      <c r="J132" s="34">
        <v>33</v>
      </c>
      <c r="K132" s="30" t="s">
        <v>266</v>
      </c>
      <c r="L132" s="30" t="s">
        <v>226</v>
      </c>
      <c r="M132" s="30" t="s">
        <v>60</v>
      </c>
      <c r="N132" s="30" t="s">
        <v>36</v>
      </c>
      <c r="O132" s="30" t="s">
        <v>268</v>
      </c>
      <c r="P132" s="32"/>
      <c r="Q132" s="30" t="s">
        <v>28</v>
      </c>
    </row>
    <row r="133" spans="1:17">
      <c r="A133" s="30">
        <v>132</v>
      </c>
      <c r="B133" s="30" t="s">
        <v>377</v>
      </c>
      <c r="C133" s="37" t="s">
        <v>82</v>
      </c>
      <c r="D133" s="34" t="s">
        <v>480</v>
      </c>
      <c r="E133" s="34">
        <v>112</v>
      </c>
      <c r="F133" s="34">
        <v>1060</v>
      </c>
      <c r="G133" s="34">
        <v>1458</v>
      </c>
      <c r="H133" s="34">
        <v>1375.4716981132076</v>
      </c>
      <c r="I133" s="30" t="s">
        <v>267</v>
      </c>
      <c r="J133" s="34">
        <v>34</v>
      </c>
      <c r="K133" s="30" t="s">
        <v>266</v>
      </c>
      <c r="L133" s="30" t="s">
        <v>226</v>
      </c>
      <c r="M133" s="30" t="s">
        <v>60</v>
      </c>
      <c r="N133" s="30" t="s">
        <v>36</v>
      </c>
      <c r="O133" s="30" t="s">
        <v>268</v>
      </c>
      <c r="P133" s="32"/>
      <c r="Q133" s="30" t="s">
        <v>28</v>
      </c>
    </row>
    <row r="134" spans="1:17">
      <c r="A134" s="30">
        <v>133</v>
      </c>
      <c r="B134" s="30" t="s">
        <v>377</v>
      </c>
      <c r="C134" s="37" t="s">
        <v>82</v>
      </c>
      <c r="D134" s="34" t="s">
        <v>480</v>
      </c>
      <c r="E134" s="34">
        <v>112</v>
      </c>
      <c r="F134" s="34">
        <v>1060</v>
      </c>
      <c r="G134" s="34">
        <v>1458</v>
      </c>
      <c r="H134" s="34">
        <v>1375.4716981132076</v>
      </c>
      <c r="I134" s="30" t="s">
        <v>267</v>
      </c>
      <c r="J134" s="34">
        <v>35</v>
      </c>
      <c r="K134" s="30" t="s">
        <v>266</v>
      </c>
      <c r="L134" s="30" t="s">
        <v>226</v>
      </c>
      <c r="M134" s="30" t="s">
        <v>60</v>
      </c>
      <c r="N134" s="30" t="s">
        <v>36</v>
      </c>
      <c r="O134" s="30" t="s">
        <v>268</v>
      </c>
      <c r="P134" s="32"/>
      <c r="Q134" s="30" t="s">
        <v>28</v>
      </c>
    </row>
    <row r="135" spans="1:17">
      <c r="A135" s="30">
        <v>134</v>
      </c>
      <c r="B135" s="30" t="s">
        <v>377</v>
      </c>
      <c r="C135" s="37" t="s">
        <v>82</v>
      </c>
      <c r="D135" s="34" t="s">
        <v>480</v>
      </c>
      <c r="E135" s="34">
        <v>112</v>
      </c>
      <c r="F135" s="34">
        <v>1060</v>
      </c>
      <c r="G135" s="34">
        <v>1458</v>
      </c>
      <c r="H135" s="34">
        <v>1375.4716981132076</v>
      </c>
      <c r="I135" s="30" t="s">
        <v>267</v>
      </c>
      <c r="J135" s="34">
        <v>38</v>
      </c>
      <c r="K135" s="30" t="s">
        <v>266</v>
      </c>
      <c r="L135" s="30" t="s">
        <v>226</v>
      </c>
      <c r="M135" s="30" t="s">
        <v>60</v>
      </c>
      <c r="N135" s="30" t="s">
        <v>36</v>
      </c>
      <c r="O135" s="30" t="s">
        <v>268</v>
      </c>
      <c r="P135" s="32"/>
      <c r="Q135" s="30" t="s">
        <v>28</v>
      </c>
    </row>
    <row r="136" spans="1:17">
      <c r="A136" s="30">
        <v>135</v>
      </c>
      <c r="B136" s="30" t="s">
        <v>377</v>
      </c>
      <c r="C136" s="37" t="s">
        <v>82</v>
      </c>
      <c r="D136" s="34" t="s">
        <v>480</v>
      </c>
      <c r="E136" s="34">
        <v>112</v>
      </c>
      <c r="F136" s="34">
        <v>1060</v>
      </c>
      <c r="G136" s="34">
        <v>1458</v>
      </c>
      <c r="H136" s="34">
        <v>1375.4716981132076</v>
      </c>
      <c r="I136" s="30" t="s">
        <v>267</v>
      </c>
      <c r="J136" s="34">
        <v>39</v>
      </c>
      <c r="K136" s="30" t="s">
        <v>266</v>
      </c>
      <c r="L136" s="30" t="s">
        <v>226</v>
      </c>
      <c r="M136" s="30" t="s">
        <v>60</v>
      </c>
      <c r="N136" s="30" t="s">
        <v>36</v>
      </c>
      <c r="O136" s="30" t="s">
        <v>268</v>
      </c>
      <c r="P136" s="32"/>
      <c r="Q136" s="30" t="s">
        <v>28</v>
      </c>
    </row>
    <row r="137" spans="1:17">
      <c r="A137" s="30">
        <v>136</v>
      </c>
      <c r="B137" s="30" t="s">
        <v>378</v>
      </c>
      <c r="C137" s="37" t="s">
        <v>87</v>
      </c>
      <c r="D137" s="34" t="s">
        <v>489</v>
      </c>
      <c r="E137" s="34">
        <v>150</v>
      </c>
      <c r="F137" s="34">
        <v>1494</v>
      </c>
      <c r="G137" s="34">
        <v>2545</v>
      </c>
      <c r="H137" s="34">
        <v>1703.4805890227576</v>
      </c>
      <c r="I137" s="30" t="s">
        <v>379</v>
      </c>
      <c r="J137" s="34">
        <v>1</v>
      </c>
      <c r="K137" s="30" t="s">
        <v>353</v>
      </c>
      <c r="L137" s="30" t="s">
        <v>370</v>
      </c>
      <c r="M137" s="30" t="s">
        <v>60</v>
      </c>
      <c r="N137" s="30" t="s">
        <v>36</v>
      </c>
      <c r="O137" s="30" t="s">
        <v>371</v>
      </c>
      <c r="P137" s="32"/>
      <c r="Q137" s="30" t="s">
        <v>28</v>
      </c>
    </row>
    <row r="138" spans="1:17">
      <c r="A138" s="30">
        <v>137</v>
      </c>
      <c r="B138" s="30" t="s">
        <v>378</v>
      </c>
      <c r="C138" s="37" t="s">
        <v>87</v>
      </c>
      <c r="D138" s="34" t="s">
        <v>489</v>
      </c>
      <c r="E138" s="34">
        <v>150</v>
      </c>
      <c r="F138" s="34">
        <v>1494</v>
      </c>
      <c r="G138" s="34">
        <v>2545</v>
      </c>
      <c r="H138" s="34">
        <v>1703.4805890227576</v>
      </c>
      <c r="I138" s="30" t="s">
        <v>379</v>
      </c>
      <c r="J138" s="34">
        <v>2</v>
      </c>
      <c r="K138" s="30" t="s">
        <v>353</v>
      </c>
      <c r="L138" s="30" t="s">
        <v>370</v>
      </c>
      <c r="M138" s="30" t="s">
        <v>60</v>
      </c>
      <c r="N138" s="30" t="s">
        <v>36</v>
      </c>
      <c r="O138" s="30" t="s">
        <v>371</v>
      </c>
      <c r="P138" s="32"/>
      <c r="Q138" s="30" t="s">
        <v>28</v>
      </c>
    </row>
    <row r="139" spans="1:17">
      <c r="A139" s="30">
        <v>138</v>
      </c>
      <c r="B139" s="30" t="s">
        <v>378</v>
      </c>
      <c r="C139" s="37" t="s">
        <v>87</v>
      </c>
      <c r="D139" s="34" t="s">
        <v>489</v>
      </c>
      <c r="E139" s="34">
        <v>150</v>
      </c>
      <c r="F139" s="34">
        <v>1494</v>
      </c>
      <c r="G139" s="34">
        <v>2545</v>
      </c>
      <c r="H139" s="34">
        <v>1703.4805890227576</v>
      </c>
      <c r="I139" s="30" t="s">
        <v>379</v>
      </c>
      <c r="J139" s="34">
        <v>3</v>
      </c>
      <c r="K139" s="30" t="s">
        <v>353</v>
      </c>
      <c r="L139" s="30" t="s">
        <v>370</v>
      </c>
      <c r="M139" s="30" t="s">
        <v>60</v>
      </c>
      <c r="N139" s="30" t="s">
        <v>36</v>
      </c>
      <c r="O139" s="30" t="s">
        <v>371</v>
      </c>
      <c r="P139" s="32"/>
      <c r="Q139" s="30" t="s">
        <v>28</v>
      </c>
    </row>
    <row r="140" spans="1:17">
      <c r="A140" s="30">
        <v>139</v>
      </c>
      <c r="B140" s="30" t="s">
        <v>380</v>
      </c>
      <c r="C140" s="37" t="s">
        <v>87</v>
      </c>
      <c r="D140" s="34" t="s">
        <v>488</v>
      </c>
      <c r="E140" s="34">
        <v>120</v>
      </c>
      <c r="F140" s="34">
        <v>1565</v>
      </c>
      <c r="G140" s="34">
        <v>2288</v>
      </c>
      <c r="H140" s="34">
        <v>1461.9808306709265</v>
      </c>
      <c r="I140" s="30" t="s">
        <v>381</v>
      </c>
      <c r="J140" s="34">
        <v>2</v>
      </c>
      <c r="K140" s="30" t="s">
        <v>339</v>
      </c>
      <c r="L140" s="30" t="s">
        <v>370</v>
      </c>
      <c r="M140" s="30" t="s">
        <v>60</v>
      </c>
      <c r="N140" s="30" t="s">
        <v>36</v>
      </c>
      <c r="O140" s="30" t="s">
        <v>371</v>
      </c>
      <c r="P140" s="32"/>
      <c r="Q140" s="30" t="s">
        <v>28</v>
      </c>
    </row>
    <row r="141" spans="1:17">
      <c r="A141" s="30">
        <v>140</v>
      </c>
      <c r="B141" s="30" t="s">
        <v>382</v>
      </c>
      <c r="C141" s="37" t="s">
        <v>361</v>
      </c>
      <c r="D141" s="34" t="s">
        <v>484</v>
      </c>
      <c r="E141" s="34">
        <v>195</v>
      </c>
      <c r="F141" s="34">
        <v>1490</v>
      </c>
      <c r="G141" s="34">
        <v>3098</v>
      </c>
      <c r="H141" s="34">
        <v>2079.1946308724832</v>
      </c>
      <c r="I141" s="30" t="s">
        <v>297</v>
      </c>
      <c r="J141" s="34">
        <v>10</v>
      </c>
      <c r="K141" s="30" t="s">
        <v>298</v>
      </c>
      <c r="L141" s="30" t="s">
        <v>299</v>
      </c>
      <c r="M141" s="30" t="s">
        <v>60</v>
      </c>
      <c r="N141" s="30" t="s">
        <v>37</v>
      </c>
      <c r="O141" s="30" t="s">
        <v>300</v>
      </c>
      <c r="P141" s="32"/>
      <c r="Q141" s="30" t="s">
        <v>28</v>
      </c>
    </row>
    <row r="142" spans="1:17">
      <c r="A142" s="30">
        <v>141</v>
      </c>
      <c r="B142" s="30" t="s">
        <v>383</v>
      </c>
      <c r="C142" s="37" t="s">
        <v>84</v>
      </c>
      <c r="D142" s="34" t="s">
        <v>492</v>
      </c>
      <c r="E142" s="34">
        <v>106</v>
      </c>
      <c r="F142" s="34">
        <v>900</v>
      </c>
      <c r="G142" s="34">
        <v>1501</v>
      </c>
      <c r="H142" s="34">
        <v>1667.7777777777778</v>
      </c>
      <c r="I142" s="30" t="s">
        <v>225</v>
      </c>
      <c r="J142" s="34">
        <v>17</v>
      </c>
      <c r="K142" s="30" t="s">
        <v>219</v>
      </c>
      <c r="L142" s="30" t="s">
        <v>226</v>
      </c>
      <c r="M142" s="30" t="s">
        <v>60</v>
      </c>
      <c r="N142" s="30" t="s">
        <v>36</v>
      </c>
      <c r="O142" s="30" t="s">
        <v>384</v>
      </c>
      <c r="P142" s="32"/>
      <c r="Q142" s="30" t="s">
        <v>28</v>
      </c>
    </row>
    <row r="143" spans="1:17">
      <c r="A143" s="30">
        <v>142</v>
      </c>
      <c r="B143" s="30" t="s">
        <v>385</v>
      </c>
      <c r="C143" s="37" t="s">
        <v>82</v>
      </c>
      <c r="D143" s="34" t="s">
        <v>481</v>
      </c>
      <c r="E143" s="34">
        <v>150</v>
      </c>
      <c r="F143" s="34">
        <v>1570</v>
      </c>
      <c r="G143" s="34">
        <v>3047</v>
      </c>
      <c r="H143" s="34">
        <v>1940.7643312101911</v>
      </c>
      <c r="I143" s="30" t="s">
        <v>386</v>
      </c>
      <c r="J143" s="34">
        <v>4</v>
      </c>
      <c r="K143" s="30" t="s">
        <v>387</v>
      </c>
      <c r="L143" s="30" t="s">
        <v>388</v>
      </c>
      <c r="M143" s="30" t="s">
        <v>59</v>
      </c>
      <c r="N143" s="30" t="s">
        <v>36</v>
      </c>
      <c r="O143" s="30" t="s">
        <v>389</v>
      </c>
      <c r="P143" s="32"/>
      <c r="Q143" s="30" t="s">
        <v>28</v>
      </c>
    </row>
    <row r="144" spans="1:17">
      <c r="A144" s="30">
        <v>143</v>
      </c>
      <c r="B144" s="30" t="s">
        <v>390</v>
      </c>
      <c r="C144" s="37" t="s">
        <v>82</v>
      </c>
      <c r="D144" s="34" t="s">
        <v>478</v>
      </c>
      <c r="E144" s="34">
        <v>110</v>
      </c>
      <c r="F144" s="34">
        <v>1645</v>
      </c>
      <c r="G144" s="34">
        <v>1945</v>
      </c>
      <c r="H144" s="34">
        <v>1182.3708206686931</v>
      </c>
      <c r="I144" s="30" t="s">
        <v>391</v>
      </c>
      <c r="J144" s="34">
        <v>4</v>
      </c>
      <c r="K144" s="30" t="s">
        <v>392</v>
      </c>
      <c r="L144" s="30" t="s">
        <v>322</v>
      </c>
      <c r="M144" s="30" t="s">
        <v>59</v>
      </c>
      <c r="N144" s="30" t="s">
        <v>36</v>
      </c>
      <c r="O144" s="30" t="s">
        <v>389</v>
      </c>
      <c r="P144" s="32"/>
      <c r="Q144" s="30" t="s">
        <v>28</v>
      </c>
    </row>
    <row r="145" spans="1:17">
      <c r="A145" s="30">
        <v>144</v>
      </c>
      <c r="B145" s="30" t="s">
        <v>393</v>
      </c>
      <c r="C145" s="37" t="s">
        <v>87</v>
      </c>
      <c r="D145" s="34" t="s">
        <v>478</v>
      </c>
      <c r="E145" s="34">
        <v>112</v>
      </c>
      <c r="F145" s="34">
        <v>1640</v>
      </c>
      <c r="G145" s="34">
        <v>1751</v>
      </c>
      <c r="H145" s="34">
        <v>1067.6829268292684</v>
      </c>
      <c r="I145" s="30" t="s">
        <v>394</v>
      </c>
      <c r="J145" s="34">
        <v>3</v>
      </c>
      <c r="K145" s="30" t="s">
        <v>392</v>
      </c>
      <c r="L145" s="30" t="s">
        <v>395</v>
      </c>
      <c r="M145" s="30" t="s">
        <v>59</v>
      </c>
      <c r="N145" s="30" t="s">
        <v>36</v>
      </c>
      <c r="O145" s="30" t="s">
        <v>396</v>
      </c>
      <c r="P145" s="32"/>
      <c r="Q145" s="30" t="s">
        <v>28</v>
      </c>
    </row>
    <row r="146" spans="1:17">
      <c r="A146" s="30">
        <v>145</v>
      </c>
      <c r="B146" s="30" t="s">
        <v>397</v>
      </c>
      <c r="C146" s="37" t="s">
        <v>84</v>
      </c>
      <c r="D146" s="34" t="s">
        <v>480</v>
      </c>
      <c r="E146" s="34">
        <v>114</v>
      </c>
      <c r="F146" s="34">
        <v>1060</v>
      </c>
      <c r="G146" s="34">
        <v>1336</v>
      </c>
      <c r="H146" s="34">
        <v>1260.3773584905659</v>
      </c>
      <c r="I146" s="30" t="s">
        <v>398</v>
      </c>
      <c r="J146" s="34">
        <v>2</v>
      </c>
      <c r="K146" s="30" t="s">
        <v>266</v>
      </c>
      <c r="L146" s="30" t="s">
        <v>275</v>
      </c>
      <c r="M146" s="30" t="s">
        <v>60</v>
      </c>
      <c r="N146" s="30" t="s">
        <v>37</v>
      </c>
      <c r="O146" s="30" t="s">
        <v>78</v>
      </c>
      <c r="P146" s="32"/>
      <c r="Q146" s="30" t="s">
        <v>28</v>
      </c>
    </row>
    <row r="147" spans="1:17">
      <c r="A147" s="30">
        <v>146</v>
      </c>
      <c r="B147" s="30" t="s">
        <v>399</v>
      </c>
      <c r="C147" s="37" t="s">
        <v>84</v>
      </c>
      <c r="D147" s="34" t="s">
        <v>81</v>
      </c>
      <c r="E147" s="34">
        <v>145</v>
      </c>
      <c r="F147" s="34">
        <v>885</v>
      </c>
      <c r="G147" s="34">
        <v>1724</v>
      </c>
      <c r="H147" s="34">
        <v>1948.0225988700565</v>
      </c>
      <c r="I147" s="30" t="s">
        <v>400</v>
      </c>
      <c r="J147" s="34">
        <v>2</v>
      </c>
      <c r="K147" s="30" t="s">
        <v>76</v>
      </c>
      <c r="L147" s="30" t="s">
        <v>284</v>
      </c>
      <c r="M147" s="30" t="s">
        <v>60</v>
      </c>
      <c r="N147" s="30" t="s">
        <v>37</v>
      </c>
      <c r="O147" s="30" t="s">
        <v>78</v>
      </c>
      <c r="P147" s="32"/>
      <c r="Q147" s="30" t="s">
        <v>28</v>
      </c>
    </row>
    <row r="148" spans="1:17">
      <c r="A148" s="30">
        <v>147</v>
      </c>
      <c r="B148" s="30" t="s">
        <v>401</v>
      </c>
      <c r="C148" s="37" t="s">
        <v>84</v>
      </c>
      <c r="D148" s="34" t="s">
        <v>480</v>
      </c>
      <c r="E148" s="34">
        <v>114</v>
      </c>
      <c r="F148" s="34">
        <v>1060</v>
      </c>
      <c r="G148" s="34">
        <v>1468</v>
      </c>
      <c r="H148" s="34">
        <v>1384.9056603773586</v>
      </c>
      <c r="I148" s="30" t="s">
        <v>402</v>
      </c>
      <c r="J148" s="34">
        <v>2</v>
      </c>
      <c r="K148" s="30" t="s">
        <v>266</v>
      </c>
      <c r="L148" s="30" t="s">
        <v>261</v>
      </c>
      <c r="M148" s="30" t="s">
        <v>60</v>
      </c>
      <c r="N148" s="30" t="s">
        <v>37</v>
      </c>
      <c r="O148" s="30" t="s">
        <v>78</v>
      </c>
      <c r="P148" s="32"/>
      <c r="Q148" s="30" t="s">
        <v>28</v>
      </c>
    </row>
    <row r="149" spans="1:17">
      <c r="A149" s="30">
        <v>148</v>
      </c>
      <c r="B149" s="30" t="s">
        <v>79</v>
      </c>
      <c r="C149" s="37" t="s">
        <v>84</v>
      </c>
      <c r="D149" s="34" t="s">
        <v>81</v>
      </c>
      <c r="E149" s="34">
        <v>136</v>
      </c>
      <c r="F149" s="34">
        <v>885</v>
      </c>
      <c r="G149" s="34">
        <v>1814</v>
      </c>
      <c r="H149" s="34">
        <v>2049.7175141242938</v>
      </c>
      <c r="I149" s="30" t="s">
        <v>80</v>
      </c>
      <c r="J149" s="34">
        <v>2</v>
      </c>
      <c r="K149" s="30" t="s">
        <v>76</v>
      </c>
      <c r="L149" s="30" t="s">
        <v>77</v>
      </c>
      <c r="M149" s="30" t="s">
        <v>60</v>
      </c>
      <c r="N149" s="30" t="s">
        <v>37</v>
      </c>
      <c r="O149" s="30" t="s">
        <v>78</v>
      </c>
      <c r="P149" s="32"/>
      <c r="Q149" s="30" t="s">
        <v>28</v>
      </c>
    </row>
    <row r="150" spans="1:17">
      <c r="A150" s="30">
        <v>149</v>
      </c>
      <c r="B150" s="30" t="s">
        <v>403</v>
      </c>
      <c r="C150" s="37" t="s">
        <v>404</v>
      </c>
      <c r="D150" s="34" t="s">
        <v>475</v>
      </c>
      <c r="E150" s="34">
        <v>118</v>
      </c>
      <c r="F150" s="34">
        <v>902</v>
      </c>
      <c r="G150" s="34">
        <v>1458</v>
      </c>
      <c r="H150" s="34">
        <v>1616.4079822616409</v>
      </c>
      <c r="I150" s="30" t="s">
        <v>405</v>
      </c>
      <c r="J150" s="34">
        <v>3</v>
      </c>
      <c r="K150" s="30" t="s">
        <v>406</v>
      </c>
      <c r="L150" s="30" t="s">
        <v>226</v>
      </c>
      <c r="M150" s="30" t="s">
        <v>60</v>
      </c>
      <c r="N150" s="30" t="s">
        <v>38</v>
      </c>
      <c r="O150" s="30" t="s">
        <v>27</v>
      </c>
      <c r="P150" s="32"/>
      <c r="Q150" s="30" t="s">
        <v>28</v>
      </c>
    </row>
    <row r="151" spans="1:17">
      <c r="A151" s="30">
        <v>150</v>
      </c>
      <c r="B151" s="30" t="s">
        <v>403</v>
      </c>
      <c r="C151" s="37" t="s">
        <v>404</v>
      </c>
      <c r="D151" s="34" t="s">
        <v>475</v>
      </c>
      <c r="E151" s="34">
        <v>118</v>
      </c>
      <c r="F151" s="34">
        <v>902</v>
      </c>
      <c r="G151" s="34">
        <v>1458</v>
      </c>
      <c r="H151" s="34">
        <v>1616.4079822616409</v>
      </c>
      <c r="I151" s="30" t="s">
        <v>405</v>
      </c>
      <c r="J151" s="34">
        <v>5</v>
      </c>
      <c r="K151" s="30" t="s">
        <v>406</v>
      </c>
      <c r="L151" s="30" t="s">
        <v>226</v>
      </c>
      <c r="M151" s="30" t="s">
        <v>60</v>
      </c>
      <c r="N151" s="30" t="s">
        <v>37</v>
      </c>
      <c r="O151" s="30" t="s">
        <v>27</v>
      </c>
      <c r="P151" s="32"/>
      <c r="Q151" s="30" t="s">
        <v>28</v>
      </c>
    </row>
    <row r="152" spans="1:17">
      <c r="A152" s="30">
        <v>151</v>
      </c>
      <c r="B152" s="30" t="s">
        <v>407</v>
      </c>
      <c r="C152" s="37" t="s">
        <v>404</v>
      </c>
      <c r="D152" s="34" t="s">
        <v>476</v>
      </c>
      <c r="E152" s="34">
        <v>113</v>
      </c>
      <c r="F152" s="34">
        <v>902</v>
      </c>
      <c r="G152" s="34">
        <v>1300</v>
      </c>
      <c r="H152" s="34">
        <v>1441.2416851441242</v>
      </c>
      <c r="I152" s="30" t="s">
        <v>408</v>
      </c>
      <c r="J152" s="34">
        <v>5</v>
      </c>
      <c r="K152" s="30" t="s">
        <v>409</v>
      </c>
      <c r="L152" s="30" t="s">
        <v>226</v>
      </c>
      <c r="M152" s="30" t="s">
        <v>60</v>
      </c>
      <c r="N152" s="30" t="s">
        <v>38</v>
      </c>
      <c r="O152" s="30" t="s">
        <v>27</v>
      </c>
      <c r="P152" s="32"/>
      <c r="Q152" s="30" t="s">
        <v>28</v>
      </c>
    </row>
    <row r="153" spans="1:17">
      <c r="A153" s="30">
        <v>152</v>
      </c>
      <c r="B153" s="30" t="s">
        <v>407</v>
      </c>
      <c r="C153" s="37" t="s">
        <v>404</v>
      </c>
      <c r="D153" s="34" t="s">
        <v>476</v>
      </c>
      <c r="E153" s="34">
        <v>113</v>
      </c>
      <c r="F153" s="34">
        <v>902</v>
      </c>
      <c r="G153" s="34">
        <v>1300</v>
      </c>
      <c r="H153" s="34">
        <v>1441.2416851441242</v>
      </c>
      <c r="I153" s="30" t="s">
        <v>408</v>
      </c>
      <c r="J153" s="34">
        <v>4</v>
      </c>
      <c r="K153" s="30" t="s">
        <v>409</v>
      </c>
      <c r="L153" s="30" t="s">
        <v>226</v>
      </c>
      <c r="M153" s="30" t="s">
        <v>60</v>
      </c>
      <c r="N153" s="30" t="s">
        <v>37</v>
      </c>
      <c r="O153" s="30" t="s">
        <v>27</v>
      </c>
      <c r="P153" s="32"/>
      <c r="Q153" s="30" t="s">
        <v>28</v>
      </c>
    </row>
    <row r="154" spans="1:17">
      <c r="A154" s="30">
        <v>153</v>
      </c>
      <c r="B154" s="30" t="s">
        <v>410</v>
      </c>
      <c r="C154" s="37" t="s">
        <v>404</v>
      </c>
      <c r="D154" s="34" t="s">
        <v>475</v>
      </c>
      <c r="E154" s="34">
        <v>110</v>
      </c>
      <c r="F154" s="34">
        <v>897</v>
      </c>
      <c r="G154" s="34">
        <v>1301</v>
      </c>
      <c r="H154" s="34">
        <v>1450.3901895206243</v>
      </c>
      <c r="I154" s="30" t="s">
        <v>411</v>
      </c>
      <c r="J154" s="34">
        <v>4</v>
      </c>
      <c r="K154" s="30" t="s">
        <v>412</v>
      </c>
      <c r="L154" s="30" t="s">
        <v>226</v>
      </c>
      <c r="M154" s="30" t="s">
        <v>60</v>
      </c>
      <c r="N154" s="30" t="s">
        <v>38</v>
      </c>
      <c r="O154" s="30" t="s">
        <v>27</v>
      </c>
      <c r="P154" s="32"/>
      <c r="Q154" s="30" t="s">
        <v>28</v>
      </c>
    </row>
    <row r="155" spans="1:17">
      <c r="A155" s="30">
        <v>154</v>
      </c>
      <c r="B155" s="30" t="s">
        <v>413</v>
      </c>
      <c r="C155" s="37" t="s">
        <v>87</v>
      </c>
      <c r="D155" s="34" t="s">
        <v>493</v>
      </c>
      <c r="E155" s="34">
        <v>140</v>
      </c>
      <c r="F155" s="34">
        <v>1570</v>
      </c>
      <c r="G155" s="34">
        <v>2439</v>
      </c>
      <c r="H155" s="34">
        <v>1553.5031847133757</v>
      </c>
      <c r="I155" s="30" t="s">
        <v>414</v>
      </c>
      <c r="J155" s="34">
        <v>5</v>
      </c>
      <c r="K155" s="30" t="s">
        <v>415</v>
      </c>
      <c r="L155" s="30" t="s">
        <v>370</v>
      </c>
      <c r="M155" s="30" t="s">
        <v>59</v>
      </c>
      <c r="N155" s="30" t="s">
        <v>36</v>
      </c>
      <c r="O155" s="30" t="s">
        <v>396</v>
      </c>
      <c r="P155" s="32"/>
      <c r="Q155" s="30" t="s">
        <v>28</v>
      </c>
    </row>
    <row r="156" spans="1:17">
      <c r="A156" s="30">
        <v>155</v>
      </c>
      <c r="B156" s="30" t="s">
        <v>416</v>
      </c>
      <c r="C156" s="37" t="s">
        <v>87</v>
      </c>
      <c r="D156" s="34" t="s">
        <v>481</v>
      </c>
      <c r="E156" s="34">
        <v>152</v>
      </c>
      <c r="F156" s="34">
        <v>1570</v>
      </c>
      <c r="G156" s="34">
        <v>2589</v>
      </c>
      <c r="H156" s="34">
        <v>1649.0445859872611</v>
      </c>
      <c r="I156" s="30" t="s">
        <v>417</v>
      </c>
      <c r="J156" s="34">
        <v>2</v>
      </c>
      <c r="K156" s="30" t="s">
        <v>387</v>
      </c>
      <c r="L156" s="30" t="s">
        <v>370</v>
      </c>
      <c r="M156" s="30" t="s">
        <v>59</v>
      </c>
      <c r="N156" s="30" t="s">
        <v>36</v>
      </c>
      <c r="O156" s="30" t="s">
        <v>396</v>
      </c>
      <c r="P156" s="32"/>
      <c r="Q156" s="30" t="s">
        <v>28</v>
      </c>
    </row>
    <row r="157" spans="1:17">
      <c r="A157" s="30">
        <v>156</v>
      </c>
      <c r="B157" s="30" t="s">
        <v>418</v>
      </c>
      <c r="C157" s="37" t="s">
        <v>87</v>
      </c>
      <c r="D157" s="34" t="s">
        <v>494</v>
      </c>
      <c r="E157" s="34">
        <v>156</v>
      </c>
      <c r="F157" s="34">
        <v>1495</v>
      </c>
      <c r="G157" s="34">
        <v>3142</v>
      </c>
      <c r="H157" s="34">
        <v>2101.6722408026758</v>
      </c>
      <c r="I157" s="30" t="s">
        <v>419</v>
      </c>
      <c r="J157" s="34">
        <v>2</v>
      </c>
      <c r="K157" s="30" t="s">
        <v>420</v>
      </c>
      <c r="L157" s="30" t="s">
        <v>370</v>
      </c>
      <c r="M157" s="30" t="s">
        <v>59</v>
      </c>
      <c r="N157" s="30" t="s">
        <v>36</v>
      </c>
      <c r="O157" s="30" t="s">
        <v>421</v>
      </c>
      <c r="P157" s="32"/>
      <c r="Q157" s="30" t="s">
        <v>28</v>
      </c>
    </row>
    <row r="158" spans="1:17">
      <c r="A158" s="30">
        <v>157</v>
      </c>
      <c r="B158" s="30" t="s">
        <v>422</v>
      </c>
      <c r="C158" s="37" t="s">
        <v>84</v>
      </c>
      <c r="D158" s="34" t="s">
        <v>495</v>
      </c>
      <c r="E158" s="34">
        <v>132</v>
      </c>
      <c r="F158" s="34">
        <v>1643</v>
      </c>
      <c r="G158" s="34">
        <v>2165</v>
      </c>
      <c r="H158" s="34">
        <v>1317.711503347535</v>
      </c>
      <c r="I158" s="30" t="s">
        <v>423</v>
      </c>
      <c r="J158" s="34">
        <v>4</v>
      </c>
      <c r="K158" s="30" t="s">
        <v>424</v>
      </c>
      <c r="L158" s="30" t="s">
        <v>395</v>
      </c>
      <c r="M158" s="30" t="s">
        <v>60</v>
      </c>
      <c r="N158" s="30" t="s">
        <v>36</v>
      </c>
      <c r="O158" s="30" t="s">
        <v>425</v>
      </c>
      <c r="P158" s="32"/>
      <c r="Q158" s="30" t="s">
        <v>28</v>
      </c>
    </row>
    <row r="159" spans="1:17">
      <c r="A159" s="30">
        <v>158</v>
      </c>
      <c r="B159" s="30" t="s">
        <v>422</v>
      </c>
      <c r="C159" s="37" t="s">
        <v>84</v>
      </c>
      <c r="D159" s="34" t="s">
        <v>495</v>
      </c>
      <c r="E159" s="34">
        <v>132</v>
      </c>
      <c r="F159" s="34">
        <v>1643</v>
      </c>
      <c r="G159" s="34">
        <v>2165</v>
      </c>
      <c r="H159" s="34">
        <v>1317.711503347535</v>
      </c>
      <c r="I159" s="30" t="s">
        <v>423</v>
      </c>
      <c r="J159" s="34">
        <v>5</v>
      </c>
      <c r="K159" s="30" t="s">
        <v>424</v>
      </c>
      <c r="L159" s="30" t="s">
        <v>395</v>
      </c>
      <c r="M159" s="30" t="s">
        <v>60</v>
      </c>
      <c r="N159" s="30" t="s">
        <v>36</v>
      </c>
      <c r="O159" s="30" t="s">
        <v>425</v>
      </c>
      <c r="P159" s="32"/>
      <c r="Q159" s="30" t="s">
        <v>28</v>
      </c>
    </row>
    <row r="160" spans="1:17">
      <c r="A160" s="30">
        <v>159</v>
      </c>
      <c r="B160" s="30" t="s">
        <v>422</v>
      </c>
      <c r="C160" s="37" t="s">
        <v>84</v>
      </c>
      <c r="D160" s="34" t="s">
        <v>495</v>
      </c>
      <c r="E160" s="34">
        <v>132</v>
      </c>
      <c r="F160" s="34">
        <v>1643</v>
      </c>
      <c r="G160" s="34">
        <v>2165</v>
      </c>
      <c r="H160" s="34">
        <v>1317.711503347535</v>
      </c>
      <c r="I160" s="30" t="s">
        <v>423</v>
      </c>
      <c r="J160" s="34">
        <v>6</v>
      </c>
      <c r="K160" s="30" t="s">
        <v>424</v>
      </c>
      <c r="L160" s="30" t="s">
        <v>395</v>
      </c>
      <c r="M160" s="30" t="s">
        <v>60</v>
      </c>
      <c r="N160" s="30" t="s">
        <v>36</v>
      </c>
      <c r="O160" s="30" t="s">
        <v>425</v>
      </c>
      <c r="P160" s="32"/>
      <c r="Q160" s="30" t="s">
        <v>28</v>
      </c>
    </row>
    <row r="161" spans="1:17">
      <c r="A161" s="30">
        <v>160</v>
      </c>
      <c r="B161" s="30" t="s">
        <v>426</v>
      </c>
      <c r="C161" s="37" t="s">
        <v>84</v>
      </c>
      <c r="D161" s="34" t="s">
        <v>491</v>
      </c>
      <c r="E161" s="34">
        <v>180</v>
      </c>
      <c r="F161" s="34">
        <v>1495</v>
      </c>
      <c r="G161" s="34">
        <v>3046</v>
      </c>
      <c r="H161" s="34">
        <v>2037.4581939799332</v>
      </c>
      <c r="I161" s="30" t="s">
        <v>427</v>
      </c>
      <c r="J161" s="34">
        <v>6</v>
      </c>
      <c r="K161" s="30" t="s">
        <v>298</v>
      </c>
      <c r="L161" s="30" t="s">
        <v>370</v>
      </c>
      <c r="M161" s="30" t="s">
        <v>60</v>
      </c>
      <c r="N161" s="30" t="s">
        <v>36</v>
      </c>
      <c r="O161" s="30" t="s">
        <v>425</v>
      </c>
      <c r="P161" s="32"/>
      <c r="Q161" s="30" t="s">
        <v>28</v>
      </c>
    </row>
    <row r="162" spans="1:17">
      <c r="A162" s="30">
        <v>161</v>
      </c>
      <c r="B162" s="30" t="s">
        <v>426</v>
      </c>
      <c r="C162" s="37" t="s">
        <v>84</v>
      </c>
      <c r="D162" s="34" t="s">
        <v>491</v>
      </c>
      <c r="E162" s="34">
        <v>180</v>
      </c>
      <c r="F162" s="34">
        <v>1495</v>
      </c>
      <c r="G162" s="34">
        <v>3046</v>
      </c>
      <c r="H162" s="34">
        <v>2037.4581939799332</v>
      </c>
      <c r="I162" s="30" t="s">
        <v>427</v>
      </c>
      <c r="J162" s="34">
        <v>9</v>
      </c>
      <c r="K162" s="30" t="s">
        <v>298</v>
      </c>
      <c r="L162" s="30" t="s">
        <v>370</v>
      </c>
      <c r="M162" s="30" t="s">
        <v>60</v>
      </c>
      <c r="N162" s="30" t="s">
        <v>36</v>
      </c>
      <c r="O162" s="30" t="s">
        <v>425</v>
      </c>
      <c r="P162" s="32"/>
      <c r="Q162" s="30" t="s">
        <v>28</v>
      </c>
    </row>
    <row r="163" spans="1:17">
      <c r="A163" s="30">
        <v>162</v>
      </c>
      <c r="B163" s="30" t="s">
        <v>426</v>
      </c>
      <c r="C163" s="37" t="s">
        <v>84</v>
      </c>
      <c r="D163" s="34" t="s">
        <v>491</v>
      </c>
      <c r="E163" s="34">
        <v>180</v>
      </c>
      <c r="F163" s="34">
        <v>1495</v>
      </c>
      <c r="G163" s="34">
        <v>3046</v>
      </c>
      <c r="H163" s="34">
        <v>2037.4581939799332</v>
      </c>
      <c r="I163" s="30" t="s">
        <v>427</v>
      </c>
      <c r="J163" s="34">
        <v>10</v>
      </c>
      <c r="K163" s="30" t="s">
        <v>298</v>
      </c>
      <c r="L163" s="30" t="s">
        <v>370</v>
      </c>
      <c r="M163" s="30" t="s">
        <v>60</v>
      </c>
      <c r="N163" s="30" t="s">
        <v>36</v>
      </c>
      <c r="O163" s="30" t="s">
        <v>425</v>
      </c>
      <c r="P163" s="32"/>
      <c r="Q163" s="30" t="s">
        <v>28</v>
      </c>
    </row>
    <row r="164" spans="1:17">
      <c r="A164" s="30">
        <v>163</v>
      </c>
      <c r="B164" s="30" t="s">
        <v>426</v>
      </c>
      <c r="C164" s="37" t="s">
        <v>84</v>
      </c>
      <c r="D164" s="34" t="s">
        <v>491</v>
      </c>
      <c r="E164" s="34">
        <v>180</v>
      </c>
      <c r="F164" s="34">
        <v>1495</v>
      </c>
      <c r="G164" s="34">
        <v>3046</v>
      </c>
      <c r="H164" s="34">
        <v>2037.4581939799332</v>
      </c>
      <c r="I164" s="30" t="s">
        <v>427</v>
      </c>
      <c r="J164" s="34">
        <v>11</v>
      </c>
      <c r="K164" s="30" t="s">
        <v>298</v>
      </c>
      <c r="L164" s="30" t="s">
        <v>370</v>
      </c>
      <c r="M164" s="30" t="s">
        <v>60</v>
      </c>
      <c r="N164" s="30" t="s">
        <v>36</v>
      </c>
      <c r="O164" s="30" t="s">
        <v>425</v>
      </c>
      <c r="P164" s="32"/>
      <c r="Q164" s="30" t="s">
        <v>28</v>
      </c>
    </row>
    <row r="165" spans="1:17">
      <c r="A165" s="30">
        <v>164</v>
      </c>
      <c r="B165" s="30" t="s">
        <v>426</v>
      </c>
      <c r="C165" s="37" t="s">
        <v>84</v>
      </c>
      <c r="D165" s="34" t="s">
        <v>491</v>
      </c>
      <c r="E165" s="34">
        <v>180</v>
      </c>
      <c r="F165" s="34">
        <v>1495</v>
      </c>
      <c r="G165" s="34">
        <v>3046</v>
      </c>
      <c r="H165" s="34">
        <v>2037.4581939799332</v>
      </c>
      <c r="I165" s="30" t="s">
        <v>427</v>
      </c>
      <c r="J165" s="34">
        <v>12</v>
      </c>
      <c r="K165" s="30" t="s">
        <v>298</v>
      </c>
      <c r="L165" s="30" t="s">
        <v>370</v>
      </c>
      <c r="M165" s="30" t="s">
        <v>60</v>
      </c>
      <c r="N165" s="30" t="s">
        <v>36</v>
      </c>
      <c r="O165" s="30" t="s">
        <v>425</v>
      </c>
      <c r="P165" s="32"/>
      <c r="Q165" s="30" t="s">
        <v>28</v>
      </c>
    </row>
    <row r="166" spans="1:17">
      <c r="A166" s="30">
        <v>165</v>
      </c>
      <c r="B166" s="30" t="s">
        <v>428</v>
      </c>
      <c r="C166" s="37" t="s">
        <v>84</v>
      </c>
      <c r="D166" s="34" t="s">
        <v>484</v>
      </c>
      <c r="E166" s="34">
        <v>180</v>
      </c>
      <c r="F166" s="34">
        <v>1490</v>
      </c>
      <c r="G166" s="34">
        <v>3034</v>
      </c>
      <c r="H166" s="34">
        <v>2036.2416107382551</v>
      </c>
      <c r="I166" s="30" t="s">
        <v>427</v>
      </c>
      <c r="J166" s="34">
        <v>7</v>
      </c>
      <c r="K166" s="30" t="s">
        <v>298</v>
      </c>
      <c r="L166" s="30" t="s">
        <v>370</v>
      </c>
      <c r="M166" s="30" t="s">
        <v>60</v>
      </c>
      <c r="N166" s="30" t="s">
        <v>36</v>
      </c>
      <c r="O166" s="30" t="s">
        <v>425</v>
      </c>
      <c r="P166" s="32"/>
      <c r="Q166" s="30" t="s">
        <v>28</v>
      </c>
    </row>
    <row r="167" spans="1:17">
      <c r="A167" s="30">
        <v>166</v>
      </c>
      <c r="B167" s="30" t="s">
        <v>429</v>
      </c>
      <c r="C167" s="37" t="s">
        <v>84</v>
      </c>
      <c r="D167" s="34" t="s">
        <v>484</v>
      </c>
      <c r="E167" s="34">
        <v>180</v>
      </c>
      <c r="F167" s="34">
        <v>1490</v>
      </c>
      <c r="G167" s="34">
        <v>3095</v>
      </c>
      <c r="H167" s="34">
        <v>2077.1812080536911</v>
      </c>
      <c r="I167" s="30" t="s">
        <v>427</v>
      </c>
      <c r="J167" s="34">
        <v>8</v>
      </c>
      <c r="K167" s="30" t="s">
        <v>298</v>
      </c>
      <c r="L167" s="30" t="s">
        <v>370</v>
      </c>
      <c r="M167" s="30" t="s">
        <v>60</v>
      </c>
      <c r="N167" s="30" t="s">
        <v>36</v>
      </c>
      <c r="O167" s="30" t="s">
        <v>425</v>
      </c>
      <c r="P167" s="32"/>
      <c r="Q167" s="30" t="s">
        <v>28</v>
      </c>
    </row>
    <row r="168" spans="1:17">
      <c r="A168" s="30">
        <v>167</v>
      </c>
      <c r="B168" s="30" t="s">
        <v>430</v>
      </c>
      <c r="C168" s="37" t="s">
        <v>87</v>
      </c>
      <c r="D168" s="34" t="s">
        <v>486</v>
      </c>
      <c r="E168" s="34">
        <v>110</v>
      </c>
      <c r="F168" s="34">
        <v>1815</v>
      </c>
      <c r="G168" s="34">
        <v>1972</v>
      </c>
      <c r="H168" s="34">
        <v>1086.5013774104684</v>
      </c>
      <c r="I168" s="30" t="s">
        <v>431</v>
      </c>
      <c r="J168" s="34">
        <v>2</v>
      </c>
      <c r="K168" s="30" t="s">
        <v>432</v>
      </c>
      <c r="L168" s="30" t="s">
        <v>395</v>
      </c>
      <c r="M168" s="30" t="s">
        <v>59</v>
      </c>
      <c r="N168" s="30" t="s">
        <v>36</v>
      </c>
      <c r="O168" s="30" t="s">
        <v>421</v>
      </c>
      <c r="P168" s="32"/>
      <c r="Q168" s="30" t="s">
        <v>28</v>
      </c>
    </row>
    <row r="169" spans="1:17">
      <c r="A169" s="30">
        <v>168</v>
      </c>
      <c r="B169" s="30" t="s">
        <v>430</v>
      </c>
      <c r="C169" s="37" t="s">
        <v>87</v>
      </c>
      <c r="D169" s="34" t="s">
        <v>486</v>
      </c>
      <c r="E169" s="34">
        <v>110</v>
      </c>
      <c r="F169" s="34">
        <v>1815</v>
      </c>
      <c r="G169" s="34">
        <v>1972</v>
      </c>
      <c r="H169" s="34">
        <v>1086.5013774104684</v>
      </c>
      <c r="I169" s="30" t="s">
        <v>431</v>
      </c>
      <c r="J169" s="34">
        <v>3</v>
      </c>
      <c r="K169" s="30" t="s">
        <v>432</v>
      </c>
      <c r="L169" s="30" t="s">
        <v>395</v>
      </c>
      <c r="M169" s="30" t="s">
        <v>59</v>
      </c>
      <c r="N169" s="30" t="s">
        <v>36</v>
      </c>
      <c r="O169" s="30" t="s">
        <v>421</v>
      </c>
      <c r="P169" s="32"/>
      <c r="Q169" s="30" t="s">
        <v>28</v>
      </c>
    </row>
    <row r="170" spans="1:17">
      <c r="A170" s="30">
        <v>169</v>
      </c>
      <c r="B170" s="30" t="s">
        <v>433</v>
      </c>
      <c r="C170" s="37" t="s">
        <v>82</v>
      </c>
      <c r="D170" s="34" t="s">
        <v>493</v>
      </c>
      <c r="E170" s="34"/>
      <c r="F170" s="34">
        <v>1570</v>
      </c>
      <c r="G170" s="34">
        <v>2805</v>
      </c>
      <c r="H170" s="34">
        <v>1786.624203821656</v>
      </c>
      <c r="I170" s="30" t="s">
        <v>434</v>
      </c>
      <c r="J170" s="34">
        <v>3</v>
      </c>
      <c r="K170" s="30" t="s">
        <v>415</v>
      </c>
      <c r="L170" s="30" t="s">
        <v>388</v>
      </c>
      <c r="M170" s="30" t="s">
        <v>59</v>
      </c>
      <c r="N170" s="30" t="s">
        <v>36</v>
      </c>
      <c r="O170" s="30" t="s">
        <v>389</v>
      </c>
      <c r="P170" s="32"/>
      <c r="Q170" s="30" t="s">
        <v>28</v>
      </c>
    </row>
    <row r="171" spans="1:17">
      <c r="A171" s="30">
        <v>170</v>
      </c>
      <c r="B171" s="30" t="s">
        <v>435</v>
      </c>
      <c r="C171" s="37" t="s">
        <v>87</v>
      </c>
      <c r="D171" s="34" t="s">
        <v>488</v>
      </c>
      <c r="E171" s="34">
        <v>120</v>
      </c>
      <c r="F171" s="34">
        <v>1640</v>
      </c>
      <c r="G171" s="34">
        <v>1876</v>
      </c>
      <c r="H171" s="34">
        <v>1143.9024390243903</v>
      </c>
      <c r="I171" s="30" t="s">
        <v>436</v>
      </c>
      <c r="J171" s="34">
        <v>2</v>
      </c>
      <c r="K171" s="30" t="s">
        <v>437</v>
      </c>
      <c r="L171" s="30" t="s">
        <v>395</v>
      </c>
      <c r="M171" s="30" t="s">
        <v>59</v>
      </c>
      <c r="N171" s="30" t="s">
        <v>36</v>
      </c>
      <c r="O171" s="30" t="s">
        <v>396</v>
      </c>
      <c r="P171" s="32"/>
      <c r="Q171" s="30" t="s">
        <v>28</v>
      </c>
    </row>
    <row r="172" spans="1:17">
      <c r="A172" s="30">
        <v>171</v>
      </c>
      <c r="B172" s="30" t="s">
        <v>438</v>
      </c>
      <c r="C172" s="37" t="s">
        <v>85</v>
      </c>
      <c r="D172" s="34" t="s">
        <v>475</v>
      </c>
      <c r="E172" s="34">
        <v>106</v>
      </c>
      <c r="F172" s="34">
        <v>900</v>
      </c>
      <c r="G172" s="34">
        <v>1562</v>
      </c>
      <c r="H172" s="34">
        <v>1735.5555555555557</v>
      </c>
      <c r="I172" s="30" t="s">
        <v>234</v>
      </c>
      <c r="J172" s="34">
        <v>22</v>
      </c>
      <c r="K172" s="30" t="s">
        <v>219</v>
      </c>
      <c r="L172" s="30" t="s">
        <v>235</v>
      </c>
      <c r="M172" s="30" t="s">
        <v>60</v>
      </c>
      <c r="N172" s="30" t="s">
        <v>36</v>
      </c>
      <c r="O172" s="30" t="s">
        <v>236</v>
      </c>
      <c r="P172" s="32"/>
      <c r="Q172" s="30" t="s">
        <v>28</v>
      </c>
    </row>
    <row r="173" spans="1:17">
      <c r="A173" s="30">
        <v>172</v>
      </c>
      <c r="B173" s="30" t="s">
        <v>439</v>
      </c>
      <c r="C173" s="37" t="s">
        <v>88</v>
      </c>
      <c r="D173" s="34" t="s">
        <v>474</v>
      </c>
      <c r="E173" s="34">
        <v>112</v>
      </c>
      <c r="F173" s="34">
        <v>1490</v>
      </c>
      <c r="G173" s="34">
        <v>1657</v>
      </c>
      <c r="H173" s="34">
        <v>1112.0805369127518</v>
      </c>
      <c r="I173" s="30" t="s">
        <v>440</v>
      </c>
      <c r="J173" s="34">
        <v>2</v>
      </c>
      <c r="K173" s="30" t="s">
        <v>356</v>
      </c>
      <c r="L173" s="30" t="s">
        <v>316</v>
      </c>
      <c r="M173" s="30" t="s">
        <v>60</v>
      </c>
      <c r="N173" s="30" t="s">
        <v>36</v>
      </c>
      <c r="O173" s="30" t="s">
        <v>27</v>
      </c>
      <c r="P173" s="32"/>
      <c r="Q173" s="30" t="s">
        <v>28</v>
      </c>
    </row>
    <row r="174" spans="1:17">
      <c r="A174" s="30">
        <v>173</v>
      </c>
      <c r="B174" s="30" t="s">
        <v>441</v>
      </c>
      <c r="C174" s="37" t="s">
        <v>87</v>
      </c>
      <c r="D174" s="34" t="s">
        <v>488</v>
      </c>
      <c r="E174" s="34">
        <v>116</v>
      </c>
      <c r="F174" s="34">
        <v>1635</v>
      </c>
      <c r="G174" s="34">
        <v>1939</v>
      </c>
      <c r="H174" s="34">
        <v>1185.9327217125383</v>
      </c>
      <c r="I174" s="30" t="s">
        <v>442</v>
      </c>
      <c r="J174" s="34">
        <v>2</v>
      </c>
      <c r="K174" s="30" t="s">
        <v>437</v>
      </c>
      <c r="L174" s="30" t="s">
        <v>370</v>
      </c>
      <c r="M174" s="30" t="s">
        <v>59</v>
      </c>
      <c r="N174" s="30" t="s">
        <v>36</v>
      </c>
      <c r="O174" s="30" t="s">
        <v>396</v>
      </c>
      <c r="P174" s="32"/>
      <c r="Q174" s="30" t="s">
        <v>28</v>
      </c>
    </row>
    <row r="175" spans="1:17">
      <c r="A175" s="30">
        <v>174</v>
      </c>
      <c r="B175" s="30" t="s">
        <v>443</v>
      </c>
      <c r="C175" s="37" t="s">
        <v>82</v>
      </c>
      <c r="D175" s="34" t="s">
        <v>495</v>
      </c>
      <c r="E175" s="34">
        <v>118</v>
      </c>
      <c r="F175" s="34">
        <v>1645</v>
      </c>
      <c r="G175" s="34">
        <v>2340</v>
      </c>
      <c r="H175" s="34">
        <v>1422.4924012158056</v>
      </c>
      <c r="I175" s="30" t="s">
        <v>444</v>
      </c>
      <c r="J175" s="34">
        <v>2</v>
      </c>
      <c r="K175" s="30" t="s">
        <v>445</v>
      </c>
      <c r="L175" s="30" t="s">
        <v>388</v>
      </c>
      <c r="M175" s="30" t="s">
        <v>59</v>
      </c>
      <c r="N175" s="30" t="s">
        <v>36</v>
      </c>
      <c r="O175" s="30" t="s">
        <v>389</v>
      </c>
      <c r="P175" s="32"/>
      <c r="Q175" s="30" t="s">
        <v>28</v>
      </c>
    </row>
    <row r="176" spans="1:17">
      <c r="A176" s="30">
        <v>175</v>
      </c>
      <c r="B176" s="30" t="s">
        <v>446</v>
      </c>
      <c r="C176" s="37" t="s">
        <v>82</v>
      </c>
      <c r="D176" s="34" t="s">
        <v>488</v>
      </c>
      <c r="E176" s="34">
        <v>116</v>
      </c>
      <c r="F176" s="34">
        <v>1640</v>
      </c>
      <c r="G176" s="34">
        <v>2110</v>
      </c>
      <c r="H176" s="34">
        <v>1286.5853658536585</v>
      </c>
      <c r="I176" s="30" t="s">
        <v>447</v>
      </c>
      <c r="J176" s="34">
        <v>2</v>
      </c>
      <c r="K176" s="30" t="s">
        <v>437</v>
      </c>
      <c r="L176" s="30" t="s">
        <v>388</v>
      </c>
      <c r="M176" s="30" t="s">
        <v>59</v>
      </c>
      <c r="N176" s="30" t="s">
        <v>36</v>
      </c>
      <c r="O176" s="30" t="s">
        <v>389</v>
      </c>
      <c r="P176" s="32"/>
      <c r="Q176" s="30" t="s">
        <v>28</v>
      </c>
    </row>
    <row r="177" spans="1:17">
      <c r="A177" s="30">
        <v>176</v>
      </c>
      <c r="B177" s="30" t="s">
        <v>448</v>
      </c>
      <c r="C177" s="37" t="s">
        <v>87</v>
      </c>
      <c r="D177" s="34" t="s">
        <v>495</v>
      </c>
      <c r="E177" s="34">
        <v>120</v>
      </c>
      <c r="F177" s="34">
        <v>1640</v>
      </c>
      <c r="G177" s="34">
        <v>2098</v>
      </c>
      <c r="H177" s="34">
        <v>1279.2682926829268</v>
      </c>
      <c r="I177" s="30" t="s">
        <v>449</v>
      </c>
      <c r="J177" s="34">
        <v>2</v>
      </c>
      <c r="K177" s="30" t="s">
        <v>445</v>
      </c>
      <c r="L177" s="30" t="s">
        <v>370</v>
      </c>
      <c r="M177" s="30" t="s">
        <v>59</v>
      </c>
      <c r="N177" s="30" t="s">
        <v>36</v>
      </c>
      <c r="O177" s="30" t="s">
        <v>396</v>
      </c>
      <c r="P177" s="32"/>
      <c r="Q177" s="30" t="s">
        <v>28</v>
      </c>
    </row>
    <row r="178" spans="1:17">
      <c r="A178" s="30">
        <v>177</v>
      </c>
      <c r="B178" s="30" t="s">
        <v>450</v>
      </c>
      <c r="C178" s="37" t="s">
        <v>82</v>
      </c>
      <c r="D178" s="34" t="s">
        <v>495</v>
      </c>
      <c r="E178" s="34">
        <v>120</v>
      </c>
      <c r="F178" s="34">
        <v>1652</v>
      </c>
      <c r="G178" s="34">
        <v>2350</v>
      </c>
      <c r="H178" s="34">
        <v>1422.5181598062954</v>
      </c>
      <c r="I178" s="30" t="s">
        <v>451</v>
      </c>
      <c r="J178" s="34">
        <v>2</v>
      </c>
      <c r="K178" s="30" t="s">
        <v>445</v>
      </c>
      <c r="L178" s="30" t="s">
        <v>241</v>
      </c>
      <c r="M178" s="30" t="s">
        <v>59</v>
      </c>
      <c r="N178" s="30" t="s">
        <v>36</v>
      </c>
      <c r="O178" s="30" t="s">
        <v>452</v>
      </c>
      <c r="P178" s="32"/>
      <c r="Q178" s="30" t="s">
        <v>28</v>
      </c>
    </row>
    <row r="179" spans="1:17">
      <c r="A179" s="30">
        <v>178</v>
      </c>
      <c r="B179" s="30" t="s">
        <v>453</v>
      </c>
      <c r="C179" s="37" t="s">
        <v>82</v>
      </c>
      <c r="D179" s="34" t="s">
        <v>496</v>
      </c>
      <c r="E179" s="34">
        <v>108</v>
      </c>
      <c r="F179" s="34">
        <v>1640</v>
      </c>
      <c r="G179" s="34">
        <v>2080</v>
      </c>
      <c r="H179" s="34">
        <v>1268.2926829268292</v>
      </c>
      <c r="I179" s="30" t="s">
        <v>454</v>
      </c>
      <c r="J179" s="34">
        <v>2</v>
      </c>
      <c r="K179" s="30" t="s">
        <v>437</v>
      </c>
      <c r="L179" s="30" t="s">
        <v>241</v>
      </c>
      <c r="M179" s="30" t="s">
        <v>59</v>
      </c>
      <c r="N179" s="30" t="s">
        <v>36</v>
      </c>
      <c r="O179" s="30" t="s">
        <v>452</v>
      </c>
      <c r="P179" s="32"/>
      <c r="Q179" s="30" t="s">
        <v>28</v>
      </c>
    </row>
    <row r="180" spans="1:17">
      <c r="A180" s="30">
        <v>179</v>
      </c>
      <c r="B180" s="30" t="s">
        <v>455</v>
      </c>
      <c r="C180" s="37" t="s">
        <v>88</v>
      </c>
      <c r="D180" s="34" t="s">
        <v>481</v>
      </c>
      <c r="E180" s="34">
        <v>148</v>
      </c>
      <c r="F180" s="34">
        <v>1490</v>
      </c>
      <c r="G180" s="34">
        <v>2686</v>
      </c>
      <c r="H180" s="34">
        <v>1802.6845637583892</v>
      </c>
      <c r="I180" s="30" t="s">
        <v>456</v>
      </c>
      <c r="J180" s="34">
        <v>2</v>
      </c>
      <c r="K180" s="30" t="s">
        <v>353</v>
      </c>
      <c r="L180" s="30" t="s">
        <v>299</v>
      </c>
      <c r="M180" s="30" t="s">
        <v>60</v>
      </c>
      <c r="N180" s="30" t="s">
        <v>36</v>
      </c>
      <c r="O180" s="30" t="s">
        <v>27</v>
      </c>
      <c r="P180" s="32"/>
      <c r="Q180" s="30" t="s">
        <v>28</v>
      </c>
    </row>
    <row r="181" spans="1:17">
      <c r="A181" s="30">
        <v>180</v>
      </c>
      <c r="B181" s="30" t="s">
        <v>457</v>
      </c>
      <c r="C181" s="37" t="s">
        <v>88</v>
      </c>
      <c r="D181" s="34" t="s">
        <v>493</v>
      </c>
      <c r="E181" s="34">
        <v>170</v>
      </c>
      <c r="F181" s="34">
        <v>1495</v>
      </c>
      <c r="G181" s="34">
        <v>2852</v>
      </c>
      <c r="H181" s="34">
        <v>1907</v>
      </c>
      <c r="I181" s="30" t="s">
        <v>458</v>
      </c>
      <c r="J181" s="34">
        <v>2</v>
      </c>
      <c r="K181" s="30" t="s">
        <v>333</v>
      </c>
      <c r="L181" s="30" t="s">
        <v>299</v>
      </c>
      <c r="M181" s="30" t="s">
        <v>60</v>
      </c>
      <c r="N181" s="30" t="s">
        <v>36</v>
      </c>
      <c r="O181" s="30" t="s">
        <v>27</v>
      </c>
      <c r="P181" s="32"/>
      <c r="Q181" s="30" t="s">
        <v>28</v>
      </c>
    </row>
    <row r="182" spans="1:17">
      <c r="A182" s="30">
        <v>181</v>
      </c>
      <c r="B182" s="30" t="s">
        <v>459</v>
      </c>
      <c r="C182" s="37" t="s">
        <v>88</v>
      </c>
      <c r="D182" s="34" t="s">
        <v>481</v>
      </c>
      <c r="E182" s="34">
        <v>168</v>
      </c>
      <c r="F182" s="34">
        <v>1495</v>
      </c>
      <c r="G182" s="34">
        <v>2745</v>
      </c>
      <c r="H182" s="34">
        <v>1836.1204013377926</v>
      </c>
      <c r="I182" s="30" t="s">
        <v>460</v>
      </c>
      <c r="J182" s="34">
        <v>2</v>
      </c>
      <c r="K182" s="30" t="s">
        <v>350</v>
      </c>
      <c r="L182" s="30" t="s">
        <v>299</v>
      </c>
      <c r="M182" s="30" t="s">
        <v>60</v>
      </c>
      <c r="N182" s="30" t="s">
        <v>36</v>
      </c>
      <c r="O182" s="30" t="s">
        <v>27</v>
      </c>
      <c r="P182" s="32"/>
      <c r="Q182" s="30" t="s">
        <v>28</v>
      </c>
    </row>
    <row r="183" spans="1:17">
      <c r="A183" s="30">
        <v>182</v>
      </c>
      <c r="B183" s="30" t="s">
        <v>461</v>
      </c>
      <c r="C183" s="37" t="s">
        <v>82</v>
      </c>
      <c r="D183" s="34" t="s">
        <v>488</v>
      </c>
      <c r="E183" s="34">
        <v>120</v>
      </c>
      <c r="F183" s="34">
        <v>1640</v>
      </c>
      <c r="G183" s="34">
        <v>1876</v>
      </c>
      <c r="H183" s="34">
        <v>1143.9024390243903</v>
      </c>
      <c r="I183" s="30" t="s">
        <v>462</v>
      </c>
      <c r="J183" s="34">
        <v>2</v>
      </c>
      <c r="K183" s="30" t="s">
        <v>437</v>
      </c>
      <c r="L183" s="30" t="s">
        <v>322</v>
      </c>
      <c r="M183" s="30" t="s">
        <v>59</v>
      </c>
      <c r="N183" s="30" t="s">
        <v>36</v>
      </c>
      <c r="O183" s="30" t="s">
        <v>389</v>
      </c>
      <c r="P183" s="32"/>
      <c r="Q183" s="30" t="s">
        <v>28</v>
      </c>
    </row>
    <row r="184" spans="1:17">
      <c r="A184" s="30">
        <v>183</v>
      </c>
      <c r="B184" s="30" t="s">
        <v>463</v>
      </c>
      <c r="C184" s="37" t="s">
        <v>88</v>
      </c>
      <c r="D184" s="34" t="s">
        <v>474</v>
      </c>
      <c r="E184" s="34">
        <v>124</v>
      </c>
      <c r="F184" s="34">
        <v>1490</v>
      </c>
      <c r="G184" s="34">
        <v>1995</v>
      </c>
      <c r="H184" s="34">
        <v>1338</v>
      </c>
      <c r="I184" s="30" t="s">
        <v>464</v>
      </c>
      <c r="J184" s="34">
        <v>2</v>
      </c>
      <c r="K184" s="30" t="s">
        <v>321</v>
      </c>
      <c r="L184" s="30" t="s">
        <v>316</v>
      </c>
      <c r="M184" s="30" t="s">
        <v>60</v>
      </c>
      <c r="N184" s="30" t="s">
        <v>36</v>
      </c>
      <c r="O184" s="30" t="s">
        <v>27</v>
      </c>
      <c r="P184" s="32"/>
      <c r="Q184" s="30" t="s">
        <v>28</v>
      </c>
    </row>
    <row r="185" spans="1:17">
      <c r="A185" s="30">
        <v>184</v>
      </c>
      <c r="B185" s="30" t="s">
        <v>465</v>
      </c>
      <c r="C185" s="37" t="s">
        <v>82</v>
      </c>
      <c r="D185" s="34" t="s">
        <v>488</v>
      </c>
      <c r="E185" s="34">
        <v>114</v>
      </c>
      <c r="F185" s="34">
        <v>1635</v>
      </c>
      <c r="G185" s="34">
        <v>1925</v>
      </c>
      <c r="H185" s="34">
        <v>1177.3700305810398</v>
      </c>
      <c r="I185" s="30" t="s">
        <v>466</v>
      </c>
      <c r="J185" s="34">
        <v>2</v>
      </c>
      <c r="K185" s="30" t="s">
        <v>437</v>
      </c>
      <c r="L185" s="30" t="s">
        <v>302</v>
      </c>
      <c r="M185" s="30" t="s">
        <v>59</v>
      </c>
      <c r="N185" s="30" t="s">
        <v>36</v>
      </c>
      <c r="O185" s="30" t="s">
        <v>452</v>
      </c>
      <c r="P185" s="32"/>
      <c r="Q185" s="30" t="s">
        <v>28</v>
      </c>
    </row>
    <row r="186" spans="1:17">
      <c r="A186" s="30">
        <v>185</v>
      </c>
      <c r="B186" s="30" t="s">
        <v>467</v>
      </c>
      <c r="C186" s="37" t="s">
        <v>88</v>
      </c>
      <c r="D186" s="34" t="s">
        <v>497</v>
      </c>
      <c r="E186" s="34">
        <v>194</v>
      </c>
      <c r="F186" s="34">
        <v>1500</v>
      </c>
      <c r="G186" s="34">
        <v>3320</v>
      </c>
      <c r="H186" s="34">
        <v>2213.3333333333335</v>
      </c>
      <c r="I186" s="30" t="s">
        <v>468</v>
      </c>
      <c r="J186" s="34">
        <v>2</v>
      </c>
      <c r="K186" s="30" t="s">
        <v>469</v>
      </c>
      <c r="L186" s="30" t="s">
        <v>299</v>
      </c>
      <c r="M186" s="30" t="s">
        <v>60</v>
      </c>
      <c r="N186" s="30" t="s">
        <v>36</v>
      </c>
      <c r="O186" s="30" t="s">
        <v>27</v>
      </c>
      <c r="P186" s="32"/>
      <c r="Q186" s="30" t="s">
        <v>28</v>
      </c>
    </row>
    <row r="187" spans="1:17">
      <c r="A187" s="30">
        <v>186</v>
      </c>
      <c r="B187" s="30" t="s">
        <v>470</v>
      </c>
      <c r="C187" s="37" t="s">
        <v>84</v>
      </c>
      <c r="D187" s="34" t="s">
        <v>495</v>
      </c>
      <c r="E187" s="34">
        <v>132</v>
      </c>
      <c r="F187" s="34">
        <v>1643</v>
      </c>
      <c r="G187" s="34">
        <v>2316</v>
      </c>
      <c r="H187" s="34">
        <v>1409.6165550821668</v>
      </c>
      <c r="I187" s="30" t="s">
        <v>423</v>
      </c>
      <c r="J187" s="34">
        <v>8</v>
      </c>
      <c r="K187" s="30" t="s">
        <v>424</v>
      </c>
      <c r="L187" s="30" t="s">
        <v>395</v>
      </c>
      <c r="M187" s="30" t="s">
        <v>60</v>
      </c>
      <c r="N187" s="30" t="s">
        <v>36</v>
      </c>
      <c r="O187" s="30" t="s">
        <v>425</v>
      </c>
      <c r="P187" s="32"/>
      <c r="Q187" s="30" t="s">
        <v>28</v>
      </c>
    </row>
    <row r="188" spans="1:17">
      <c r="A188" s="30">
        <v>187</v>
      </c>
      <c r="B188" s="30" t="s">
        <v>470</v>
      </c>
      <c r="C188" s="37" t="s">
        <v>84</v>
      </c>
      <c r="D188" s="34" t="s">
        <v>495</v>
      </c>
      <c r="E188" s="34">
        <v>132</v>
      </c>
      <c r="F188" s="34">
        <v>1643</v>
      </c>
      <c r="G188" s="34">
        <v>2316</v>
      </c>
      <c r="H188" s="34">
        <v>1409.6165550821668</v>
      </c>
      <c r="I188" s="30" t="s">
        <v>423</v>
      </c>
      <c r="J188" s="34">
        <v>9</v>
      </c>
      <c r="K188" s="30" t="s">
        <v>424</v>
      </c>
      <c r="L188" s="30" t="s">
        <v>395</v>
      </c>
      <c r="M188" s="30" t="s">
        <v>60</v>
      </c>
      <c r="N188" s="30" t="s">
        <v>36</v>
      </c>
      <c r="O188" s="30" t="s">
        <v>425</v>
      </c>
      <c r="P188" s="32"/>
      <c r="Q188" s="30" t="s">
        <v>28</v>
      </c>
    </row>
    <row r="189" spans="1:17">
      <c r="A189" s="30">
        <v>188</v>
      </c>
      <c r="B189" s="30" t="s">
        <v>470</v>
      </c>
      <c r="C189" s="37" t="s">
        <v>84</v>
      </c>
      <c r="D189" s="34" t="s">
        <v>495</v>
      </c>
      <c r="E189" s="34">
        <v>132</v>
      </c>
      <c r="F189" s="34">
        <v>1643</v>
      </c>
      <c r="G189" s="34">
        <v>2316</v>
      </c>
      <c r="H189" s="34">
        <v>1409.6165550821668</v>
      </c>
      <c r="I189" s="30" t="s">
        <v>423</v>
      </c>
      <c r="J189" s="34">
        <v>10</v>
      </c>
      <c r="K189" s="30" t="s">
        <v>424</v>
      </c>
      <c r="L189" s="30" t="s">
        <v>395</v>
      </c>
      <c r="M189" s="30" t="s">
        <v>60</v>
      </c>
      <c r="N189" s="30" t="s">
        <v>36</v>
      </c>
      <c r="O189" s="30" t="s">
        <v>425</v>
      </c>
      <c r="P189" s="32"/>
      <c r="Q189" s="30" t="s">
        <v>28</v>
      </c>
    </row>
    <row r="190" spans="1:17">
      <c r="A190" s="30">
        <v>189</v>
      </c>
      <c r="B190" s="30" t="s">
        <v>471</v>
      </c>
      <c r="C190" s="37" t="s">
        <v>82</v>
      </c>
      <c r="D190" s="34" t="s">
        <v>484</v>
      </c>
      <c r="E190" s="34">
        <v>188</v>
      </c>
      <c r="F190" s="34">
        <v>1482</v>
      </c>
      <c r="G190" s="34">
        <v>3352</v>
      </c>
      <c r="H190" s="34">
        <v>2261.808367071525</v>
      </c>
      <c r="I190" s="30" t="s">
        <v>328</v>
      </c>
      <c r="J190" s="34" t="s">
        <v>384</v>
      </c>
      <c r="K190" s="30" t="s">
        <v>472</v>
      </c>
      <c r="L190" s="30" t="s">
        <v>329</v>
      </c>
      <c r="N190" s="30" t="s">
        <v>39</v>
      </c>
      <c r="O190" s="30" t="s">
        <v>27</v>
      </c>
      <c r="P190" s="32"/>
      <c r="Q190" s="30" t="s">
        <v>28</v>
      </c>
    </row>
    <row r="191" spans="1:17">
      <c r="C191" s="37"/>
      <c r="D191" s="34"/>
      <c r="E191" s="34"/>
      <c r="F191" s="34"/>
      <c r="G191" s="34"/>
      <c r="H191" s="34"/>
      <c r="J191" s="34"/>
      <c r="P191" s="32"/>
    </row>
    <row r="192" spans="1:17">
      <c r="C192" s="37"/>
      <c r="D192" s="34"/>
      <c r="E192" s="34"/>
      <c r="F192" s="34"/>
      <c r="G192" s="34"/>
      <c r="H192" s="34"/>
      <c r="J192" s="34"/>
      <c r="P192" s="32"/>
    </row>
    <row r="193" spans="3:16">
      <c r="C193" s="37"/>
      <c r="D193" s="34"/>
      <c r="E193" s="34"/>
      <c r="F193" s="34"/>
      <c r="G193" s="34"/>
      <c r="H193" s="34"/>
      <c r="J193" s="34"/>
      <c r="P193" s="32"/>
    </row>
    <row r="194" spans="3:16">
      <c r="C194" s="37"/>
      <c r="D194" s="34"/>
      <c r="E194" s="34"/>
      <c r="F194" s="34"/>
      <c r="G194" s="34"/>
      <c r="H194" s="34"/>
      <c r="J194" s="34"/>
      <c r="P194" s="32"/>
    </row>
    <row r="195" spans="3:16">
      <c r="C195" s="37"/>
      <c r="D195" s="34"/>
      <c r="E195" s="34"/>
      <c r="F195" s="34"/>
      <c r="G195" s="34"/>
      <c r="H195" s="34"/>
      <c r="J195" s="34"/>
      <c r="P195" s="32"/>
    </row>
    <row r="196" spans="3:16">
      <c r="C196" s="37"/>
      <c r="D196" s="34"/>
      <c r="E196" s="34"/>
      <c r="F196" s="34"/>
      <c r="G196" s="34"/>
      <c r="H196" s="34"/>
      <c r="J196" s="34"/>
      <c r="P196" s="32"/>
    </row>
    <row r="197" spans="3:16">
      <c r="C197" s="37"/>
      <c r="D197" s="34"/>
      <c r="E197" s="34"/>
      <c r="F197" s="34"/>
      <c r="G197" s="34"/>
      <c r="H197" s="34"/>
      <c r="J197" s="34"/>
      <c r="P197" s="3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E18"/>
  <sheetViews>
    <sheetView showGridLines="0" workbookViewId="0">
      <selection sqref="A1:D31"/>
    </sheetView>
  </sheetViews>
  <sheetFormatPr defaultColWidth="9.109375" defaultRowHeight="14.4"/>
  <cols>
    <col min="1" max="5" width="15" style="7" customWidth="1"/>
    <col min="6" max="16384" width="9.109375" style="7"/>
  </cols>
  <sheetData>
    <row r="1" spans="1:5">
      <c r="A1" s="7" t="s">
        <v>0</v>
      </c>
      <c r="B1" s="7" t="s">
        <v>9</v>
      </c>
      <c r="C1" s="7" t="s">
        <v>43</v>
      </c>
      <c r="D1" s="7" t="s">
        <v>44</v>
      </c>
    </row>
    <row r="2" spans="1:5">
      <c r="A2" s="7" t="s">
        <v>63</v>
      </c>
      <c r="B2" s="7">
        <v>0</v>
      </c>
      <c r="C2" s="7">
        <v>0</v>
      </c>
      <c r="D2" s="7">
        <v>0</v>
      </c>
      <c r="E2" s="11"/>
    </row>
    <row r="3" spans="1:5">
      <c r="A3" s="7" t="s">
        <v>64</v>
      </c>
      <c r="B3" s="7">
        <v>0</v>
      </c>
      <c r="C3" s="7">
        <v>0</v>
      </c>
      <c r="D3" s="7">
        <v>0</v>
      </c>
      <c r="E3" s="11"/>
    </row>
    <row r="4" spans="1:5">
      <c r="A4" s="7" t="s">
        <v>66</v>
      </c>
      <c r="B4" s="7">
        <v>0</v>
      </c>
      <c r="C4" s="7">
        <v>0</v>
      </c>
      <c r="D4" s="7">
        <v>0</v>
      </c>
      <c r="E4" s="11"/>
    </row>
    <row r="5" spans="1:5">
      <c r="A5" s="7" t="s">
        <v>65</v>
      </c>
      <c r="B5" s="7">
        <v>20</v>
      </c>
      <c r="C5" s="7">
        <v>0</v>
      </c>
      <c r="D5" s="7">
        <v>20</v>
      </c>
      <c r="E5" s="11"/>
    </row>
    <row r="6" spans="1:5">
      <c r="A6" s="7" t="s">
        <v>62</v>
      </c>
      <c r="B6" s="7">
        <v>227</v>
      </c>
      <c r="C6" s="7">
        <v>0</v>
      </c>
      <c r="D6" s="7">
        <v>227</v>
      </c>
      <c r="E6" s="11"/>
    </row>
    <row r="7" spans="1:5">
      <c r="E7" s="11"/>
    </row>
    <row r="8" spans="1:5">
      <c r="E8" s="11"/>
    </row>
    <row r="9" spans="1:5">
      <c r="E9" s="11"/>
    </row>
    <row r="10" spans="1:5">
      <c r="E10" s="11"/>
    </row>
    <row r="11" spans="1:5">
      <c r="E11" s="11"/>
    </row>
    <row r="12" spans="1:5">
      <c r="E12" s="11"/>
    </row>
    <row r="13" spans="1:5">
      <c r="E13" s="11"/>
    </row>
    <row r="14" spans="1:5">
      <c r="E14" s="11"/>
    </row>
    <row r="15" spans="1:5">
      <c r="E15" s="11"/>
    </row>
    <row r="16" spans="1:5">
      <c r="E16" s="11"/>
    </row>
    <row r="17" spans="5:5">
      <c r="E17" s="11"/>
    </row>
    <row r="18" spans="5:5">
      <c r="E18"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F24"/>
  <sheetViews>
    <sheetView showGridLines="0" workbookViewId="0">
      <selection activeCell="G17" sqref="G17"/>
    </sheetView>
  </sheetViews>
  <sheetFormatPr defaultColWidth="9.109375" defaultRowHeight="14.4"/>
  <cols>
    <col min="1" max="1" width="4.6640625" style="6" customWidth="1"/>
    <col min="2" max="2" width="19.33203125" style="6" customWidth="1"/>
    <col min="3" max="3" width="20" style="6" customWidth="1"/>
    <col min="4" max="16384" width="9.109375" style="6"/>
  </cols>
  <sheetData>
    <row r="1" spans="1:6">
      <c r="B1" s="6" t="s">
        <v>45</v>
      </c>
      <c r="C1" s="8">
        <v>44603</v>
      </c>
    </row>
    <row r="2" spans="1:6">
      <c r="B2" s="6" t="s">
        <v>46</v>
      </c>
      <c r="C2" s="8">
        <v>44603</v>
      </c>
    </row>
    <row r="3" spans="1:6" ht="15" thickBot="1">
      <c r="C3" s="9"/>
    </row>
    <row r="4" spans="1:6" ht="21" customHeight="1">
      <c r="B4" s="13" t="s">
        <v>42</v>
      </c>
      <c r="C4" s="14" t="s">
        <v>47</v>
      </c>
    </row>
    <row r="5" spans="1:6" ht="15" customHeight="1">
      <c r="B5" s="15" t="s">
        <v>9</v>
      </c>
      <c r="C5" s="23">
        <f>SUMIF(Utilize_Purchase!C:C,"purchase",Utilize_Purchase!E:E)</f>
        <v>247</v>
      </c>
    </row>
    <row r="6" spans="1:6" ht="15" customHeight="1">
      <c r="B6" s="15" t="s">
        <v>49</v>
      </c>
      <c r="C6" s="23">
        <f>SUMIFS(Utilize_Purchase!E:E,Utilize_Purchase!C:C,"Utilized",Utilize_Purchase!D:D,"Fresh") + (SUMIFS(Utilize_Purchase!E:E,Utilize_Purchase!C:C,"Utilized",Utilize_Purchase!D:D,"Recycle"))</f>
        <v>128</v>
      </c>
    </row>
    <row r="7" spans="1:6">
      <c r="B7" s="15" t="s">
        <v>52</v>
      </c>
      <c r="C7" s="23">
        <f>C6+C9+(SUM(C10:C14))</f>
        <v>227</v>
      </c>
    </row>
    <row r="8" spans="1:6">
      <c r="B8" s="15" t="s">
        <v>50</v>
      </c>
      <c r="C8" s="23">
        <f>SUMIF(Utilize_Purchase!C:C,"scrap",Utilize_Purchase!E:E)</f>
        <v>20</v>
      </c>
      <c r="E8" s="204"/>
      <c r="F8" s="204"/>
    </row>
    <row r="9" spans="1:6" ht="15" thickBot="1">
      <c r="B9" s="16" t="s">
        <v>51</v>
      </c>
      <c r="C9" s="39">
        <f>SUMIFS(Utilize_Purchase!E:E,Utilize_Purchase!C:C,"Recycle",Utilize_Purchase!D:D,"Add")+(SUMIFS(Utilize_Purchase!E:E,Utilize_Purchase!C:C,"Recycle",Utilize_Purchase!D:D,"Production"))-(SUMIFS(Utilize_Purchase!E:E,Utilize_Purchase!C:C,"Scrap",Utilize_Purchase!D:D,"Recycle"))-(SUMIFS(Utilize_Purchase!E:E,Utilize_Purchase!C:C,"Scrap",Utilize_Purchase!D:D,"Production"))-(SUMIFS(Utilize_Purchase!E:E,Utilize_Purchase!C:C,"Utilized",Utilize_Purchase!D:D,"Recycle"))+(SUMIFS(Utilize_Purchase!E:E,Utilize_Purchase!C:C,"Scrap",Utilize_Purchase!D:D,"Production"))</f>
        <v>62</v>
      </c>
    </row>
    <row r="10" spans="1:6">
      <c r="A10" s="263" t="s">
        <v>10</v>
      </c>
      <c r="B10" s="17" t="s">
        <v>55</v>
      </c>
      <c r="C10" s="24">
        <f>SUMIFS(Utilize_Purchase!E:E,Utilize_Purchase!B:B,"Inner die",Utilize_Purchase!C:C,"Purchase")-(SUMIFS(Utilize_Purchase!E:E,Utilize_Purchase!B:B,"Inner die",Utilize_Purchase!C:C,"Utilized",Utilize_Purchase!D:D,"Fresh"))-(SUMIFS(Utilize_Purchase!E:E,Utilize_Purchase!B:B,"Inner die",Utilize_Purchase!C:C,"Recycle",Utilize_Purchase!D:D,"Production"))</f>
        <v>0</v>
      </c>
    </row>
    <row r="11" spans="1:6">
      <c r="A11" s="264"/>
      <c r="B11" s="12" t="s">
        <v>56</v>
      </c>
      <c r="C11" s="23">
        <f>SUMIFS(Utilize_Purchase!E:E,Utilize_Purchase!B:B,"Middle die",Utilize_Purchase!C:C,"Purchase")-(SUMIFS(Utilize_Purchase!E:E,Utilize_Purchase!B:B,"Middle die",Utilize_Purchase!C:C,"Utilized",Utilize_Purchase!D:D,"Fresh"))-(SUMIFS(Utilize_Purchase!E:E,Utilize_Purchase!B:B,"Middle die",Utilize_Purchase!C:C,"Recycle",Utilize_Purchase!D:D,"Production"))</f>
        <v>0</v>
      </c>
    </row>
    <row r="12" spans="1:6">
      <c r="A12" s="264"/>
      <c r="B12" s="12" t="s">
        <v>53</v>
      </c>
      <c r="C12" s="23">
        <f>SUMIFS(Utilize_Purchase!E:E,Utilize_Purchase!B:B,"Child die",Utilize_Purchase!C:C,"Purchase")-(SUMIFS(Utilize_Purchase!E:E,Utilize_Purchase!B:B,"Child die",Utilize_Purchase!C:C,"Utilized",Utilize_Purchase!D:D,"Fresh"))-(SUMIFS(Utilize_Purchase!E:E,Utilize_Purchase!B:B,"Child die",Utilize_Purchase!C:C,"Recycle",Utilize_Purchase!D:D,"Production"))</f>
        <v>20</v>
      </c>
    </row>
    <row r="13" spans="1:6">
      <c r="A13" s="264"/>
      <c r="B13" s="12" t="s">
        <v>57</v>
      </c>
      <c r="C13" s="23">
        <f>SUMIFS(Utilize_Purchase!E:E,Utilize_Purchase!B:B,"outer die",Utilize_Purchase!C:C,"Purchase")-(SUMIFS(Utilize_Purchase!E:E,Utilize_Purchase!B:B,"outer die",Utilize_Purchase!C:C,"Utilized",Utilize_Purchase!D:D,"Fresh"))-(SUMIFS(Utilize_Purchase!E:E,Utilize_Purchase!B:B,"outer die",Utilize_Purchase!C:C,"Recycle",Utilize_Purchase!D:D,"Production"))-(SUMIFS(Utilize_Purchase!E:E,Utilize_Purchase!B:B,"outer die",Utilize_Purchase!C:C,"Recycle",Utilize_Purchase!D:D,"Add"))-(SUMIFS(Utilize_Purchase!E:E,Utilize_Purchase!B:B,"outer die",Utilize_Purchase!C:C,"Scrap",Utilize_Purchase!D:D,"Add"))</f>
        <v>17</v>
      </c>
      <c r="E13" s="204"/>
      <c r="F13" s="204"/>
    </row>
    <row r="14" spans="1:6" ht="15" thickBot="1">
      <c r="A14" s="265"/>
      <c r="B14" s="43" t="s">
        <v>48</v>
      </c>
      <c r="C14" s="39">
        <f>SUMIFS(Utilize_Purchase!E:E,Utilize_Purchase!B:B,"Preformer",Utilize_Purchase!C:C,"Purchase")-(SUMIFS(Utilize_Purchase!E:E,Utilize_Purchase!B:B,"Preformer",Utilize_Purchase!C:C,"Utilized",Utilize_Purchase!D:D,"Fresh"))-(SUMIFS(Utilize_Purchase!E:E,Utilize_Purchase!B:B,"Preformer",Utilize_Purchase!C:C,"Recycle",Utilize_Purchase!D:D,"Production"))</f>
        <v>0</v>
      </c>
    </row>
    <row r="15" spans="1:6">
      <c r="A15" s="263" t="s">
        <v>54</v>
      </c>
      <c r="B15" s="17" t="s">
        <v>58</v>
      </c>
      <c r="C15" s="24">
        <f>SUMIFS(Utilize_Purchase!E:E,Utilize_Purchase!B:B,"inner die",Utilize_Purchase!C:C,"recycle",Utilize_Purchase!D:D,"Add")+(SUMIFS(Utilize_Purchase!E:E,Utilize_Purchase!B:B,"Inner die",Utilize_Purchase!C:C,"Recycle",Utilize_Purchase!D:D,"Production"))-(SUMIFS(Utilize_Purchase!E:E,Utilize_Purchase!B:B,"Inner die",Utilize_Purchase!C:C,"Scrap",Utilize_Purchase!D:D,"Recycle"))-(SUMIFS(Utilize_Purchase!E:E,Utilize_Purchase!B:B,"Inner die",Utilize_Purchase!C:C,"Scrap",Utilize_Purchase!D:D,"Production"))-(SUMIFS(Utilize_Purchase!E:E,Utilize_Purchase!B:B,"Inner die",Utilize_Purchase!C:C,"Utilized",Utilize_Purchase!D:D,"Recycle"))+(SUMIFS(Utilize_Purchase!E:E,Utilize_Purchase!B:B,"Inner die",Utilize_Purchase!C:C,"Scrap",Utilize_Purchase!D:D,"Production"))</f>
        <v>0</v>
      </c>
    </row>
    <row r="16" spans="1:6">
      <c r="A16" s="264"/>
      <c r="B16" s="12" t="s">
        <v>56</v>
      </c>
      <c r="C16" s="23">
        <f>SUMIFS(Utilize_Purchase!E:E,Utilize_Purchase!B:B,"Middle die",Utilize_Purchase!C:C,"recycle",Utilize_Purchase!D:D,"Add")+(SUMIFS(Utilize_Purchase!E:E,Utilize_Purchase!B:B,"Middle die",Utilize_Purchase!C:C,"Recycle",Utilize_Purchase!D:D,"Production"))-(SUMIFS(Utilize_Purchase!E:E,Utilize_Purchase!B:B,"Middle die",Utilize_Purchase!C:C,"Scrap",Utilize_Purchase!D:D,"Recycle"))-(SUMIFS(Utilize_Purchase!E:E,Utilize_Purchase!B:B,"Middle die",Utilize_Purchase!C:C,"Scrap",Utilize_Purchase!D:D,"Production"))-(SUMIFS(Utilize_Purchase!E:E,Utilize_Purchase!B:B,"Middle die",Utilize_Purchase!C:C,"Utilized",Utilize_Purchase!D:D,"Recycle"))+(SUMIFS(Utilize_Purchase!E:E,Utilize_Purchase!B:B,"Middle die",Utilize_Purchase!C:C,"Scrap",Utilize_Purchase!D:D,"Production"))</f>
        <v>0</v>
      </c>
    </row>
    <row r="17" spans="1:3">
      <c r="A17" s="264"/>
      <c r="B17" s="12" t="s">
        <v>53</v>
      </c>
      <c r="C17" s="23">
        <f>SUMIFS(Utilize_Purchase!E:E,Utilize_Purchase!B:B,"Child die",Utilize_Purchase!C:C,"recycle",Utilize_Purchase!D:D,"Add")+(SUMIFS(Utilize_Purchase!E:E,Utilize_Purchase!B:B,"Child die",Utilize_Purchase!C:C,"Recycle",Utilize_Purchase!D:D,"Production"))-(SUMIFS(Utilize_Purchase!E:E,Utilize_Purchase!B:B,"Child die",Utilize_Purchase!C:C,"Scrap",Utilize_Purchase!D:D,"Recycle"))-(SUMIFS(Utilize_Purchase!E:E,Utilize_Purchase!B:B,"Child die",Utilize_Purchase!C:C,"Scrap",Utilize_Purchase!D:D,"Production"))-(SUMIFS(Utilize_Purchase!E:E,Utilize_Purchase!B:B,"Child die",Utilize_Purchase!C:C,"Utilized",Utilize_Purchase!D:D,"Recycle"))+(SUMIFS(Utilize_Purchase!E:E,Utilize_Purchase!B:B,"Child die",Utilize_Purchase!C:C,"Scrap",Utilize_Purchase!D:D,"Production"))</f>
        <v>0</v>
      </c>
    </row>
    <row r="18" spans="1:3">
      <c r="A18" s="264"/>
      <c r="B18" s="12" t="s">
        <v>57</v>
      </c>
      <c r="C18" s="23">
        <f>SUMIFS(Utilize_Purchase!E:E,Utilize_Purchase!B:B,"Outer die",Utilize_Purchase!C:C,"recycle",Utilize_Purchase!D:D,"Add")+(SUMIFS(Utilize_Purchase!E:E,Utilize_Purchase!B:B,"Outer die",Utilize_Purchase!C:C,"Recycle",Utilize_Purchase!D:D,"Production"))-(SUMIFS(Utilize_Purchase!E:E,Utilize_Purchase!B:B,"Outer die",Utilize_Purchase!C:C,"Scrap",Utilize_Purchase!D:D,"Recycle"))-(SUMIFS(Utilize_Purchase!E:E,Utilize_Purchase!B:B,"Outer die",Utilize_Purchase!C:C,"Scrap",Utilize_Purchase!D:D,"Production"))-(SUMIFS(Utilize_Purchase!E:E,Utilize_Purchase!B:B,"Outer die",Utilize_Purchase!C:C,"Utilized",Utilize_Purchase!D:D,"Recycle"))+(SUMIFS(Utilize_Purchase!E:E,Utilize_Purchase!B:B,"Outer die",Utilize_Purchase!C:C,"Scrap",Utilize_Purchase!D:D,"Production"))</f>
        <v>62</v>
      </c>
    </row>
    <row r="19" spans="1:3" ht="15" thickBot="1">
      <c r="A19" s="265"/>
      <c r="B19" s="43" t="s">
        <v>48</v>
      </c>
      <c r="C19" s="39">
        <f>SUMIFS(Utilize_Purchase!E:E,Utilize_Purchase!B:B,"Preformer",Utilize_Purchase!C:C,"recycle",Utilize_Purchase!D:D,"Add")+(SUMIFS(Utilize_Purchase!E:E,Utilize_Purchase!B:B,"Preformer",Utilize_Purchase!C:C,"Recycle",Utilize_Purchase!D:D,"Production"))-(SUMIFS(Utilize_Purchase!E:E,Utilize_Purchase!B:B,"Preformer",Utilize_Purchase!C:C,"Scrap",Utilize_Purchase!D:D,"Recycle"))-(SUMIFS(Utilize_Purchase!E:E,Utilize_Purchase!B:B,"Preformer",Utilize_Purchase!C:C,"Scrap",Utilize_Purchase!D:D,"Production"))-(SUMIFS(Utilize_Purchase!E:E,Utilize_Purchase!B:B,"Preformer",Utilize_Purchase!C:C,"Utilized",Utilize_Purchase!D:D,"Recycle"))+(SUMIFS(Utilize_Purchase!E:E,Utilize_Purchase!B:B,"Preformer",Utilize_Purchase!C:C,"Scrap",Utilize_Purchase!D:D,"Production"))</f>
        <v>0</v>
      </c>
    </row>
    <row r="20" spans="1:3">
      <c r="A20" s="263" t="s">
        <v>50</v>
      </c>
      <c r="B20" s="17" t="s">
        <v>58</v>
      </c>
      <c r="C20" s="24">
        <f>SUMIFS(Utilize_Purchase!E:E,Utilize_Purchase!B:B,"Inner die",Utilize_Purchase!C:C,"Scrap",Utilize_Purchase!D:D,"Add")+(SUMIFS(Utilize_Purchase!E:E,Utilize_Purchase!B:B,"Inner die",Utilize_Purchase!C:C,"Scrap",Utilize_Purchase!D:D,"Recycle"))+(SUMIFS(Utilize_Purchase!E:E,Utilize_Purchase!B:B,"Inner die",Utilize_Purchase!C:C,"Scrap",Utilize_Purchase!D:D,"Production"))</f>
        <v>0</v>
      </c>
    </row>
    <row r="21" spans="1:3">
      <c r="A21" s="264"/>
      <c r="B21" s="12" t="s">
        <v>56</v>
      </c>
      <c r="C21" s="23">
        <f>SUMIFS(Utilize_Purchase!E:E,Utilize_Purchase!B:B,"Middle die",Utilize_Purchase!C:C,"Scrap",Utilize_Purchase!D:D,"Add")+(SUMIFS(Utilize_Purchase!E:E,Utilize_Purchase!B:B,"Middle die",Utilize_Purchase!C:C,"Scrap",Utilize_Purchase!D:D,"Recycle"))+(SUMIFS(Utilize_Purchase!E:E,Utilize_Purchase!B:B,"Middle die",Utilize_Purchase!C:C,"Scrap",Utilize_Purchase!D:D,"Production"))</f>
        <v>0</v>
      </c>
    </row>
    <row r="22" spans="1:3">
      <c r="A22" s="264"/>
      <c r="B22" s="12" t="s">
        <v>53</v>
      </c>
      <c r="C22" s="23">
        <f>SUMIFS(Utilize_Purchase!E:E,Utilize_Purchase!B:B,"Child die",Utilize_Purchase!C:C,"Scrap",Utilize_Purchase!D:D,"Add")+(SUMIFS(Utilize_Purchase!E:E,Utilize_Purchase!B:B,"Child die",Utilize_Purchase!C:C,"Scrap",Utilize_Purchase!D:D,"Recycle"))+(SUMIFS(Utilize_Purchase!E:E,Utilize_Purchase!B:B,"Child die",Utilize_Purchase!C:C,"Scrap",Utilize_Purchase!D:D,"Production"))</f>
        <v>0</v>
      </c>
    </row>
    <row r="23" spans="1:3">
      <c r="A23" s="264"/>
      <c r="B23" s="12" t="s">
        <v>57</v>
      </c>
      <c r="C23" s="23">
        <f>SUMIFS(Utilize_Purchase!E:E,Utilize_Purchase!B:B,"outer die",Utilize_Purchase!C:C,"Scrap",Utilize_Purchase!D:D,"Add")+(SUMIFS(Utilize_Purchase!E:E,Utilize_Purchase!B:B,"outer die",Utilize_Purchase!C:C,"Scrap",Utilize_Purchase!D:D,"Recycle"))+(SUMIFS(Utilize_Purchase!E:E,Utilize_Purchase!B:B,"outer die",Utilize_Purchase!C:C,"Scrap",Utilize_Purchase!D:D,"Production"))</f>
        <v>20</v>
      </c>
    </row>
    <row r="24" spans="1:3" ht="15" thickBot="1">
      <c r="A24" s="266"/>
      <c r="B24" s="18" t="s">
        <v>48</v>
      </c>
      <c r="C24" s="40">
        <f>SUMIFS(Utilize_Purchase!E:E,Utilize_Purchase!B:B,"Preformer",Utilize_Purchase!C:C,"Scrap",Utilize_Purchase!D:D,"Add")+(SUMIFS(Utilize_Purchase!E:E,Utilize_Purchase!B:B,"Preformer",Utilize_Purchase!C:C,"Scrap",Utilize_Purchase!D:D,"Recycle"))+(SUMIFS(Utilize_Purchase!E:E,Utilize_Purchase!B:B,"Preformer",Utilize_Purchase!C:C,"Scrap",Utilize_Purchase!D:D,"Production"))</f>
        <v>0</v>
      </c>
    </row>
  </sheetData>
  <mergeCells count="3">
    <mergeCell ref="A10:A14"/>
    <mergeCell ref="A15:A19"/>
    <mergeCell ref="A20:A24"/>
  </mergeCell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AQ1068"/>
  <sheetViews>
    <sheetView tabSelected="1" zoomScale="85" zoomScaleNormal="85" workbookViewId="0">
      <selection activeCell="B1" sqref="B1"/>
    </sheetView>
  </sheetViews>
  <sheetFormatPr defaultColWidth="9.109375" defaultRowHeight="15" customHeight="1"/>
  <cols>
    <col min="1" max="1" width="7.6640625" style="46" bestFit="1" customWidth="1"/>
    <col min="2" max="2" width="8.6640625" style="77" bestFit="1" customWidth="1"/>
    <col min="3" max="3" width="6.6640625" style="46" bestFit="1" customWidth="1"/>
    <col min="4" max="4" width="16.6640625" style="46" bestFit="1" customWidth="1"/>
    <col min="5" max="5" width="7.6640625" style="46" bestFit="1" customWidth="1"/>
    <col min="6" max="6" width="13" style="46" bestFit="1" customWidth="1"/>
    <col min="7" max="9" width="10.33203125" style="78" bestFit="1" customWidth="1"/>
    <col min="10" max="10" width="8.109375" style="78" bestFit="1" customWidth="1"/>
    <col min="11" max="11" width="8.109375" style="47" bestFit="1" customWidth="1"/>
    <col min="12" max="12" width="13" style="47" bestFit="1" customWidth="1"/>
    <col min="13" max="13" width="8.109375" style="47" bestFit="1" customWidth="1"/>
    <col min="14" max="14" width="9.6640625" style="47" bestFit="1" customWidth="1"/>
    <col min="15" max="15" width="8" style="46" customWidth="1"/>
    <col min="16" max="16" width="18.44140625" style="46" bestFit="1" customWidth="1"/>
    <col min="17" max="17" width="34.88671875" style="46" customWidth="1"/>
    <col min="18" max="18" width="9.109375" style="46"/>
    <col min="19" max="43" width="9.109375" style="46" hidden="1" customWidth="1"/>
    <col min="44" max="46" width="9.109375" style="46" customWidth="1"/>
    <col min="47" max="16384" width="9.109375" style="46"/>
  </cols>
  <sheetData>
    <row r="1" spans="1:43" s="44" customFormat="1" ht="33" customHeight="1">
      <c r="A1" s="254" t="s">
        <v>2</v>
      </c>
      <c r="B1" s="255" t="s">
        <v>8</v>
      </c>
      <c r="C1" s="254" t="s">
        <v>94</v>
      </c>
      <c r="D1" s="254" t="s">
        <v>6</v>
      </c>
      <c r="E1" s="254" t="s">
        <v>95</v>
      </c>
      <c r="F1" s="256" t="s">
        <v>12</v>
      </c>
      <c r="G1" s="257" t="s">
        <v>96</v>
      </c>
      <c r="H1" s="257" t="s">
        <v>97</v>
      </c>
      <c r="I1" s="257" t="s">
        <v>98</v>
      </c>
      <c r="J1" s="257" t="s">
        <v>99</v>
      </c>
      <c r="K1" s="258" t="s">
        <v>100</v>
      </c>
      <c r="L1" s="258" t="s">
        <v>101</v>
      </c>
      <c r="M1" s="258" t="s">
        <v>102</v>
      </c>
      <c r="N1" s="258" t="s">
        <v>103</v>
      </c>
      <c r="O1" s="254" t="s">
        <v>104</v>
      </c>
      <c r="P1" s="254" t="s">
        <v>981</v>
      </c>
      <c r="Q1" s="254" t="s">
        <v>983</v>
      </c>
      <c r="X1" s="79" t="s">
        <v>6</v>
      </c>
      <c r="AA1" s="79" t="s">
        <v>2</v>
      </c>
      <c r="AB1" s="80" t="s">
        <v>8</v>
      </c>
      <c r="AC1" s="81" t="s">
        <v>94</v>
      </c>
      <c r="AD1" s="81" t="s">
        <v>6</v>
      </c>
      <c r="AE1" s="81" t="s">
        <v>95</v>
      </c>
      <c r="AF1" s="82" t="s">
        <v>12</v>
      </c>
      <c r="AG1" s="83" t="s">
        <v>96</v>
      </c>
      <c r="AH1" s="83" t="s">
        <v>97</v>
      </c>
      <c r="AI1" s="83" t="s">
        <v>98</v>
      </c>
      <c r="AJ1" s="83" t="s">
        <v>99</v>
      </c>
      <c r="AK1" s="84" t="s">
        <v>100</v>
      </c>
      <c r="AL1" s="84" t="s">
        <v>101</v>
      </c>
      <c r="AM1" s="84" t="s">
        <v>102</v>
      </c>
      <c r="AN1" s="84" t="s">
        <v>103</v>
      </c>
      <c r="AO1" s="81" t="s">
        <v>104</v>
      </c>
      <c r="AP1" s="85" t="s">
        <v>981</v>
      </c>
      <c r="AQ1" s="81" t="s">
        <v>983</v>
      </c>
    </row>
    <row r="2" spans="1:43" ht="15" customHeight="1">
      <c r="A2" s="196" t="s">
        <v>1799</v>
      </c>
      <c r="B2" s="71" t="s">
        <v>1800</v>
      </c>
      <c r="C2" s="2" t="s">
        <v>105</v>
      </c>
      <c r="D2" s="2" t="s">
        <v>1793</v>
      </c>
      <c r="E2" s="2" t="s">
        <v>1485</v>
      </c>
      <c r="F2" s="2" t="s">
        <v>84</v>
      </c>
      <c r="G2" s="72" t="s">
        <v>648</v>
      </c>
      <c r="H2" s="72" t="s">
        <v>1801</v>
      </c>
      <c r="I2" s="72" t="s">
        <v>648</v>
      </c>
      <c r="J2" s="72" t="s">
        <v>1802</v>
      </c>
      <c r="K2" s="21" t="s">
        <v>476</v>
      </c>
      <c r="L2" s="21" t="s">
        <v>648</v>
      </c>
      <c r="M2" s="21" t="s">
        <v>495</v>
      </c>
      <c r="N2" s="21" t="s">
        <v>1739</v>
      </c>
      <c r="O2" s="2" t="s">
        <v>1782</v>
      </c>
      <c r="P2" s="2" t="s">
        <v>1773</v>
      </c>
      <c r="Q2" s="197" t="s">
        <v>648</v>
      </c>
      <c r="X2" s="46" t="s">
        <v>1827</v>
      </c>
      <c r="AA2" s="196">
        <v>868</v>
      </c>
      <c r="AB2" s="71">
        <v>44389</v>
      </c>
      <c r="AC2" s="2" t="s">
        <v>105</v>
      </c>
      <c r="AD2" s="2" t="s">
        <v>137</v>
      </c>
      <c r="AE2" s="2">
        <v>2</v>
      </c>
      <c r="AF2" s="2" t="s">
        <v>87</v>
      </c>
      <c r="AG2" s="72"/>
      <c r="AH2" s="72">
        <v>35</v>
      </c>
      <c r="AI2" s="72"/>
      <c r="AJ2" s="72">
        <v>11.25</v>
      </c>
      <c r="AK2" s="21">
        <v>301</v>
      </c>
      <c r="AL2" s="21">
        <v>790</v>
      </c>
      <c r="AM2" s="21">
        <v>205</v>
      </c>
      <c r="AN2" s="21">
        <v>1080</v>
      </c>
      <c r="AO2" s="2">
        <v>1</v>
      </c>
      <c r="AP2" s="2" t="s">
        <v>197</v>
      </c>
      <c r="AQ2" s="2"/>
    </row>
    <row r="3" spans="1:43" ht="15" customHeight="1">
      <c r="A3" s="196">
        <v>1067</v>
      </c>
      <c r="B3" s="71">
        <v>44586</v>
      </c>
      <c r="C3" s="2" t="s">
        <v>105</v>
      </c>
      <c r="D3" s="2" t="s">
        <v>1788</v>
      </c>
      <c r="E3" s="2">
        <v>0</v>
      </c>
      <c r="F3" s="2" t="s">
        <v>1790</v>
      </c>
      <c r="G3" s="72">
        <v>15</v>
      </c>
      <c r="H3" s="72">
        <v>12</v>
      </c>
      <c r="I3" s="72"/>
      <c r="J3" s="72">
        <v>8.5</v>
      </c>
      <c r="K3" s="21">
        <v>185</v>
      </c>
      <c r="L3" s="21">
        <v>820</v>
      </c>
      <c r="M3" s="21">
        <v>195</v>
      </c>
      <c r="N3" s="21">
        <v>1020</v>
      </c>
      <c r="O3" s="2" t="s">
        <v>1782</v>
      </c>
      <c r="P3" s="2" t="s">
        <v>1773</v>
      </c>
      <c r="Q3" s="197" t="s">
        <v>1791</v>
      </c>
      <c r="AA3" s="196">
        <v>864</v>
      </c>
      <c r="AB3" s="71">
        <v>44385</v>
      </c>
      <c r="AC3" s="2" t="s">
        <v>105</v>
      </c>
      <c r="AD3" s="2" t="s">
        <v>137</v>
      </c>
      <c r="AE3" s="2">
        <v>2</v>
      </c>
      <c r="AF3" s="2" t="s">
        <v>87</v>
      </c>
      <c r="AG3" s="72"/>
      <c r="AH3" s="72">
        <v>35</v>
      </c>
      <c r="AI3" s="72"/>
      <c r="AJ3" s="72">
        <v>11.8</v>
      </c>
      <c r="AK3" s="21">
        <v>201</v>
      </c>
      <c r="AL3" s="21">
        <v>760</v>
      </c>
      <c r="AM3" s="21">
        <v>204</v>
      </c>
      <c r="AN3" s="21">
        <v>1050</v>
      </c>
      <c r="AO3" s="2">
        <v>1</v>
      </c>
      <c r="AP3" s="2" t="s">
        <v>1037</v>
      </c>
      <c r="AQ3" s="2"/>
    </row>
    <row r="4" spans="1:43" ht="15" customHeight="1">
      <c r="A4" s="196">
        <v>1066</v>
      </c>
      <c r="B4" s="71">
        <v>44586</v>
      </c>
      <c r="C4" s="2" t="s">
        <v>105</v>
      </c>
      <c r="D4" s="2" t="s">
        <v>1789</v>
      </c>
      <c r="E4" s="2">
        <v>0</v>
      </c>
      <c r="F4" s="2" t="s">
        <v>1790</v>
      </c>
      <c r="G4" s="72">
        <v>15</v>
      </c>
      <c r="H4" s="72">
        <v>17</v>
      </c>
      <c r="I4" s="72"/>
      <c r="J4" s="72">
        <v>10.6</v>
      </c>
      <c r="K4" s="21">
        <v>180</v>
      </c>
      <c r="L4" s="21">
        <v>700</v>
      </c>
      <c r="M4" s="21">
        <v>191</v>
      </c>
      <c r="N4" s="21"/>
      <c r="O4" s="2" t="s">
        <v>1782</v>
      </c>
      <c r="P4" s="2" t="s">
        <v>1447</v>
      </c>
      <c r="Q4" s="197" t="s">
        <v>1791</v>
      </c>
      <c r="AA4" s="196">
        <v>862</v>
      </c>
      <c r="AB4" s="71">
        <v>44384</v>
      </c>
      <c r="AC4" s="2" t="s">
        <v>105</v>
      </c>
      <c r="AD4" s="2" t="s">
        <v>137</v>
      </c>
      <c r="AE4" s="2">
        <v>2</v>
      </c>
      <c r="AF4" s="2" t="s">
        <v>87</v>
      </c>
      <c r="AG4" s="72"/>
      <c r="AH4" s="72">
        <v>35</v>
      </c>
      <c r="AI4" s="72"/>
      <c r="AJ4" s="72">
        <v>11.9</v>
      </c>
      <c r="AK4" s="21">
        <v>200</v>
      </c>
      <c r="AL4" s="21">
        <v>70</v>
      </c>
      <c r="AM4" s="21">
        <v>205</v>
      </c>
      <c r="AN4" s="21">
        <v>1090</v>
      </c>
      <c r="AO4" s="2">
        <v>2</v>
      </c>
      <c r="AP4" s="2" t="s">
        <v>1037</v>
      </c>
      <c r="AQ4" s="2"/>
    </row>
    <row r="5" spans="1:43" ht="15" customHeight="1">
      <c r="A5" s="196">
        <v>1065</v>
      </c>
      <c r="B5" s="71">
        <v>44586</v>
      </c>
      <c r="C5" s="2" t="s">
        <v>105</v>
      </c>
      <c r="D5" s="2" t="s">
        <v>1789</v>
      </c>
      <c r="E5" s="2">
        <v>0</v>
      </c>
      <c r="F5" s="2" t="s">
        <v>1790</v>
      </c>
      <c r="G5" s="72">
        <v>15</v>
      </c>
      <c r="H5" s="72">
        <v>12</v>
      </c>
      <c r="I5" s="72"/>
      <c r="J5" s="72">
        <v>8.4</v>
      </c>
      <c r="K5" s="21">
        <v>180</v>
      </c>
      <c r="L5" s="21">
        <v>700</v>
      </c>
      <c r="M5" s="21">
        <v>191</v>
      </c>
      <c r="N5" s="21"/>
      <c r="O5" s="2" t="s">
        <v>1782</v>
      </c>
      <c r="P5" s="2" t="s">
        <v>1447</v>
      </c>
      <c r="Q5" s="197" t="s">
        <v>1791</v>
      </c>
      <c r="AA5" s="196"/>
      <c r="AB5" s="71"/>
      <c r="AC5" s="2"/>
      <c r="AD5" s="2"/>
      <c r="AE5" s="2"/>
      <c r="AF5" s="2"/>
      <c r="AG5" s="72"/>
      <c r="AH5" s="72"/>
      <c r="AI5" s="72"/>
      <c r="AJ5" s="72"/>
      <c r="AK5" s="21"/>
      <c r="AL5" s="21"/>
      <c r="AM5" s="21"/>
      <c r="AN5" s="21"/>
      <c r="AO5" s="2"/>
      <c r="AP5" s="2"/>
      <c r="AQ5" s="2"/>
    </row>
    <row r="6" spans="1:43" ht="15" customHeight="1">
      <c r="A6" s="196">
        <v>1064</v>
      </c>
      <c r="B6" s="71">
        <v>44582</v>
      </c>
      <c r="C6" s="2" t="s">
        <v>105</v>
      </c>
      <c r="D6" s="2" t="s">
        <v>1788</v>
      </c>
      <c r="E6" s="2">
        <v>0</v>
      </c>
      <c r="F6" s="2" t="s">
        <v>1790</v>
      </c>
      <c r="G6" s="72">
        <v>14</v>
      </c>
      <c r="H6" s="72">
        <v>12</v>
      </c>
      <c r="I6" s="72"/>
      <c r="J6" s="72">
        <v>7.6</v>
      </c>
      <c r="K6" s="21">
        <v>186</v>
      </c>
      <c r="L6" s="21"/>
      <c r="M6" s="21">
        <v>195</v>
      </c>
      <c r="N6" s="21"/>
      <c r="O6" s="2" t="s">
        <v>1782</v>
      </c>
      <c r="P6" s="2" t="s">
        <v>1447</v>
      </c>
      <c r="Q6" s="197"/>
      <c r="AA6" s="196"/>
      <c r="AB6" s="71"/>
      <c r="AC6" s="2"/>
      <c r="AD6" s="2"/>
      <c r="AE6" s="2"/>
      <c r="AF6" s="2"/>
      <c r="AG6" s="72"/>
      <c r="AH6" s="72"/>
      <c r="AI6" s="72"/>
      <c r="AJ6" s="72"/>
      <c r="AK6" s="21"/>
      <c r="AL6" s="21"/>
      <c r="AM6" s="21"/>
      <c r="AN6" s="21"/>
      <c r="AO6" s="2"/>
      <c r="AP6" s="2"/>
      <c r="AQ6" s="2"/>
    </row>
    <row r="7" spans="1:43" ht="15" customHeight="1">
      <c r="A7" s="196">
        <v>1063</v>
      </c>
      <c r="B7" s="71">
        <v>44582</v>
      </c>
      <c r="C7" s="2" t="s">
        <v>105</v>
      </c>
      <c r="D7" s="2" t="s">
        <v>1788</v>
      </c>
      <c r="E7" s="2">
        <v>0</v>
      </c>
      <c r="F7" s="2" t="s">
        <v>1790</v>
      </c>
      <c r="G7" s="72">
        <v>15</v>
      </c>
      <c r="H7" s="72">
        <v>12</v>
      </c>
      <c r="I7" s="72"/>
      <c r="J7" s="72">
        <v>7.8</v>
      </c>
      <c r="K7" s="21">
        <v>185</v>
      </c>
      <c r="L7" s="21"/>
      <c r="M7" s="21">
        <v>195</v>
      </c>
      <c r="N7" s="21"/>
      <c r="O7" s="2" t="s">
        <v>1782</v>
      </c>
      <c r="P7" s="2" t="s">
        <v>1447</v>
      </c>
      <c r="Q7" s="197"/>
      <c r="AA7" s="196"/>
      <c r="AB7" s="71"/>
      <c r="AC7" s="2"/>
      <c r="AD7" s="2"/>
      <c r="AE7" s="2"/>
      <c r="AF7" s="2"/>
      <c r="AG7" s="72"/>
      <c r="AH7" s="72"/>
      <c r="AI7" s="72"/>
      <c r="AJ7" s="72"/>
      <c r="AK7" s="21"/>
      <c r="AL7" s="21"/>
      <c r="AM7" s="21"/>
      <c r="AN7" s="21"/>
      <c r="AO7" s="2"/>
      <c r="AP7" s="2"/>
      <c r="AQ7" s="2"/>
    </row>
    <row r="8" spans="1:43" ht="15" customHeight="1">
      <c r="A8" s="196">
        <v>1062</v>
      </c>
      <c r="B8" s="71">
        <v>44582</v>
      </c>
      <c r="C8" s="2" t="s">
        <v>105</v>
      </c>
      <c r="D8" s="2" t="s">
        <v>1788</v>
      </c>
      <c r="E8" s="2">
        <v>0</v>
      </c>
      <c r="F8" s="2" t="s">
        <v>1790</v>
      </c>
      <c r="G8" s="72">
        <v>15</v>
      </c>
      <c r="H8" s="72">
        <v>12</v>
      </c>
      <c r="I8" s="72"/>
      <c r="J8" s="72">
        <v>7.2</v>
      </c>
      <c r="K8" s="21">
        <v>186</v>
      </c>
      <c r="L8" s="21"/>
      <c r="M8" s="21">
        <v>195</v>
      </c>
      <c r="N8" s="21"/>
      <c r="O8" s="2" t="s">
        <v>1782</v>
      </c>
      <c r="P8" s="2" t="s">
        <v>1447</v>
      </c>
      <c r="Q8" s="197"/>
      <c r="AA8" s="196"/>
      <c r="AB8" s="71"/>
      <c r="AC8" s="2"/>
      <c r="AD8" s="2"/>
      <c r="AE8" s="2"/>
      <c r="AF8" s="2"/>
      <c r="AG8" s="72"/>
      <c r="AH8" s="72"/>
      <c r="AI8" s="72"/>
      <c r="AJ8" s="72"/>
      <c r="AK8" s="21"/>
      <c r="AL8" s="21"/>
      <c r="AM8" s="21"/>
      <c r="AN8" s="21"/>
      <c r="AO8" s="2"/>
      <c r="AP8" s="2"/>
      <c r="AQ8" s="2"/>
    </row>
    <row r="9" spans="1:43" ht="15" customHeight="1">
      <c r="A9" s="196">
        <v>1061</v>
      </c>
      <c r="B9" s="71">
        <v>44582</v>
      </c>
      <c r="C9" s="2" t="s">
        <v>105</v>
      </c>
      <c r="D9" s="2" t="s">
        <v>1789</v>
      </c>
      <c r="E9" s="2">
        <v>0</v>
      </c>
      <c r="F9" s="2" t="s">
        <v>1790</v>
      </c>
      <c r="G9" s="72">
        <v>15</v>
      </c>
      <c r="H9" s="72">
        <v>17</v>
      </c>
      <c r="I9" s="72"/>
      <c r="J9" s="72">
        <v>7.6</v>
      </c>
      <c r="K9" s="21">
        <v>180</v>
      </c>
      <c r="L9" s="21"/>
      <c r="M9" s="21">
        <v>190</v>
      </c>
      <c r="N9" s="21"/>
      <c r="O9" s="2" t="s">
        <v>1782</v>
      </c>
      <c r="P9" s="2" t="s">
        <v>1447</v>
      </c>
      <c r="Q9" s="197"/>
      <c r="AA9" s="196"/>
      <c r="AB9" s="71"/>
      <c r="AC9" s="2"/>
      <c r="AD9" s="2"/>
      <c r="AE9" s="2"/>
      <c r="AF9" s="2"/>
      <c r="AG9" s="72"/>
      <c r="AH9" s="72"/>
      <c r="AI9" s="72"/>
      <c r="AJ9" s="72"/>
      <c r="AK9" s="21"/>
      <c r="AL9" s="21"/>
      <c r="AM9" s="21"/>
      <c r="AN9" s="21"/>
      <c r="AO9" s="2"/>
      <c r="AP9" s="2"/>
      <c r="AQ9" s="2"/>
    </row>
    <row r="10" spans="1:43" ht="15" customHeight="1">
      <c r="A10" s="196">
        <v>1060</v>
      </c>
      <c r="B10" s="71">
        <v>44581</v>
      </c>
      <c r="C10" s="2" t="s">
        <v>105</v>
      </c>
      <c r="D10" s="2" t="s">
        <v>1788</v>
      </c>
      <c r="E10" s="2">
        <v>0</v>
      </c>
      <c r="F10" s="2" t="s">
        <v>1790</v>
      </c>
      <c r="G10" s="72">
        <v>15</v>
      </c>
      <c r="H10" s="72">
        <v>15</v>
      </c>
      <c r="I10" s="72"/>
      <c r="J10" s="72">
        <v>7.9</v>
      </c>
      <c r="K10" s="21">
        <v>176</v>
      </c>
      <c r="L10" s="21">
        <v>855</v>
      </c>
      <c r="M10" s="21">
        <v>195</v>
      </c>
      <c r="N10" s="21"/>
      <c r="O10" s="2" t="s">
        <v>1782</v>
      </c>
      <c r="P10" s="2" t="s">
        <v>1447</v>
      </c>
      <c r="Q10" s="197"/>
      <c r="AA10" s="196"/>
      <c r="AB10" s="71"/>
      <c r="AC10" s="2"/>
      <c r="AD10" s="2"/>
      <c r="AE10" s="2"/>
      <c r="AF10" s="2"/>
      <c r="AG10" s="72"/>
      <c r="AH10" s="72"/>
      <c r="AI10" s="72"/>
      <c r="AJ10" s="72"/>
      <c r="AK10" s="21"/>
      <c r="AL10" s="21"/>
      <c r="AM10" s="21"/>
      <c r="AN10" s="21"/>
      <c r="AO10" s="2"/>
      <c r="AP10" s="2"/>
      <c r="AQ10" s="197"/>
    </row>
    <row r="11" spans="1:43" ht="15" customHeight="1">
      <c r="A11" s="196">
        <v>1059</v>
      </c>
      <c r="B11" s="71">
        <v>44581</v>
      </c>
      <c r="C11" s="2" t="s">
        <v>105</v>
      </c>
      <c r="D11" s="2" t="s">
        <v>1788</v>
      </c>
      <c r="E11" s="2">
        <v>0</v>
      </c>
      <c r="F11" s="2" t="s">
        <v>1790</v>
      </c>
      <c r="G11" s="72">
        <v>15</v>
      </c>
      <c r="H11" s="72">
        <v>13</v>
      </c>
      <c r="I11" s="72"/>
      <c r="J11" s="72">
        <v>7.8</v>
      </c>
      <c r="K11" s="21">
        <v>175</v>
      </c>
      <c r="L11" s="21">
        <v>870</v>
      </c>
      <c r="M11" s="21">
        <v>195</v>
      </c>
      <c r="N11" s="21"/>
      <c r="O11" s="2" t="s">
        <v>1782</v>
      </c>
      <c r="P11" s="2" t="s">
        <v>1447</v>
      </c>
      <c r="Q11" s="197"/>
      <c r="AA11" s="196"/>
      <c r="AB11" s="71"/>
      <c r="AC11" s="2"/>
      <c r="AD11" s="2"/>
      <c r="AE11" s="2"/>
      <c r="AF11" s="2"/>
      <c r="AG11" s="72"/>
      <c r="AH11" s="72"/>
      <c r="AI11" s="72"/>
      <c r="AJ11" s="72"/>
      <c r="AK11" s="21"/>
      <c r="AL11" s="21"/>
      <c r="AM11" s="21"/>
      <c r="AN11" s="21"/>
      <c r="AO11" s="2"/>
      <c r="AP11" s="2"/>
      <c r="AQ11" s="197"/>
    </row>
    <row r="12" spans="1:43" ht="15" customHeight="1">
      <c r="A12" s="196">
        <v>1058</v>
      </c>
      <c r="B12" s="71">
        <v>44580</v>
      </c>
      <c r="C12" s="2" t="s">
        <v>105</v>
      </c>
      <c r="D12" s="2" t="s">
        <v>1792</v>
      </c>
      <c r="E12" s="2">
        <v>5</v>
      </c>
      <c r="F12" s="2">
        <v>7316</v>
      </c>
      <c r="G12" s="72"/>
      <c r="H12" s="72">
        <v>42.5</v>
      </c>
      <c r="I12" s="72"/>
      <c r="J12" s="72">
        <v>8.4</v>
      </c>
      <c r="K12" s="21">
        <v>285</v>
      </c>
      <c r="L12" s="21"/>
      <c r="M12" s="21">
        <v>290</v>
      </c>
      <c r="N12" s="21">
        <v>2100</v>
      </c>
      <c r="O12" s="2" t="s">
        <v>1782</v>
      </c>
      <c r="P12" s="2" t="s">
        <v>1773</v>
      </c>
      <c r="Q12" s="197"/>
      <c r="AA12" s="196"/>
      <c r="AB12" s="71"/>
      <c r="AC12" s="2"/>
      <c r="AD12" s="2"/>
      <c r="AE12" s="2"/>
      <c r="AF12" s="2"/>
      <c r="AG12" s="72"/>
      <c r="AH12" s="72"/>
      <c r="AI12" s="72"/>
      <c r="AJ12" s="72"/>
      <c r="AK12" s="21"/>
      <c r="AL12" s="21"/>
      <c r="AM12" s="21"/>
      <c r="AN12" s="21"/>
      <c r="AO12" s="2"/>
      <c r="AP12" s="2"/>
      <c r="AQ12" s="197"/>
    </row>
    <row r="13" spans="1:43" ht="15" customHeight="1">
      <c r="A13" s="196">
        <v>1056</v>
      </c>
      <c r="B13" s="71">
        <v>44579</v>
      </c>
      <c r="C13" s="2" t="s">
        <v>38</v>
      </c>
      <c r="D13" s="2" t="s">
        <v>1792</v>
      </c>
      <c r="E13" s="2">
        <v>5</v>
      </c>
      <c r="F13" s="2">
        <v>7316</v>
      </c>
      <c r="G13" s="72"/>
      <c r="H13" s="72">
        <v>42.5</v>
      </c>
      <c r="I13" s="72"/>
      <c r="J13" s="72">
        <v>8.4</v>
      </c>
      <c r="K13" s="21">
        <v>285</v>
      </c>
      <c r="L13" s="21"/>
      <c r="M13" s="21">
        <v>290</v>
      </c>
      <c r="N13" s="21">
        <v>2037</v>
      </c>
      <c r="O13" s="2" t="s">
        <v>1782</v>
      </c>
      <c r="P13" s="2" t="s">
        <v>1447</v>
      </c>
      <c r="Q13" s="197"/>
      <c r="AA13" s="196"/>
      <c r="AB13" s="71"/>
      <c r="AC13" s="2"/>
      <c r="AD13" s="2"/>
      <c r="AE13" s="2"/>
      <c r="AF13" s="2"/>
      <c r="AG13" s="72"/>
      <c r="AH13" s="72"/>
      <c r="AI13" s="72"/>
      <c r="AJ13" s="72"/>
      <c r="AK13" s="21"/>
      <c r="AL13" s="21"/>
      <c r="AM13" s="21"/>
      <c r="AN13" s="21"/>
      <c r="AO13" s="2"/>
      <c r="AP13" s="2"/>
      <c r="AQ13" s="197"/>
    </row>
    <row r="14" spans="1:43" ht="15" customHeight="1">
      <c r="A14" s="196">
        <v>1055</v>
      </c>
      <c r="B14" s="71">
        <v>44579</v>
      </c>
      <c r="C14" s="2" t="s">
        <v>38</v>
      </c>
      <c r="D14" s="2" t="s">
        <v>1793</v>
      </c>
      <c r="E14" s="2">
        <v>4</v>
      </c>
      <c r="F14" s="2">
        <v>7316</v>
      </c>
      <c r="G14" s="72"/>
      <c r="H14" s="72">
        <v>42.5</v>
      </c>
      <c r="I14" s="72"/>
      <c r="J14" s="72">
        <v>10.1</v>
      </c>
      <c r="K14" s="21">
        <v>220</v>
      </c>
      <c r="L14" s="21"/>
      <c r="M14" s="21">
        <v>235</v>
      </c>
      <c r="N14" s="21">
        <v>1280</v>
      </c>
      <c r="O14" s="2" t="s">
        <v>1782</v>
      </c>
      <c r="P14" s="2" t="s">
        <v>1447</v>
      </c>
      <c r="Q14" s="197"/>
      <c r="AA14" s="196"/>
      <c r="AB14" s="71"/>
      <c r="AC14" s="2"/>
      <c r="AD14" s="2"/>
      <c r="AE14" s="2"/>
      <c r="AF14" s="2"/>
      <c r="AG14" s="72"/>
      <c r="AH14" s="72"/>
      <c r="AI14" s="72"/>
      <c r="AJ14" s="72"/>
      <c r="AK14" s="21"/>
      <c r="AL14" s="21"/>
      <c r="AM14" s="21"/>
      <c r="AN14" s="21"/>
      <c r="AO14" s="2"/>
      <c r="AP14" s="2"/>
      <c r="AQ14" s="197"/>
    </row>
    <row r="15" spans="1:43" ht="15" customHeight="1">
      <c r="A15" s="196">
        <v>1054</v>
      </c>
      <c r="B15" s="71">
        <v>44579</v>
      </c>
      <c r="C15" s="2" t="s">
        <v>105</v>
      </c>
      <c r="D15" s="2" t="s">
        <v>1788</v>
      </c>
      <c r="E15" s="2">
        <v>0</v>
      </c>
      <c r="F15" s="2" t="s">
        <v>1790</v>
      </c>
      <c r="G15" s="72">
        <v>15</v>
      </c>
      <c r="H15" s="72">
        <v>17</v>
      </c>
      <c r="I15" s="72"/>
      <c r="J15" s="72">
        <v>9.1999999999999993</v>
      </c>
      <c r="K15" s="21">
        <v>185</v>
      </c>
      <c r="L15" s="21">
        <v>840</v>
      </c>
      <c r="M15" s="21">
        <v>195</v>
      </c>
      <c r="N15" s="21"/>
      <c r="O15" s="2" t="s">
        <v>1782</v>
      </c>
      <c r="P15" s="2" t="s">
        <v>1447</v>
      </c>
      <c r="Q15" s="197"/>
      <c r="AA15" s="196"/>
      <c r="AB15" s="71"/>
      <c r="AC15" s="2"/>
      <c r="AD15" s="2"/>
      <c r="AE15" s="2"/>
      <c r="AF15" s="2"/>
      <c r="AG15" s="72"/>
      <c r="AH15" s="72"/>
      <c r="AI15" s="72"/>
      <c r="AJ15" s="72"/>
      <c r="AK15" s="21"/>
      <c r="AL15" s="21"/>
      <c r="AM15" s="21"/>
      <c r="AN15" s="21"/>
      <c r="AO15" s="2"/>
      <c r="AP15" s="2"/>
      <c r="AQ15" s="197"/>
    </row>
    <row r="16" spans="1:43" ht="15" customHeight="1">
      <c r="A16" s="196">
        <v>1053</v>
      </c>
      <c r="B16" s="71">
        <v>44579</v>
      </c>
      <c r="C16" s="2" t="s">
        <v>105</v>
      </c>
      <c r="D16" s="2" t="s">
        <v>1789</v>
      </c>
      <c r="E16" s="2">
        <v>0</v>
      </c>
      <c r="F16" s="2" t="s">
        <v>1790</v>
      </c>
      <c r="G16" s="72">
        <v>15</v>
      </c>
      <c r="H16" s="72">
        <v>17</v>
      </c>
      <c r="I16" s="72"/>
      <c r="J16" s="72">
        <v>8.9</v>
      </c>
      <c r="K16" s="21">
        <v>180</v>
      </c>
      <c r="L16" s="21">
        <v>720</v>
      </c>
      <c r="M16" s="21">
        <v>180</v>
      </c>
      <c r="N16" s="21"/>
      <c r="O16" s="2" t="s">
        <v>1782</v>
      </c>
      <c r="P16" s="2" t="s">
        <v>1447</v>
      </c>
      <c r="Q16" s="197"/>
      <c r="AA16" s="196"/>
      <c r="AB16" s="71"/>
      <c r="AC16" s="2"/>
      <c r="AD16" s="2"/>
      <c r="AE16" s="2"/>
      <c r="AF16" s="2"/>
      <c r="AG16" s="72"/>
      <c r="AH16" s="72"/>
      <c r="AI16" s="72"/>
      <c r="AJ16" s="72"/>
      <c r="AK16" s="21"/>
      <c r="AL16" s="21"/>
      <c r="AM16" s="21"/>
      <c r="AN16" s="21"/>
      <c r="AO16" s="2"/>
      <c r="AP16" s="2"/>
      <c r="AQ16" s="197"/>
    </row>
    <row r="17" spans="1:43" ht="15" customHeight="1">
      <c r="A17" s="196">
        <v>1052</v>
      </c>
      <c r="B17" s="71">
        <v>44572</v>
      </c>
      <c r="C17" s="2" t="s">
        <v>105</v>
      </c>
      <c r="D17" s="2" t="s">
        <v>1789</v>
      </c>
      <c r="E17" s="2">
        <v>0</v>
      </c>
      <c r="F17" s="2" t="s">
        <v>1790</v>
      </c>
      <c r="G17" s="72">
        <v>15</v>
      </c>
      <c r="H17" s="72">
        <v>15</v>
      </c>
      <c r="I17" s="72"/>
      <c r="J17" s="72">
        <v>8.8000000000000007</v>
      </c>
      <c r="K17" s="21">
        <v>182</v>
      </c>
      <c r="L17" s="21">
        <v>800</v>
      </c>
      <c r="M17" s="21">
        <v>190</v>
      </c>
      <c r="N17" s="21">
        <v>1100</v>
      </c>
      <c r="O17" s="2" t="s">
        <v>1782</v>
      </c>
      <c r="P17" s="2" t="s">
        <v>1447</v>
      </c>
      <c r="Q17" s="197"/>
      <c r="AA17" s="196"/>
      <c r="AB17" s="71"/>
      <c r="AC17" s="2"/>
      <c r="AD17" s="2"/>
      <c r="AE17" s="2"/>
      <c r="AF17" s="2"/>
      <c r="AG17" s="72"/>
      <c r="AH17" s="72"/>
      <c r="AI17" s="72"/>
      <c r="AJ17" s="72"/>
      <c r="AK17" s="21"/>
      <c r="AL17" s="21"/>
      <c r="AM17" s="21"/>
      <c r="AN17" s="21"/>
      <c r="AO17" s="2"/>
      <c r="AP17" s="2"/>
      <c r="AQ17" s="197"/>
    </row>
    <row r="18" spans="1:43" ht="15" customHeight="1">
      <c r="A18" s="196">
        <v>1051</v>
      </c>
      <c r="B18" s="71">
        <v>44572</v>
      </c>
      <c r="C18" s="2" t="s">
        <v>105</v>
      </c>
      <c r="D18" s="2" t="s">
        <v>1794</v>
      </c>
      <c r="E18" s="2">
        <v>2</v>
      </c>
      <c r="F18" s="2"/>
      <c r="G18" s="72"/>
      <c r="H18" s="72">
        <v>30</v>
      </c>
      <c r="I18" s="72"/>
      <c r="J18" s="72">
        <v>12.8</v>
      </c>
      <c r="K18" s="21">
        <v>176</v>
      </c>
      <c r="L18" s="21"/>
      <c r="M18" s="21"/>
      <c r="N18" s="21"/>
      <c r="O18" s="2" t="s">
        <v>1782</v>
      </c>
      <c r="P18" s="2" t="s">
        <v>1447</v>
      </c>
      <c r="Q18" s="197"/>
      <c r="AA18" s="196"/>
      <c r="AB18" s="71"/>
      <c r="AC18" s="2"/>
      <c r="AD18" s="2"/>
      <c r="AE18" s="2"/>
      <c r="AF18" s="2"/>
      <c r="AG18" s="72"/>
      <c r="AH18" s="72"/>
      <c r="AI18" s="72"/>
      <c r="AJ18" s="72"/>
      <c r="AK18" s="21"/>
      <c r="AL18" s="21"/>
      <c r="AM18" s="21"/>
      <c r="AN18" s="21"/>
      <c r="AO18" s="2"/>
      <c r="AP18" s="2"/>
      <c r="AQ18" s="2"/>
    </row>
    <row r="19" spans="1:43" ht="15" customHeight="1">
      <c r="A19" s="196">
        <v>1050</v>
      </c>
      <c r="B19" s="71">
        <v>44568</v>
      </c>
      <c r="C19" s="2" t="s">
        <v>105</v>
      </c>
      <c r="D19" s="2" t="s">
        <v>1789</v>
      </c>
      <c r="E19" s="2">
        <v>0</v>
      </c>
      <c r="F19" s="2" t="s">
        <v>1790</v>
      </c>
      <c r="G19" s="72">
        <v>15</v>
      </c>
      <c r="H19" s="72">
        <v>15</v>
      </c>
      <c r="I19" s="72"/>
      <c r="J19" s="72">
        <v>10.7</v>
      </c>
      <c r="K19" s="21">
        <v>180</v>
      </c>
      <c r="L19" s="21">
        <v>650</v>
      </c>
      <c r="M19" s="21">
        <v>190</v>
      </c>
      <c r="N19" s="21">
        <v>1100</v>
      </c>
      <c r="O19" s="2" t="s">
        <v>1782</v>
      </c>
      <c r="P19" s="2" t="s">
        <v>1447</v>
      </c>
      <c r="Q19" s="197"/>
      <c r="AA19" s="196"/>
      <c r="AB19" s="71"/>
      <c r="AC19" s="2"/>
      <c r="AD19" s="2"/>
      <c r="AE19" s="2"/>
      <c r="AF19" s="2"/>
      <c r="AG19" s="72"/>
      <c r="AH19" s="72"/>
      <c r="AI19" s="72"/>
      <c r="AJ19" s="72"/>
      <c r="AK19" s="21"/>
      <c r="AL19" s="21"/>
      <c r="AM19" s="21"/>
      <c r="AN19" s="21"/>
      <c r="AO19" s="2"/>
      <c r="AP19" s="2"/>
      <c r="AQ19" s="2"/>
    </row>
    <row r="20" spans="1:43" ht="15" customHeight="1">
      <c r="A20" s="196">
        <v>1049</v>
      </c>
      <c r="B20" s="71">
        <v>44568</v>
      </c>
      <c r="C20" s="2" t="s">
        <v>105</v>
      </c>
      <c r="D20" s="2" t="s">
        <v>1795</v>
      </c>
      <c r="E20" s="2">
        <v>0</v>
      </c>
      <c r="F20" s="2" t="s">
        <v>1790</v>
      </c>
      <c r="G20" s="72">
        <v>15</v>
      </c>
      <c r="H20" s="72">
        <v>15</v>
      </c>
      <c r="I20" s="72"/>
      <c r="J20" s="72">
        <v>11.2</v>
      </c>
      <c r="K20" s="21">
        <v>170</v>
      </c>
      <c r="L20" s="21"/>
      <c r="M20" s="21">
        <v>185</v>
      </c>
      <c r="N20" s="21">
        <v>900</v>
      </c>
      <c r="O20" s="2" t="s">
        <v>1782</v>
      </c>
      <c r="P20" s="2" t="s">
        <v>1447</v>
      </c>
      <c r="Q20" s="197"/>
      <c r="AA20" s="196"/>
      <c r="AB20" s="71"/>
      <c r="AC20" s="2"/>
      <c r="AD20" s="2"/>
      <c r="AE20" s="2"/>
      <c r="AF20" s="2"/>
      <c r="AG20" s="72"/>
      <c r="AH20" s="72"/>
      <c r="AI20" s="72"/>
      <c r="AJ20" s="72"/>
      <c r="AK20" s="21"/>
      <c r="AL20" s="21"/>
      <c r="AM20" s="21"/>
      <c r="AN20" s="21"/>
      <c r="AO20" s="2"/>
      <c r="AP20" s="2"/>
      <c r="AQ20" s="2"/>
    </row>
    <row r="21" spans="1:43" ht="15" customHeight="1">
      <c r="A21" s="196">
        <v>1048</v>
      </c>
      <c r="B21" s="71">
        <v>44567</v>
      </c>
      <c r="C21" s="2" t="s">
        <v>105</v>
      </c>
      <c r="D21" s="2" t="s">
        <v>1794</v>
      </c>
      <c r="E21" s="2">
        <v>2</v>
      </c>
      <c r="F21" s="2">
        <v>7250</v>
      </c>
      <c r="G21" s="72"/>
      <c r="H21" s="72">
        <v>30</v>
      </c>
      <c r="I21" s="72"/>
      <c r="J21" s="72">
        <v>10.199999999999999</v>
      </c>
      <c r="K21" s="21">
        <v>176</v>
      </c>
      <c r="L21" s="21">
        <v>850</v>
      </c>
      <c r="M21" s="21">
        <v>185</v>
      </c>
      <c r="N21" s="21"/>
      <c r="O21" s="2" t="s">
        <v>1782</v>
      </c>
      <c r="P21" s="2" t="s">
        <v>1447</v>
      </c>
      <c r="Q21" s="197"/>
      <c r="AA21" s="196"/>
      <c r="AB21" s="71"/>
      <c r="AC21" s="2"/>
      <c r="AD21" s="2"/>
      <c r="AE21" s="2"/>
      <c r="AF21" s="2"/>
      <c r="AG21" s="72"/>
      <c r="AH21" s="72"/>
      <c r="AI21" s="72"/>
      <c r="AJ21" s="72"/>
      <c r="AK21" s="21"/>
      <c r="AL21" s="21"/>
      <c r="AM21" s="21"/>
      <c r="AN21" s="21"/>
      <c r="AO21" s="2"/>
      <c r="AP21" s="2"/>
      <c r="AQ21" s="2"/>
    </row>
    <row r="22" spans="1:43" ht="15" customHeight="1">
      <c r="A22" s="196">
        <v>1047</v>
      </c>
      <c r="B22" s="71">
        <v>44567</v>
      </c>
      <c r="C22" s="2" t="s">
        <v>105</v>
      </c>
      <c r="D22" s="2" t="s">
        <v>1795</v>
      </c>
      <c r="E22" s="2">
        <v>0</v>
      </c>
      <c r="F22" s="2" t="s">
        <v>1790</v>
      </c>
      <c r="G22" s="72">
        <v>15</v>
      </c>
      <c r="H22" s="72">
        <v>15</v>
      </c>
      <c r="I22" s="72"/>
      <c r="J22" s="72">
        <v>11.2</v>
      </c>
      <c r="K22" s="21">
        <v>170</v>
      </c>
      <c r="L22" s="21"/>
      <c r="M22" s="21">
        <v>185</v>
      </c>
      <c r="N22" s="21">
        <v>900</v>
      </c>
      <c r="O22" s="2" t="s">
        <v>1782</v>
      </c>
      <c r="P22" s="2" t="s">
        <v>1447</v>
      </c>
      <c r="Q22" s="197"/>
      <c r="AA22" s="196"/>
      <c r="AB22" s="71"/>
      <c r="AC22" s="2"/>
      <c r="AD22" s="2"/>
      <c r="AE22" s="2"/>
      <c r="AF22" s="2"/>
      <c r="AG22" s="72"/>
      <c r="AH22" s="72"/>
      <c r="AI22" s="72"/>
      <c r="AJ22" s="72"/>
      <c r="AK22" s="21"/>
      <c r="AL22" s="21"/>
      <c r="AM22" s="21"/>
      <c r="AN22" s="21"/>
      <c r="AO22" s="2"/>
      <c r="AP22" s="2"/>
      <c r="AQ22" s="2"/>
    </row>
    <row r="23" spans="1:43" ht="15" customHeight="1">
      <c r="A23" s="196">
        <v>1046</v>
      </c>
      <c r="B23" s="71">
        <v>44566</v>
      </c>
      <c r="C23" s="2" t="s">
        <v>105</v>
      </c>
      <c r="D23" s="2" t="s">
        <v>1794</v>
      </c>
      <c r="E23" s="2">
        <v>2</v>
      </c>
      <c r="F23" s="2">
        <v>7250</v>
      </c>
      <c r="G23" s="72"/>
      <c r="H23" s="72">
        <v>30</v>
      </c>
      <c r="I23" s="72"/>
      <c r="J23" s="72">
        <v>9.5</v>
      </c>
      <c r="K23" s="21">
        <v>175</v>
      </c>
      <c r="L23" s="21">
        <v>800</v>
      </c>
      <c r="M23" s="21">
        <v>185</v>
      </c>
      <c r="N23" s="21"/>
      <c r="O23" s="2" t="s">
        <v>1782</v>
      </c>
      <c r="P23" s="2" t="s">
        <v>1447</v>
      </c>
      <c r="Q23" s="197"/>
      <c r="AA23" s="196"/>
      <c r="AB23" s="71"/>
      <c r="AC23" s="2"/>
      <c r="AD23" s="2"/>
      <c r="AE23" s="2"/>
      <c r="AF23" s="2"/>
      <c r="AG23" s="72"/>
      <c r="AH23" s="72"/>
      <c r="AI23" s="72"/>
      <c r="AJ23" s="72"/>
      <c r="AK23" s="21"/>
      <c r="AL23" s="21"/>
      <c r="AM23" s="21"/>
      <c r="AN23" s="21"/>
      <c r="AO23" s="2"/>
      <c r="AP23" s="2"/>
      <c r="AQ23" s="2"/>
    </row>
    <row r="24" spans="1:43" ht="15" customHeight="1">
      <c r="A24" s="196">
        <v>1045</v>
      </c>
      <c r="B24" s="71">
        <v>44566</v>
      </c>
      <c r="C24" s="2" t="s">
        <v>105</v>
      </c>
      <c r="D24" s="2" t="s">
        <v>1795</v>
      </c>
      <c r="E24" s="2">
        <v>0</v>
      </c>
      <c r="F24" s="2" t="s">
        <v>1790</v>
      </c>
      <c r="G24" s="72">
        <v>15</v>
      </c>
      <c r="H24" s="72">
        <v>15</v>
      </c>
      <c r="I24" s="72"/>
      <c r="J24" s="72">
        <v>12.5</v>
      </c>
      <c r="K24" s="21">
        <v>171</v>
      </c>
      <c r="L24" s="21">
        <v>560</v>
      </c>
      <c r="M24" s="21">
        <v>185</v>
      </c>
      <c r="N24" s="21">
        <v>900</v>
      </c>
      <c r="O24" s="2" t="s">
        <v>1782</v>
      </c>
      <c r="P24" s="2" t="s">
        <v>1447</v>
      </c>
      <c r="Q24" s="197"/>
      <c r="AA24" s="196"/>
      <c r="AB24" s="71"/>
      <c r="AC24" s="2"/>
      <c r="AD24" s="2"/>
      <c r="AE24" s="2"/>
      <c r="AF24" s="2"/>
      <c r="AG24" s="72"/>
      <c r="AH24" s="72"/>
      <c r="AI24" s="72"/>
      <c r="AJ24" s="72"/>
      <c r="AK24" s="21"/>
      <c r="AL24" s="21"/>
      <c r="AM24" s="21"/>
      <c r="AN24" s="21"/>
      <c r="AO24" s="2"/>
      <c r="AP24" s="2"/>
      <c r="AQ24" s="2"/>
    </row>
    <row r="25" spans="1:43" ht="15" customHeight="1">
      <c r="A25" s="196">
        <v>1044</v>
      </c>
      <c r="B25" s="71">
        <v>44545</v>
      </c>
      <c r="C25" s="2" t="s">
        <v>38</v>
      </c>
      <c r="D25" s="2" t="s">
        <v>1656</v>
      </c>
      <c r="E25" s="2">
        <v>5</v>
      </c>
      <c r="F25" s="2">
        <v>751</v>
      </c>
      <c r="G25" s="72"/>
      <c r="H25" s="72">
        <v>45</v>
      </c>
      <c r="I25" s="72"/>
      <c r="J25" s="72">
        <v>8.1999999999999993</v>
      </c>
      <c r="K25" s="21">
        <v>268</v>
      </c>
      <c r="L25" s="21"/>
      <c r="M25" s="21">
        <v>271</v>
      </c>
      <c r="N25" s="21">
        <v>1950</v>
      </c>
      <c r="O25" s="2" t="s">
        <v>1782</v>
      </c>
      <c r="P25" s="2" t="s">
        <v>1773</v>
      </c>
      <c r="Q25" s="197"/>
      <c r="AA25" s="196"/>
      <c r="AB25" s="71"/>
      <c r="AC25" s="2"/>
      <c r="AD25" s="2"/>
      <c r="AE25" s="2"/>
      <c r="AF25" s="2"/>
      <c r="AG25" s="72"/>
      <c r="AH25" s="72"/>
      <c r="AI25" s="72"/>
      <c r="AJ25" s="72"/>
      <c r="AK25" s="21"/>
      <c r="AL25" s="21"/>
      <c r="AM25" s="21"/>
      <c r="AN25" s="21"/>
      <c r="AO25" s="2"/>
      <c r="AP25" s="2"/>
      <c r="AQ25" s="2"/>
    </row>
    <row r="26" spans="1:43" ht="15" customHeight="1">
      <c r="A26" s="196">
        <v>1043</v>
      </c>
      <c r="B26" s="71">
        <v>44545</v>
      </c>
      <c r="C26" s="2" t="s">
        <v>38</v>
      </c>
      <c r="D26" s="2" t="s">
        <v>1657</v>
      </c>
      <c r="E26" s="2">
        <v>5</v>
      </c>
      <c r="F26" s="2">
        <v>751</v>
      </c>
      <c r="G26" s="72"/>
      <c r="H26" s="72">
        <v>45</v>
      </c>
      <c r="I26" s="72"/>
      <c r="J26" s="72">
        <v>9.5</v>
      </c>
      <c r="K26" s="21"/>
      <c r="L26" s="21"/>
      <c r="M26" s="21"/>
      <c r="N26" s="21"/>
      <c r="O26" s="2" t="s">
        <v>1778</v>
      </c>
      <c r="P26" s="2" t="s">
        <v>1773</v>
      </c>
      <c r="Q26" s="197"/>
      <c r="AA26" s="196"/>
      <c r="AB26" s="71"/>
      <c r="AC26" s="2"/>
      <c r="AD26" s="2"/>
      <c r="AE26" s="2"/>
      <c r="AF26" s="2"/>
      <c r="AG26" s="72"/>
      <c r="AH26" s="72"/>
      <c r="AI26" s="72"/>
      <c r="AJ26" s="72"/>
      <c r="AK26" s="21"/>
      <c r="AL26" s="21"/>
      <c r="AM26" s="21"/>
      <c r="AN26" s="21"/>
      <c r="AO26" s="2"/>
      <c r="AP26" s="2"/>
      <c r="AQ26" s="2"/>
    </row>
    <row r="27" spans="1:43" ht="15" customHeight="1">
      <c r="A27" s="196">
        <v>1042</v>
      </c>
      <c r="B27" s="71">
        <v>44545</v>
      </c>
      <c r="C27" s="2" t="s">
        <v>38</v>
      </c>
      <c r="D27" s="2" t="s">
        <v>1655</v>
      </c>
      <c r="E27" s="2">
        <v>2</v>
      </c>
      <c r="F27" s="2">
        <v>751</v>
      </c>
      <c r="G27" s="72"/>
      <c r="H27" s="72">
        <v>35</v>
      </c>
      <c r="I27" s="72"/>
      <c r="J27" s="72">
        <v>10</v>
      </c>
      <c r="K27" s="21">
        <v>215</v>
      </c>
      <c r="L27" s="21">
        <v>940</v>
      </c>
      <c r="M27" s="21">
        <v>221</v>
      </c>
      <c r="N27" s="21">
        <v>1360</v>
      </c>
      <c r="O27" s="2" t="s">
        <v>1778</v>
      </c>
      <c r="P27" s="2" t="s">
        <v>1773</v>
      </c>
      <c r="Q27" s="197"/>
      <c r="AA27" s="196"/>
      <c r="AB27" s="71"/>
      <c r="AC27" s="2"/>
      <c r="AD27" s="2"/>
      <c r="AE27" s="2"/>
      <c r="AF27" s="2"/>
      <c r="AG27" s="72"/>
      <c r="AH27" s="72"/>
      <c r="AI27" s="72"/>
      <c r="AJ27" s="72"/>
      <c r="AK27" s="21"/>
      <c r="AL27" s="21"/>
      <c r="AM27" s="21"/>
      <c r="AN27" s="21"/>
      <c r="AO27" s="2"/>
      <c r="AP27" s="2"/>
      <c r="AQ27" s="2"/>
    </row>
    <row r="28" spans="1:43" ht="15" customHeight="1">
      <c r="A28" s="196">
        <v>1041</v>
      </c>
      <c r="B28" s="71">
        <v>44530</v>
      </c>
      <c r="C28" s="2" t="s">
        <v>105</v>
      </c>
      <c r="D28" s="2" t="s">
        <v>1623</v>
      </c>
      <c r="E28" s="2">
        <v>0</v>
      </c>
      <c r="F28" s="2" t="s">
        <v>1790</v>
      </c>
      <c r="G28" s="72">
        <v>12</v>
      </c>
      <c r="H28" s="72">
        <v>17</v>
      </c>
      <c r="I28" s="72"/>
      <c r="J28" s="72">
        <v>6</v>
      </c>
      <c r="K28" s="21">
        <v>179</v>
      </c>
      <c r="L28" s="21">
        <v>600</v>
      </c>
      <c r="M28" s="21">
        <v>185</v>
      </c>
      <c r="N28" s="21"/>
      <c r="O28" s="2" t="s">
        <v>1782</v>
      </c>
      <c r="P28" s="2" t="s">
        <v>1447</v>
      </c>
      <c r="Q28" s="197"/>
      <c r="AA28" s="196"/>
      <c r="AB28" s="71"/>
      <c r="AC28" s="2"/>
      <c r="AD28" s="2"/>
      <c r="AE28" s="2"/>
      <c r="AF28" s="2"/>
      <c r="AG28" s="72"/>
      <c r="AH28" s="72"/>
      <c r="AI28" s="72"/>
      <c r="AJ28" s="72"/>
      <c r="AK28" s="21"/>
      <c r="AL28" s="21"/>
      <c r="AM28" s="21"/>
      <c r="AN28" s="21"/>
      <c r="AO28" s="2"/>
      <c r="AP28" s="2"/>
      <c r="AQ28" s="2"/>
    </row>
    <row r="29" spans="1:43" ht="15" customHeight="1">
      <c r="A29" s="196">
        <v>1040</v>
      </c>
      <c r="B29" s="71">
        <v>44530</v>
      </c>
      <c r="C29" s="2" t="s">
        <v>38</v>
      </c>
      <c r="D29" s="2" t="s">
        <v>1623</v>
      </c>
      <c r="E29" s="2">
        <v>0</v>
      </c>
      <c r="F29" s="2" t="s">
        <v>1790</v>
      </c>
      <c r="G29" s="72">
        <v>10</v>
      </c>
      <c r="H29" s="72">
        <v>17</v>
      </c>
      <c r="I29" s="72"/>
      <c r="J29" s="72">
        <v>6.3</v>
      </c>
      <c r="K29" s="21">
        <v>179</v>
      </c>
      <c r="L29" s="21">
        <v>640</v>
      </c>
      <c r="M29" s="21">
        <v>185</v>
      </c>
      <c r="N29" s="21"/>
      <c r="O29" s="2" t="s">
        <v>1782</v>
      </c>
      <c r="P29" s="2" t="s">
        <v>1447</v>
      </c>
      <c r="Q29" s="197"/>
      <c r="AA29" s="196"/>
      <c r="AB29" s="71"/>
      <c r="AC29" s="2"/>
      <c r="AD29" s="2"/>
      <c r="AE29" s="2"/>
      <c r="AF29" s="2"/>
      <c r="AG29" s="72"/>
      <c r="AH29" s="72"/>
      <c r="AI29" s="72"/>
      <c r="AJ29" s="72"/>
      <c r="AK29" s="21"/>
      <c r="AL29" s="21"/>
      <c r="AM29" s="21"/>
      <c r="AN29" s="21"/>
      <c r="AO29" s="2"/>
      <c r="AP29" s="2"/>
      <c r="AQ29" s="2"/>
    </row>
    <row r="30" spans="1:43" ht="15" customHeight="1">
      <c r="A30" s="196">
        <v>1039</v>
      </c>
      <c r="B30" s="71">
        <v>44530</v>
      </c>
      <c r="C30" s="2" t="s">
        <v>38</v>
      </c>
      <c r="D30" s="2" t="s">
        <v>1623</v>
      </c>
      <c r="E30" s="2">
        <v>0</v>
      </c>
      <c r="F30" s="2" t="s">
        <v>1790</v>
      </c>
      <c r="G30" s="72">
        <v>14</v>
      </c>
      <c r="H30" s="72">
        <v>17</v>
      </c>
      <c r="I30" s="72"/>
      <c r="J30" s="72">
        <v>6.8</v>
      </c>
      <c r="K30" s="21">
        <v>179</v>
      </c>
      <c r="L30" s="21">
        <v>650</v>
      </c>
      <c r="M30" s="21">
        <v>185</v>
      </c>
      <c r="N30" s="21"/>
      <c r="O30" s="2" t="s">
        <v>1782</v>
      </c>
      <c r="P30" s="2" t="s">
        <v>1447</v>
      </c>
      <c r="Q30" s="197"/>
      <c r="AA30" s="196"/>
      <c r="AB30" s="71"/>
      <c r="AC30" s="2"/>
      <c r="AD30" s="2"/>
      <c r="AE30" s="2"/>
      <c r="AF30" s="2"/>
      <c r="AG30" s="72"/>
      <c r="AH30" s="72"/>
      <c r="AI30" s="72"/>
      <c r="AJ30" s="72"/>
      <c r="AK30" s="21"/>
      <c r="AL30" s="21"/>
      <c r="AM30" s="21"/>
      <c r="AN30" s="21"/>
      <c r="AO30" s="2"/>
      <c r="AP30" s="2"/>
      <c r="AQ30" s="2"/>
    </row>
    <row r="31" spans="1:43" ht="15" customHeight="1">
      <c r="A31" s="196">
        <v>1038</v>
      </c>
      <c r="B31" s="71">
        <v>44524</v>
      </c>
      <c r="C31" s="2" t="s">
        <v>105</v>
      </c>
      <c r="D31" s="2" t="s">
        <v>1649</v>
      </c>
      <c r="E31" s="2">
        <v>3</v>
      </c>
      <c r="F31" s="2">
        <v>7718</v>
      </c>
      <c r="G31" s="72"/>
      <c r="H31" s="72">
        <v>35</v>
      </c>
      <c r="I31" s="72"/>
      <c r="J31" s="72">
        <v>8.6</v>
      </c>
      <c r="K31" s="21">
        <v>195</v>
      </c>
      <c r="L31" s="21">
        <v>1140</v>
      </c>
      <c r="M31" s="21">
        <v>195</v>
      </c>
      <c r="N31" s="21">
        <v>1490</v>
      </c>
      <c r="O31" s="2" t="s">
        <v>1778</v>
      </c>
      <c r="P31" s="2" t="s">
        <v>1773</v>
      </c>
      <c r="Q31" s="197"/>
      <c r="AA31" s="196"/>
      <c r="AB31" s="71"/>
      <c r="AC31" s="2"/>
      <c r="AD31" s="2"/>
      <c r="AE31" s="2"/>
      <c r="AF31" s="2"/>
      <c r="AG31" s="72"/>
      <c r="AH31" s="72"/>
      <c r="AI31" s="72"/>
      <c r="AJ31" s="72"/>
      <c r="AK31" s="21"/>
      <c r="AL31" s="21"/>
      <c r="AM31" s="21"/>
      <c r="AN31" s="21"/>
      <c r="AO31" s="2"/>
      <c r="AP31" s="2"/>
      <c r="AQ31" s="2"/>
    </row>
    <row r="32" spans="1:43" ht="15" customHeight="1">
      <c r="A32" s="196">
        <v>1037</v>
      </c>
      <c r="B32" s="71">
        <v>44524</v>
      </c>
      <c r="C32" s="2" t="s">
        <v>105</v>
      </c>
      <c r="D32" s="2" t="s">
        <v>1651</v>
      </c>
      <c r="E32" s="2">
        <v>4</v>
      </c>
      <c r="F32" s="2">
        <v>7718</v>
      </c>
      <c r="G32" s="72"/>
      <c r="H32" s="72">
        <v>46.7</v>
      </c>
      <c r="I32" s="72"/>
      <c r="J32" s="72">
        <v>9.1999999999999993</v>
      </c>
      <c r="K32" s="21">
        <v>244</v>
      </c>
      <c r="L32" s="21">
        <v>1460</v>
      </c>
      <c r="M32" s="21">
        <v>244</v>
      </c>
      <c r="N32" s="21">
        <v>1810</v>
      </c>
      <c r="O32" s="2" t="s">
        <v>1778</v>
      </c>
      <c r="P32" s="2" t="s">
        <v>1773</v>
      </c>
      <c r="Q32" s="197"/>
      <c r="AA32" s="196"/>
      <c r="AB32" s="71"/>
      <c r="AC32" s="2"/>
      <c r="AD32" s="2"/>
      <c r="AE32" s="2"/>
      <c r="AF32" s="2"/>
      <c r="AG32" s="72"/>
      <c r="AH32" s="72"/>
      <c r="AI32" s="72"/>
      <c r="AJ32" s="72"/>
      <c r="AK32" s="21"/>
      <c r="AL32" s="21"/>
      <c r="AM32" s="21"/>
      <c r="AN32" s="21"/>
      <c r="AO32" s="2"/>
      <c r="AP32" s="2"/>
      <c r="AQ32" s="2"/>
    </row>
    <row r="33" spans="1:43" ht="15" customHeight="1">
      <c r="A33" s="196">
        <v>1036</v>
      </c>
      <c r="B33" s="71">
        <v>44522</v>
      </c>
      <c r="C33" s="2" t="s">
        <v>105</v>
      </c>
      <c r="D33" s="2" t="s">
        <v>135</v>
      </c>
      <c r="E33" s="2">
        <v>4</v>
      </c>
      <c r="F33" s="2">
        <v>7718</v>
      </c>
      <c r="G33" s="72"/>
      <c r="H33" s="72">
        <v>35</v>
      </c>
      <c r="I33" s="72"/>
      <c r="J33" s="72">
        <v>8</v>
      </c>
      <c r="K33" s="21">
        <v>171</v>
      </c>
      <c r="L33" s="21">
        <v>1260</v>
      </c>
      <c r="M33" s="21">
        <v>173</v>
      </c>
      <c r="N33" s="21">
        <v>1510</v>
      </c>
      <c r="O33" s="2" t="s">
        <v>1782</v>
      </c>
      <c r="P33" s="2" t="s">
        <v>1773</v>
      </c>
      <c r="Q33" s="197"/>
      <c r="AA33" s="196"/>
      <c r="AB33" s="71"/>
      <c r="AC33" s="2"/>
      <c r="AD33" s="2"/>
      <c r="AE33" s="2"/>
      <c r="AF33" s="2"/>
      <c r="AG33" s="72"/>
      <c r="AH33" s="72"/>
      <c r="AI33" s="72"/>
      <c r="AJ33" s="72"/>
      <c r="AK33" s="21"/>
      <c r="AL33" s="21"/>
      <c r="AM33" s="21"/>
      <c r="AN33" s="21"/>
      <c r="AO33" s="2"/>
      <c r="AP33" s="2"/>
      <c r="AQ33" s="2"/>
    </row>
    <row r="34" spans="1:43" ht="15" customHeight="1">
      <c r="A34" s="196">
        <v>1035</v>
      </c>
      <c r="B34" s="71">
        <v>44520</v>
      </c>
      <c r="C34" s="2" t="s">
        <v>105</v>
      </c>
      <c r="D34" s="2" t="s">
        <v>1623</v>
      </c>
      <c r="E34" s="2">
        <v>0</v>
      </c>
      <c r="F34" s="2" t="s">
        <v>1796</v>
      </c>
      <c r="G34" s="72">
        <v>10</v>
      </c>
      <c r="H34" s="72">
        <v>17</v>
      </c>
      <c r="I34" s="72"/>
      <c r="J34" s="72">
        <v>9.3000000000000007</v>
      </c>
      <c r="K34" s="21">
        <v>176</v>
      </c>
      <c r="L34" s="21">
        <v>620</v>
      </c>
      <c r="M34" s="21">
        <v>184</v>
      </c>
      <c r="N34" s="21"/>
      <c r="O34" s="2" t="s">
        <v>1782</v>
      </c>
      <c r="P34" s="2" t="s">
        <v>1447</v>
      </c>
      <c r="Q34" s="197"/>
      <c r="AA34" s="196"/>
      <c r="AB34" s="71"/>
      <c r="AC34" s="2"/>
      <c r="AD34" s="2"/>
      <c r="AE34" s="2"/>
      <c r="AF34" s="2"/>
      <c r="AG34" s="72"/>
      <c r="AH34" s="72"/>
      <c r="AI34" s="72"/>
      <c r="AJ34" s="72"/>
      <c r="AK34" s="21"/>
      <c r="AL34" s="21"/>
      <c r="AM34" s="21"/>
      <c r="AN34" s="21"/>
      <c r="AO34" s="2"/>
      <c r="AP34" s="2"/>
      <c r="AQ34" s="2"/>
    </row>
    <row r="35" spans="1:43" ht="15" customHeight="1">
      <c r="A35" s="196">
        <v>1034</v>
      </c>
      <c r="B35" s="71">
        <v>44519</v>
      </c>
      <c r="C35" s="2" t="s">
        <v>105</v>
      </c>
      <c r="D35" s="2" t="s">
        <v>1445</v>
      </c>
      <c r="E35" s="2">
        <v>2</v>
      </c>
      <c r="F35" s="2">
        <v>7718</v>
      </c>
      <c r="G35" s="72"/>
      <c r="H35" s="72">
        <v>41</v>
      </c>
      <c r="I35" s="72"/>
      <c r="J35" s="72">
        <v>13.3</v>
      </c>
      <c r="K35" s="21">
        <v>188</v>
      </c>
      <c r="L35" s="21">
        <v>800</v>
      </c>
      <c r="M35" s="21">
        <v>192</v>
      </c>
      <c r="N35" s="21">
        <v>1201</v>
      </c>
      <c r="O35" s="2" t="s">
        <v>1778</v>
      </c>
      <c r="P35" s="2" t="s">
        <v>1773</v>
      </c>
      <c r="Q35" s="197"/>
      <c r="AA35" s="196"/>
      <c r="AB35" s="71"/>
      <c r="AC35" s="2"/>
      <c r="AD35" s="2"/>
      <c r="AE35" s="2"/>
      <c r="AF35" s="2"/>
      <c r="AG35" s="72"/>
      <c r="AH35" s="72"/>
      <c r="AI35" s="72"/>
      <c r="AJ35" s="72"/>
      <c r="AK35" s="21"/>
      <c r="AL35" s="21"/>
      <c r="AM35" s="21"/>
      <c r="AN35" s="21"/>
      <c r="AO35" s="2"/>
      <c r="AP35" s="2"/>
      <c r="AQ35" s="2"/>
    </row>
    <row r="36" spans="1:43" ht="15" customHeight="1">
      <c r="A36" s="196">
        <v>1033</v>
      </c>
      <c r="B36" s="71">
        <v>44518</v>
      </c>
      <c r="C36" s="2" t="s">
        <v>105</v>
      </c>
      <c r="D36" s="2" t="s">
        <v>1797</v>
      </c>
      <c r="E36" s="2">
        <v>2</v>
      </c>
      <c r="F36" s="2">
        <v>751</v>
      </c>
      <c r="G36" s="72"/>
      <c r="H36" s="72">
        <v>35</v>
      </c>
      <c r="I36" s="72"/>
      <c r="J36" s="72">
        <v>7.8</v>
      </c>
      <c r="K36" s="21">
        <v>239</v>
      </c>
      <c r="L36" s="21">
        <v>1300</v>
      </c>
      <c r="M36" s="21"/>
      <c r="N36" s="21"/>
      <c r="O36" s="2" t="s">
        <v>1782</v>
      </c>
      <c r="P36" s="2" t="s">
        <v>1447</v>
      </c>
      <c r="Q36" s="197"/>
      <c r="AA36" s="196"/>
      <c r="AB36" s="71"/>
      <c r="AC36" s="2"/>
      <c r="AD36" s="2"/>
      <c r="AE36" s="2"/>
      <c r="AF36" s="2"/>
      <c r="AG36" s="72"/>
      <c r="AH36" s="72"/>
      <c r="AI36" s="72"/>
      <c r="AJ36" s="72"/>
      <c r="AK36" s="21"/>
      <c r="AL36" s="21"/>
      <c r="AM36" s="21"/>
      <c r="AN36" s="21"/>
      <c r="AO36" s="2"/>
      <c r="AP36" s="2"/>
      <c r="AQ36" s="2"/>
    </row>
    <row r="37" spans="1:43" ht="15" customHeight="1">
      <c r="A37" s="196">
        <v>1032</v>
      </c>
      <c r="B37" s="71">
        <v>44518</v>
      </c>
      <c r="C37" s="2" t="s">
        <v>105</v>
      </c>
      <c r="D37" s="2" t="s">
        <v>1649</v>
      </c>
      <c r="E37" s="2">
        <v>3</v>
      </c>
      <c r="F37" s="2">
        <v>7718</v>
      </c>
      <c r="G37" s="72"/>
      <c r="H37" s="72">
        <v>35</v>
      </c>
      <c r="I37" s="72"/>
      <c r="J37" s="72">
        <v>8.4</v>
      </c>
      <c r="K37" s="21">
        <v>195</v>
      </c>
      <c r="L37" s="21">
        <v>1160</v>
      </c>
      <c r="M37" s="21">
        <v>195</v>
      </c>
      <c r="N37" s="21">
        <v>1510</v>
      </c>
      <c r="O37" s="2" t="s">
        <v>1782</v>
      </c>
      <c r="P37" s="2" t="s">
        <v>1447</v>
      </c>
      <c r="Q37" s="197"/>
      <c r="AA37" s="196"/>
      <c r="AB37" s="71"/>
      <c r="AC37" s="2"/>
      <c r="AD37" s="2"/>
      <c r="AE37" s="2"/>
      <c r="AF37" s="2"/>
      <c r="AG37" s="72"/>
      <c r="AH37" s="72"/>
      <c r="AI37" s="72"/>
      <c r="AJ37" s="72"/>
      <c r="AK37" s="21"/>
      <c r="AL37" s="21"/>
      <c r="AM37" s="21"/>
      <c r="AN37" s="21"/>
      <c r="AO37" s="2"/>
      <c r="AP37" s="2"/>
      <c r="AQ37" s="2"/>
    </row>
    <row r="38" spans="1:43" ht="15" customHeight="1">
      <c r="A38" s="196">
        <v>1031</v>
      </c>
      <c r="B38" s="71">
        <v>44518</v>
      </c>
      <c r="C38" s="2" t="s">
        <v>105</v>
      </c>
      <c r="D38" s="2" t="s">
        <v>1651</v>
      </c>
      <c r="E38" s="2">
        <v>4</v>
      </c>
      <c r="F38" s="2">
        <v>7718</v>
      </c>
      <c r="G38" s="72"/>
      <c r="H38" s="72">
        <v>35</v>
      </c>
      <c r="I38" s="72"/>
      <c r="J38" s="72">
        <v>7</v>
      </c>
      <c r="K38" s="21">
        <v>243</v>
      </c>
      <c r="L38" s="21">
        <v>1440</v>
      </c>
      <c r="M38" s="21">
        <v>243</v>
      </c>
      <c r="N38" s="21">
        <v>1790</v>
      </c>
      <c r="O38" s="2" t="s">
        <v>1782</v>
      </c>
      <c r="P38" s="2" t="s">
        <v>1447</v>
      </c>
      <c r="Q38" s="197"/>
      <c r="AA38" s="196"/>
      <c r="AB38" s="71"/>
      <c r="AC38" s="2"/>
      <c r="AD38" s="2"/>
      <c r="AE38" s="2"/>
      <c r="AF38" s="2"/>
      <c r="AG38" s="72"/>
      <c r="AH38" s="72"/>
      <c r="AI38" s="72"/>
      <c r="AJ38" s="72"/>
      <c r="AK38" s="21"/>
      <c r="AL38" s="21"/>
      <c r="AM38" s="21"/>
      <c r="AN38" s="21"/>
      <c r="AO38" s="2"/>
      <c r="AP38" s="2"/>
      <c r="AQ38" s="2"/>
    </row>
    <row r="39" spans="1:43" ht="15" customHeight="1">
      <c r="A39" s="196">
        <v>1030</v>
      </c>
      <c r="B39" s="71">
        <v>44518</v>
      </c>
      <c r="C39" s="2" t="s">
        <v>105</v>
      </c>
      <c r="D39" s="2" t="s">
        <v>1798</v>
      </c>
      <c r="E39" s="2">
        <v>2</v>
      </c>
      <c r="F39" s="2">
        <v>751</v>
      </c>
      <c r="G39" s="72"/>
      <c r="H39" s="72">
        <v>35</v>
      </c>
      <c r="I39" s="72"/>
      <c r="J39" s="72">
        <v>7.8</v>
      </c>
      <c r="K39" s="21">
        <v>238</v>
      </c>
      <c r="L39" s="21">
        <v>1280</v>
      </c>
      <c r="M39" s="21">
        <v>240</v>
      </c>
      <c r="N39" s="21">
        <v>1600</v>
      </c>
      <c r="O39" s="2" t="s">
        <v>1782</v>
      </c>
      <c r="P39" s="2" t="s">
        <v>1447</v>
      </c>
      <c r="Q39" s="197"/>
      <c r="AA39" s="196"/>
      <c r="AB39" s="71"/>
      <c r="AC39" s="2"/>
      <c r="AD39" s="2"/>
      <c r="AE39" s="2"/>
      <c r="AF39" s="2"/>
      <c r="AG39" s="72"/>
      <c r="AH39" s="72"/>
      <c r="AI39" s="72"/>
      <c r="AJ39" s="72"/>
      <c r="AK39" s="21"/>
      <c r="AL39" s="21"/>
      <c r="AM39" s="21"/>
      <c r="AN39" s="21"/>
      <c r="AO39" s="2"/>
      <c r="AP39" s="2"/>
      <c r="AQ39" s="2"/>
    </row>
    <row r="40" spans="1:43" ht="15" customHeight="1">
      <c r="A40" s="196">
        <v>1029</v>
      </c>
      <c r="B40" s="71">
        <v>44517</v>
      </c>
      <c r="C40" s="2" t="s">
        <v>105</v>
      </c>
      <c r="D40" s="2" t="s">
        <v>1623</v>
      </c>
      <c r="E40" s="2">
        <v>0</v>
      </c>
      <c r="F40" s="2" t="s">
        <v>1796</v>
      </c>
      <c r="G40" s="72">
        <v>9</v>
      </c>
      <c r="H40" s="72">
        <v>22</v>
      </c>
      <c r="I40" s="72"/>
      <c r="J40" s="72">
        <v>11</v>
      </c>
      <c r="K40" s="21">
        <v>176</v>
      </c>
      <c r="L40" s="21">
        <v>600</v>
      </c>
      <c r="M40" s="21">
        <v>186</v>
      </c>
      <c r="N40" s="21">
        <v>930</v>
      </c>
      <c r="O40" s="2" t="s">
        <v>1782</v>
      </c>
      <c r="P40" s="2" t="s">
        <v>1447</v>
      </c>
      <c r="Q40" s="197"/>
      <c r="AA40" s="196"/>
      <c r="AB40" s="71"/>
      <c r="AC40" s="2"/>
      <c r="AD40" s="2"/>
      <c r="AE40" s="2"/>
      <c r="AF40" s="2"/>
      <c r="AG40" s="72"/>
      <c r="AH40" s="72"/>
      <c r="AI40" s="72"/>
      <c r="AJ40" s="72"/>
      <c r="AK40" s="21"/>
      <c r="AL40" s="21"/>
      <c r="AM40" s="21"/>
      <c r="AN40" s="21"/>
      <c r="AO40" s="2"/>
      <c r="AP40" s="2"/>
      <c r="AQ40" s="2"/>
    </row>
    <row r="41" spans="1:43" ht="15" customHeight="1">
      <c r="A41" s="196">
        <v>1028</v>
      </c>
      <c r="B41" s="71">
        <v>44517</v>
      </c>
      <c r="C41" s="2" t="s">
        <v>105</v>
      </c>
      <c r="D41" s="2" t="s">
        <v>1649</v>
      </c>
      <c r="E41" s="2">
        <v>3</v>
      </c>
      <c r="F41" s="2">
        <v>7718</v>
      </c>
      <c r="G41" s="72"/>
      <c r="H41" s="72">
        <v>35</v>
      </c>
      <c r="I41" s="72"/>
      <c r="J41" s="72">
        <v>8.8000000000000007</v>
      </c>
      <c r="K41" s="21">
        <v>195</v>
      </c>
      <c r="L41" s="21">
        <v>1200</v>
      </c>
      <c r="M41" s="21">
        <v>195</v>
      </c>
      <c r="N41" s="21">
        <v>1450</v>
      </c>
      <c r="O41" s="2" t="s">
        <v>1782</v>
      </c>
      <c r="P41" s="2" t="s">
        <v>1447</v>
      </c>
      <c r="Q41" s="197"/>
      <c r="AA41" s="196"/>
      <c r="AB41" s="71"/>
      <c r="AC41" s="2"/>
      <c r="AD41" s="2"/>
      <c r="AE41" s="2"/>
      <c r="AF41" s="2"/>
      <c r="AG41" s="72"/>
      <c r="AH41" s="72"/>
      <c r="AI41" s="72"/>
      <c r="AJ41" s="72"/>
      <c r="AK41" s="21"/>
      <c r="AL41" s="21"/>
      <c r="AM41" s="21"/>
      <c r="AN41" s="21"/>
      <c r="AO41" s="2"/>
      <c r="AP41" s="2"/>
      <c r="AQ41" s="2"/>
    </row>
    <row r="42" spans="1:43" ht="15" customHeight="1">
      <c r="A42" s="196">
        <v>1027</v>
      </c>
      <c r="B42" s="71">
        <v>44517</v>
      </c>
      <c r="C42" s="2" t="s">
        <v>105</v>
      </c>
      <c r="D42" s="2" t="s">
        <v>1649</v>
      </c>
      <c r="E42" s="2">
        <v>2</v>
      </c>
      <c r="F42" s="2">
        <v>7718</v>
      </c>
      <c r="G42" s="72"/>
      <c r="H42" s="72">
        <v>35</v>
      </c>
      <c r="I42" s="72"/>
      <c r="J42" s="72">
        <v>9</v>
      </c>
      <c r="K42" s="21">
        <v>195</v>
      </c>
      <c r="L42" s="21">
        <v>1120</v>
      </c>
      <c r="M42" s="21">
        <v>195</v>
      </c>
      <c r="N42" s="21">
        <v>1400</v>
      </c>
      <c r="O42" s="2" t="s">
        <v>1782</v>
      </c>
      <c r="P42" s="2" t="s">
        <v>1447</v>
      </c>
      <c r="Q42" s="197"/>
      <c r="AA42" s="196"/>
      <c r="AB42" s="71"/>
      <c r="AC42" s="2"/>
      <c r="AD42" s="2"/>
      <c r="AE42" s="2"/>
      <c r="AF42" s="2"/>
      <c r="AG42" s="72"/>
      <c r="AH42" s="72"/>
      <c r="AI42" s="72"/>
      <c r="AJ42" s="72"/>
      <c r="AK42" s="21"/>
      <c r="AL42" s="21"/>
      <c r="AM42" s="21"/>
      <c r="AN42" s="21"/>
      <c r="AO42" s="2"/>
      <c r="AP42" s="2"/>
      <c r="AQ42" s="2"/>
    </row>
    <row r="43" spans="1:43" ht="15" customHeight="1">
      <c r="A43" s="196">
        <v>1026</v>
      </c>
      <c r="B43" s="71">
        <v>44517</v>
      </c>
      <c r="C43" s="2" t="s">
        <v>105</v>
      </c>
      <c r="D43" s="2" t="s">
        <v>1651</v>
      </c>
      <c r="E43" s="2">
        <v>4</v>
      </c>
      <c r="F43" s="2">
        <v>7718</v>
      </c>
      <c r="G43" s="72"/>
      <c r="H43" s="72">
        <v>35</v>
      </c>
      <c r="I43" s="72"/>
      <c r="J43" s="72">
        <v>7.2</v>
      </c>
      <c r="K43" s="21">
        <v>244</v>
      </c>
      <c r="L43" s="21">
        <v>1450</v>
      </c>
      <c r="M43" s="21">
        <v>245</v>
      </c>
      <c r="N43" s="21">
        <v>1700</v>
      </c>
      <c r="O43" s="2" t="s">
        <v>1782</v>
      </c>
      <c r="P43" s="2" t="s">
        <v>1447</v>
      </c>
      <c r="Q43" s="197"/>
      <c r="AA43" s="196"/>
      <c r="AB43" s="71"/>
      <c r="AC43" s="2"/>
      <c r="AD43" s="2"/>
      <c r="AE43" s="2"/>
      <c r="AF43" s="2"/>
      <c r="AG43" s="72"/>
      <c r="AH43" s="72"/>
      <c r="AI43" s="72"/>
      <c r="AJ43" s="72"/>
      <c r="AK43" s="21"/>
      <c r="AL43" s="21"/>
      <c r="AM43" s="21"/>
      <c r="AN43" s="21"/>
      <c r="AO43" s="2"/>
      <c r="AP43" s="2"/>
      <c r="AQ43" s="2"/>
    </row>
    <row r="44" spans="1:43" ht="15" customHeight="1">
      <c r="A44" s="196">
        <v>1025</v>
      </c>
      <c r="B44" s="71">
        <v>44516</v>
      </c>
      <c r="C44" s="2" t="s">
        <v>38</v>
      </c>
      <c r="D44" s="2" t="s">
        <v>126</v>
      </c>
      <c r="E44" s="2">
        <v>2</v>
      </c>
      <c r="F44" s="2">
        <v>7718</v>
      </c>
      <c r="G44" s="72"/>
      <c r="H44" s="72">
        <v>35</v>
      </c>
      <c r="I44" s="72"/>
      <c r="J44" s="72">
        <v>11</v>
      </c>
      <c r="K44" s="72">
        <v>195</v>
      </c>
      <c r="L44" s="21">
        <v>890</v>
      </c>
      <c r="M44" s="21">
        <v>195</v>
      </c>
      <c r="N44" s="21">
        <v>1088</v>
      </c>
      <c r="O44" s="2" t="s">
        <v>1778</v>
      </c>
      <c r="P44" s="2" t="s">
        <v>1447</v>
      </c>
      <c r="Q44" s="197"/>
      <c r="AA44" s="196"/>
      <c r="AB44" s="71"/>
      <c r="AC44" s="2"/>
      <c r="AD44" s="2"/>
      <c r="AE44" s="2"/>
      <c r="AF44" s="2"/>
      <c r="AG44" s="72"/>
      <c r="AH44" s="72"/>
      <c r="AI44" s="72"/>
      <c r="AJ44" s="72"/>
      <c r="AK44" s="21"/>
      <c r="AL44" s="21"/>
      <c r="AM44" s="21"/>
      <c r="AN44" s="21"/>
      <c r="AO44" s="2"/>
      <c r="AP44" s="2"/>
      <c r="AQ44" s="2"/>
    </row>
    <row r="45" spans="1:43" ht="15" customHeight="1">
      <c r="A45" s="196">
        <v>1024</v>
      </c>
      <c r="B45" s="71">
        <v>44516</v>
      </c>
      <c r="C45" s="2" t="s">
        <v>38</v>
      </c>
      <c r="D45" s="2" t="s">
        <v>1651</v>
      </c>
      <c r="E45" s="2">
        <v>4</v>
      </c>
      <c r="F45" s="2">
        <v>7718</v>
      </c>
      <c r="G45" s="72"/>
      <c r="H45" s="72">
        <v>35</v>
      </c>
      <c r="I45" s="72"/>
      <c r="J45" s="72">
        <v>8</v>
      </c>
      <c r="K45" s="72"/>
      <c r="L45" s="21"/>
      <c r="M45" s="21">
        <v>243</v>
      </c>
      <c r="N45" s="21"/>
      <c r="O45" s="2" t="s">
        <v>1778</v>
      </c>
      <c r="P45" s="2" t="s">
        <v>1447</v>
      </c>
      <c r="Q45" s="197"/>
      <c r="AA45" s="196"/>
      <c r="AB45" s="71"/>
      <c r="AC45" s="2"/>
      <c r="AD45" s="2"/>
      <c r="AE45" s="2"/>
      <c r="AF45" s="2"/>
      <c r="AG45" s="72"/>
      <c r="AH45" s="72"/>
      <c r="AI45" s="72"/>
      <c r="AJ45" s="72"/>
      <c r="AK45" s="21"/>
      <c r="AL45" s="21"/>
      <c r="AM45" s="21"/>
      <c r="AN45" s="21"/>
      <c r="AO45" s="2"/>
      <c r="AP45" s="2"/>
      <c r="AQ45" s="2"/>
    </row>
    <row r="46" spans="1:43" ht="15" customHeight="1">
      <c r="A46" s="196">
        <v>1023</v>
      </c>
      <c r="B46" s="71">
        <v>44516</v>
      </c>
      <c r="C46" s="2" t="s">
        <v>38</v>
      </c>
      <c r="D46" s="2" t="s">
        <v>1649</v>
      </c>
      <c r="E46" s="2">
        <v>2</v>
      </c>
      <c r="F46" s="2">
        <v>7718</v>
      </c>
      <c r="G46" s="72"/>
      <c r="H46" s="72">
        <v>35</v>
      </c>
      <c r="I46" s="72"/>
      <c r="J46" s="72">
        <v>9.5</v>
      </c>
      <c r="K46" s="72">
        <v>192</v>
      </c>
      <c r="L46" s="21">
        <v>1000</v>
      </c>
      <c r="M46" s="21">
        <v>194</v>
      </c>
      <c r="N46" s="21"/>
      <c r="O46" s="2" t="s">
        <v>1778</v>
      </c>
      <c r="P46" s="2" t="s">
        <v>1447</v>
      </c>
      <c r="Q46" s="197"/>
      <c r="AA46" s="196"/>
      <c r="AB46" s="71"/>
      <c r="AC46" s="2"/>
      <c r="AD46" s="2"/>
      <c r="AE46" s="2"/>
      <c r="AF46" s="2"/>
      <c r="AG46" s="72"/>
      <c r="AH46" s="72"/>
      <c r="AI46" s="72"/>
      <c r="AJ46" s="72"/>
      <c r="AK46" s="21"/>
      <c r="AL46" s="21"/>
      <c r="AM46" s="21"/>
      <c r="AN46" s="21"/>
      <c r="AO46" s="2"/>
      <c r="AP46" s="2"/>
      <c r="AQ46" s="2"/>
    </row>
    <row r="47" spans="1:43" ht="15" customHeight="1">
      <c r="A47" s="196">
        <v>1022</v>
      </c>
      <c r="B47" s="71">
        <v>44515</v>
      </c>
      <c r="C47" s="2" t="s">
        <v>105</v>
      </c>
      <c r="D47" s="2" t="s">
        <v>1545</v>
      </c>
      <c r="E47" s="2">
        <v>2</v>
      </c>
      <c r="F47" s="2">
        <v>752</v>
      </c>
      <c r="G47" s="72"/>
      <c r="H47" s="72">
        <v>42.5</v>
      </c>
      <c r="I47" s="72"/>
      <c r="J47" s="72">
        <v>11.5</v>
      </c>
      <c r="K47" s="21">
        <v>192</v>
      </c>
      <c r="L47" s="21">
        <v>1060</v>
      </c>
      <c r="M47" s="21">
        <v>195</v>
      </c>
      <c r="N47" s="21">
        <v>1300</v>
      </c>
      <c r="O47" s="2" t="s">
        <v>1782</v>
      </c>
      <c r="P47" s="2" t="s">
        <v>1773</v>
      </c>
      <c r="Q47" s="197"/>
      <c r="AA47" s="196"/>
      <c r="AB47" s="71"/>
      <c r="AC47" s="2"/>
      <c r="AD47" s="2"/>
      <c r="AE47" s="2"/>
      <c r="AF47" s="2"/>
      <c r="AG47" s="72"/>
      <c r="AH47" s="72"/>
      <c r="AI47" s="72"/>
      <c r="AJ47" s="72"/>
      <c r="AK47" s="21"/>
      <c r="AL47" s="21"/>
      <c r="AM47" s="21"/>
      <c r="AN47" s="21"/>
      <c r="AO47" s="2"/>
      <c r="AP47" s="2"/>
      <c r="AQ47" s="2"/>
    </row>
    <row r="48" spans="1:43" ht="15" customHeight="1">
      <c r="A48" s="196">
        <v>1021</v>
      </c>
      <c r="B48" s="71">
        <v>44515</v>
      </c>
      <c r="C48" s="2" t="s">
        <v>105</v>
      </c>
      <c r="D48" s="2" t="s">
        <v>110</v>
      </c>
      <c r="E48" s="2">
        <v>4</v>
      </c>
      <c r="F48" s="2">
        <v>7717</v>
      </c>
      <c r="G48" s="72"/>
      <c r="H48" s="72">
        <v>35</v>
      </c>
      <c r="I48" s="72"/>
      <c r="J48" s="72">
        <v>9.6</v>
      </c>
      <c r="K48" s="21">
        <v>200</v>
      </c>
      <c r="L48" s="21">
        <v>1090</v>
      </c>
      <c r="M48" s="21">
        <v>204</v>
      </c>
      <c r="N48" s="21">
        <v>1330</v>
      </c>
      <c r="O48" s="2" t="s">
        <v>1782</v>
      </c>
      <c r="P48" s="2" t="s">
        <v>1773</v>
      </c>
      <c r="Q48" s="197"/>
      <c r="AA48" s="196"/>
      <c r="AB48" s="71"/>
      <c r="AC48" s="2"/>
      <c r="AD48" s="2"/>
      <c r="AE48" s="2"/>
      <c r="AF48" s="2"/>
      <c r="AG48" s="72"/>
      <c r="AH48" s="72"/>
      <c r="AI48" s="72"/>
      <c r="AJ48" s="72"/>
      <c r="AK48" s="21"/>
      <c r="AL48" s="21"/>
      <c r="AM48" s="21"/>
      <c r="AN48" s="21"/>
      <c r="AO48" s="2"/>
      <c r="AP48" s="2"/>
      <c r="AQ48" s="2"/>
    </row>
    <row r="49" spans="1:43" ht="15" customHeight="1">
      <c r="A49" s="196">
        <v>1020</v>
      </c>
      <c r="B49" s="71">
        <v>44508</v>
      </c>
      <c r="C49" s="2" t="s">
        <v>105</v>
      </c>
      <c r="D49" s="2" t="s">
        <v>1656</v>
      </c>
      <c r="E49" s="2">
        <v>5</v>
      </c>
      <c r="F49" s="2">
        <v>751</v>
      </c>
      <c r="G49" s="72"/>
      <c r="H49" s="72">
        <v>45</v>
      </c>
      <c r="I49" s="72"/>
      <c r="J49" s="72">
        <v>8.1999999999999993</v>
      </c>
      <c r="K49" s="21">
        <v>268</v>
      </c>
      <c r="L49" s="21"/>
      <c r="M49" s="21">
        <v>271</v>
      </c>
      <c r="N49" s="21">
        <v>1980</v>
      </c>
      <c r="O49" s="2" t="s">
        <v>1782</v>
      </c>
      <c r="P49" s="2" t="s">
        <v>1773</v>
      </c>
      <c r="Q49" s="197"/>
      <c r="AA49" s="196"/>
      <c r="AB49" s="71"/>
      <c r="AC49" s="2"/>
      <c r="AD49" s="2"/>
      <c r="AE49" s="2"/>
      <c r="AF49" s="2"/>
      <c r="AG49" s="72"/>
      <c r="AH49" s="72"/>
      <c r="AI49" s="72"/>
      <c r="AJ49" s="72"/>
      <c r="AK49" s="21"/>
      <c r="AL49" s="21"/>
      <c r="AM49" s="21"/>
      <c r="AN49" s="21"/>
      <c r="AO49" s="2"/>
      <c r="AP49" s="2"/>
      <c r="AQ49" s="2"/>
    </row>
    <row r="50" spans="1:43" ht="15" customHeight="1">
      <c r="A50" s="196">
        <v>1019</v>
      </c>
      <c r="B50" s="71">
        <v>44508</v>
      </c>
      <c r="C50" s="2" t="s">
        <v>105</v>
      </c>
      <c r="D50" s="2" t="s">
        <v>1657</v>
      </c>
      <c r="E50" s="2">
        <v>5</v>
      </c>
      <c r="F50" s="2">
        <v>751</v>
      </c>
      <c r="G50" s="72"/>
      <c r="H50" s="72">
        <v>45</v>
      </c>
      <c r="I50" s="72"/>
      <c r="J50" s="72">
        <v>9.1999999999999993</v>
      </c>
      <c r="K50" s="21">
        <v>264</v>
      </c>
      <c r="L50" s="21">
        <v>1380</v>
      </c>
      <c r="M50" s="21">
        <v>265</v>
      </c>
      <c r="N50" s="21">
        <v>1750</v>
      </c>
      <c r="O50" s="2" t="s">
        <v>1782</v>
      </c>
      <c r="P50" s="2" t="s">
        <v>1773</v>
      </c>
      <c r="Q50" s="197"/>
      <c r="AA50" s="196"/>
      <c r="AB50" s="71"/>
      <c r="AC50" s="2"/>
      <c r="AD50" s="2"/>
      <c r="AE50" s="2"/>
      <c r="AF50" s="2"/>
      <c r="AG50" s="72"/>
      <c r="AH50" s="72"/>
      <c r="AI50" s="72"/>
      <c r="AJ50" s="72"/>
      <c r="AK50" s="21"/>
      <c r="AL50" s="21"/>
      <c r="AM50" s="21"/>
      <c r="AN50" s="21"/>
      <c r="AO50" s="2"/>
      <c r="AP50" s="2"/>
      <c r="AQ50" s="2"/>
    </row>
    <row r="51" spans="1:43" ht="15" customHeight="1">
      <c r="A51" s="196">
        <v>1018</v>
      </c>
      <c r="B51" s="71">
        <v>44507</v>
      </c>
      <c r="C51" s="2" t="s">
        <v>105</v>
      </c>
      <c r="D51" s="2" t="s">
        <v>1655</v>
      </c>
      <c r="E51" s="2">
        <v>2</v>
      </c>
      <c r="F51" s="2">
        <v>751</v>
      </c>
      <c r="G51" s="72"/>
      <c r="H51" s="72">
        <v>35</v>
      </c>
      <c r="I51" s="72"/>
      <c r="J51" s="72">
        <v>10</v>
      </c>
      <c r="K51" s="21">
        <v>215</v>
      </c>
      <c r="L51" s="21">
        <v>940</v>
      </c>
      <c r="M51" s="21">
        <v>221</v>
      </c>
      <c r="N51" s="21">
        <v>1360</v>
      </c>
      <c r="O51" s="2" t="s">
        <v>1778</v>
      </c>
      <c r="P51" s="2" t="s">
        <v>1773</v>
      </c>
      <c r="Q51" s="197"/>
      <c r="AA51" s="196"/>
      <c r="AB51" s="71"/>
      <c r="AC51" s="2"/>
      <c r="AD51" s="2"/>
      <c r="AE51" s="2"/>
      <c r="AF51" s="2"/>
      <c r="AG51" s="72"/>
      <c r="AH51" s="72"/>
      <c r="AI51" s="72"/>
      <c r="AJ51" s="72"/>
      <c r="AK51" s="21"/>
      <c r="AL51" s="21"/>
      <c r="AM51" s="21"/>
      <c r="AN51" s="21"/>
      <c r="AO51" s="2"/>
      <c r="AP51" s="2"/>
      <c r="AQ51" s="2"/>
    </row>
    <row r="52" spans="1:43" ht="15" customHeight="1">
      <c r="A52" s="196">
        <v>1017</v>
      </c>
      <c r="B52" s="71">
        <v>44506</v>
      </c>
      <c r="C52" s="2" t="s">
        <v>105</v>
      </c>
      <c r="D52" s="2" t="s">
        <v>1657</v>
      </c>
      <c r="E52" s="2">
        <v>5</v>
      </c>
      <c r="F52" s="2">
        <v>751</v>
      </c>
      <c r="G52" s="72"/>
      <c r="H52" s="72">
        <v>45</v>
      </c>
      <c r="I52" s="72"/>
      <c r="J52" s="72">
        <v>9</v>
      </c>
      <c r="K52" s="21">
        <v>264</v>
      </c>
      <c r="L52" s="21">
        <v>1385</v>
      </c>
      <c r="M52" s="21">
        <v>265</v>
      </c>
      <c r="N52" s="21">
        <v>1760</v>
      </c>
      <c r="O52" s="2" t="s">
        <v>1778</v>
      </c>
      <c r="P52" s="2" t="s">
        <v>1773</v>
      </c>
      <c r="Q52" s="197"/>
      <c r="AA52" s="196"/>
      <c r="AB52" s="71"/>
      <c r="AC52" s="2"/>
      <c r="AD52" s="2"/>
      <c r="AE52" s="2"/>
      <c r="AF52" s="2"/>
      <c r="AG52" s="72"/>
      <c r="AH52" s="72"/>
      <c r="AI52" s="72"/>
      <c r="AJ52" s="72"/>
      <c r="AK52" s="21"/>
      <c r="AL52" s="21"/>
      <c r="AM52" s="21"/>
      <c r="AN52" s="21"/>
      <c r="AO52" s="2"/>
      <c r="AP52" s="2"/>
      <c r="AQ52" s="2"/>
    </row>
    <row r="53" spans="1:43" ht="15" customHeight="1">
      <c r="A53" s="196">
        <v>1016</v>
      </c>
      <c r="B53" s="71">
        <v>44506</v>
      </c>
      <c r="C53" s="2" t="s">
        <v>105</v>
      </c>
      <c r="D53" s="2" t="s">
        <v>1655</v>
      </c>
      <c r="E53" s="2">
        <v>2</v>
      </c>
      <c r="F53" s="2">
        <v>751</v>
      </c>
      <c r="G53" s="72"/>
      <c r="H53" s="72">
        <v>35</v>
      </c>
      <c r="I53" s="72"/>
      <c r="J53" s="72">
        <v>10.6</v>
      </c>
      <c r="K53" s="21">
        <v>214</v>
      </c>
      <c r="L53" s="21">
        <v>950</v>
      </c>
      <c r="M53" s="21">
        <v>220</v>
      </c>
      <c r="N53" s="21">
        <v>1320</v>
      </c>
      <c r="O53" s="2" t="s">
        <v>1514</v>
      </c>
      <c r="P53" s="2" t="s">
        <v>1773</v>
      </c>
      <c r="Q53" s="197"/>
      <c r="AA53" s="196"/>
      <c r="AB53" s="71"/>
      <c r="AC53" s="2"/>
      <c r="AD53" s="2"/>
      <c r="AE53" s="2"/>
      <c r="AF53" s="2"/>
      <c r="AG53" s="72"/>
      <c r="AH53" s="72"/>
      <c r="AI53" s="72"/>
      <c r="AJ53" s="72"/>
      <c r="AK53" s="21"/>
      <c r="AL53" s="21"/>
      <c r="AM53" s="21"/>
      <c r="AN53" s="21"/>
      <c r="AO53" s="2"/>
      <c r="AP53" s="2"/>
      <c r="AQ53" s="2"/>
    </row>
    <row r="54" spans="1:43" ht="15" customHeight="1">
      <c r="A54" s="196">
        <v>1015</v>
      </c>
      <c r="B54" s="71">
        <v>44504</v>
      </c>
      <c r="C54" s="2" t="s">
        <v>105</v>
      </c>
      <c r="D54" s="2" t="s">
        <v>1655</v>
      </c>
      <c r="E54" s="2">
        <v>2</v>
      </c>
      <c r="F54" s="2">
        <v>751</v>
      </c>
      <c r="G54" s="72"/>
      <c r="H54" s="72">
        <v>35</v>
      </c>
      <c r="I54" s="72"/>
      <c r="J54" s="72">
        <v>10.1</v>
      </c>
      <c r="K54" s="21">
        <v>214</v>
      </c>
      <c r="L54" s="21">
        <v>906</v>
      </c>
      <c r="M54" s="21">
        <v>220</v>
      </c>
      <c r="N54" s="21">
        <v>1300</v>
      </c>
      <c r="O54" s="2" t="s">
        <v>1514</v>
      </c>
      <c r="P54" s="2" t="s">
        <v>1447</v>
      </c>
      <c r="Q54" s="197"/>
      <c r="AA54" s="196"/>
      <c r="AB54" s="71"/>
      <c r="AC54" s="2"/>
      <c r="AD54" s="2"/>
      <c r="AE54" s="2"/>
      <c r="AF54" s="2"/>
      <c r="AG54" s="72"/>
      <c r="AH54" s="72"/>
      <c r="AI54" s="72"/>
      <c r="AJ54" s="72"/>
      <c r="AK54" s="21"/>
      <c r="AL54" s="21"/>
      <c r="AM54" s="21"/>
      <c r="AN54" s="21"/>
      <c r="AO54" s="2"/>
      <c r="AP54" s="2"/>
      <c r="AQ54" s="2"/>
    </row>
    <row r="55" spans="1:43" ht="15" customHeight="1">
      <c r="A55" s="196">
        <v>1014</v>
      </c>
      <c r="B55" s="71">
        <v>44504</v>
      </c>
      <c r="C55" s="2" t="s">
        <v>105</v>
      </c>
      <c r="D55" s="2" t="s">
        <v>1656</v>
      </c>
      <c r="E55" s="2">
        <v>5</v>
      </c>
      <c r="F55" s="2">
        <v>751</v>
      </c>
      <c r="G55" s="72"/>
      <c r="H55" s="72">
        <v>45</v>
      </c>
      <c r="I55" s="72"/>
      <c r="J55" s="72">
        <v>8.35</v>
      </c>
      <c r="K55" s="21">
        <v>267</v>
      </c>
      <c r="L55" s="21"/>
      <c r="M55" s="21">
        <v>270</v>
      </c>
      <c r="N55" s="21">
        <v>1900</v>
      </c>
      <c r="O55" s="2" t="s">
        <v>1514</v>
      </c>
      <c r="P55" s="2" t="s">
        <v>1447</v>
      </c>
      <c r="Q55" s="197"/>
      <c r="AA55" s="196"/>
      <c r="AB55" s="71"/>
      <c r="AC55" s="2"/>
      <c r="AD55" s="2"/>
      <c r="AE55" s="2"/>
      <c r="AF55" s="2"/>
      <c r="AG55" s="72"/>
      <c r="AH55" s="72"/>
      <c r="AI55" s="72"/>
      <c r="AJ55" s="72"/>
      <c r="AK55" s="21"/>
      <c r="AL55" s="21"/>
      <c r="AM55" s="21"/>
      <c r="AN55" s="21"/>
      <c r="AO55" s="2"/>
      <c r="AP55" s="2"/>
      <c r="AQ55" s="2"/>
    </row>
    <row r="56" spans="1:43" ht="15" customHeight="1">
      <c r="A56" s="196">
        <v>1013</v>
      </c>
      <c r="B56" s="71">
        <v>44500</v>
      </c>
      <c r="C56" s="2" t="s">
        <v>105</v>
      </c>
      <c r="D56" s="2" t="s">
        <v>1823</v>
      </c>
      <c r="E56" s="2">
        <v>5</v>
      </c>
      <c r="F56" s="2">
        <v>7716</v>
      </c>
      <c r="G56" s="72"/>
      <c r="H56" s="72">
        <v>42.5</v>
      </c>
      <c r="I56" s="72"/>
      <c r="J56" s="72">
        <v>7.3</v>
      </c>
      <c r="K56" s="21">
        <v>294</v>
      </c>
      <c r="L56" s="21">
        <v>1625</v>
      </c>
      <c r="M56" s="21">
        <v>295</v>
      </c>
      <c r="N56" s="21">
        <v>2185</v>
      </c>
      <c r="O56" s="2" t="s">
        <v>1824</v>
      </c>
      <c r="P56" s="2" t="s">
        <v>1447</v>
      </c>
      <c r="Q56" s="197"/>
      <c r="AA56" s="196"/>
      <c r="AB56" s="71"/>
      <c r="AC56" s="2"/>
      <c r="AD56" s="2"/>
      <c r="AE56" s="2"/>
      <c r="AF56" s="2"/>
      <c r="AG56" s="72"/>
      <c r="AH56" s="72"/>
      <c r="AI56" s="72"/>
      <c r="AJ56" s="72"/>
      <c r="AK56" s="21"/>
      <c r="AL56" s="21"/>
      <c r="AM56" s="21"/>
      <c r="AN56" s="21"/>
      <c r="AO56" s="2"/>
      <c r="AP56" s="2"/>
      <c r="AQ56" s="2"/>
    </row>
    <row r="57" spans="1:43" ht="15" customHeight="1">
      <c r="A57" s="196">
        <v>1012</v>
      </c>
      <c r="B57" s="71">
        <v>44500</v>
      </c>
      <c r="C57" s="2" t="s">
        <v>36</v>
      </c>
      <c r="D57" s="2" t="s">
        <v>1823</v>
      </c>
      <c r="E57" s="2">
        <v>5</v>
      </c>
      <c r="F57" s="2">
        <v>7716</v>
      </c>
      <c r="G57" s="72"/>
      <c r="H57" s="72">
        <v>42.5</v>
      </c>
      <c r="I57" s="72"/>
      <c r="J57" s="72">
        <v>7.2</v>
      </c>
      <c r="K57" s="21">
        <v>294</v>
      </c>
      <c r="L57" s="21">
        <v>1615</v>
      </c>
      <c r="M57" s="21">
        <v>294</v>
      </c>
      <c r="N57" s="21">
        <v>2170</v>
      </c>
      <c r="O57" s="2" t="s">
        <v>1824</v>
      </c>
      <c r="P57" s="2" t="s">
        <v>1447</v>
      </c>
      <c r="Q57" s="197"/>
      <c r="AA57" s="196"/>
      <c r="AB57" s="71"/>
      <c r="AC57" s="2"/>
      <c r="AD57" s="2"/>
      <c r="AE57" s="2"/>
      <c r="AF57" s="2"/>
      <c r="AG57" s="72"/>
      <c r="AH57" s="72"/>
      <c r="AI57" s="72"/>
      <c r="AJ57" s="72"/>
      <c r="AK57" s="21"/>
      <c r="AL57" s="21"/>
      <c r="AM57" s="21"/>
      <c r="AN57" s="21"/>
      <c r="AO57" s="2"/>
      <c r="AP57" s="2"/>
      <c r="AQ57" s="2"/>
    </row>
    <row r="58" spans="1:43" ht="15" customHeight="1">
      <c r="A58" s="196">
        <v>1011</v>
      </c>
      <c r="B58" s="71">
        <v>44499</v>
      </c>
      <c r="C58" s="2" t="s">
        <v>38</v>
      </c>
      <c r="D58" s="2" t="s">
        <v>1823</v>
      </c>
      <c r="E58" s="2">
        <v>5</v>
      </c>
      <c r="F58" s="2">
        <v>7716</v>
      </c>
      <c r="G58" s="72"/>
      <c r="H58" s="72">
        <v>42.5</v>
      </c>
      <c r="I58" s="72"/>
      <c r="J58" s="72">
        <v>7.15</v>
      </c>
      <c r="K58" s="21">
        <v>294</v>
      </c>
      <c r="L58" s="21">
        <v>1610</v>
      </c>
      <c r="M58" s="21">
        <v>25</v>
      </c>
      <c r="N58" s="21">
        <v>2180</v>
      </c>
      <c r="O58" s="2" t="s">
        <v>1824</v>
      </c>
      <c r="P58" s="2" t="s">
        <v>1447</v>
      </c>
      <c r="Q58" s="197"/>
      <c r="AA58" s="196"/>
      <c r="AB58" s="71"/>
      <c r="AC58" s="2"/>
      <c r="AD58" s="2"/>
      <c r="AE58" s="2"/>
      <c r="AF58" s="2"/>
      <c r="AG58" s="72"/>
      <c r="AH58" s="72"/>
      <c r="AI58" s="72"/>
      <c r="AJ58" s="72"/>
      <c r="AK58" s="21"/>
      <c r="AL58" s="21"/>
      <c r="AM58" s="21"/>
      <c r="AN58" s="21"/>
      <c r="AO58" s="2"/>
      <c r="AP58" s="2"/>
      <c r="AQ58" s="2"/>
    </row>
    <row r="59" spans="1:43" ht="15" customHeight="1">
      <c r="A59" s="196">
        <v>1010</v>
      </c>
      <c r="B59" s="71">
        <v>44498</v>
      </c>
      <c r="C59" s="2" t="s">
        <v>105</v>
      </c>
      <c r="D59" s="2" t="s">
        <v>1825</v>
      </c>
      <c r="E59" s="2">
        <v>4</v>
      </c>
      <c r="F59" s="2">
        <v>7718</v>
      </c>
      <c r="G59" s="72"/>
      <c r="H59" s="72">
        <v>45</v>
      </c>
      <c r="I59" s="72"/>
      <c r="J59" s="72">
        <v>9.5</v>
      </c>
      <c r="K59" s="21">
        <v>249</v>
      </c>
      <c r="L59" s="21">
        <v>1301</v>
      </c>
      <c r="M59" s="21">
        <v>250</v>
      </c>
      <c r="N59" s="21">
        <v>1730</v>
      </c>
      <c r="O59" s="2" t="s">
        <v>1824</v>
      </c>
      <c r="P59" s="2" t="s">
        <v>1447</v>
      </c>
      <c r="Q59" s="197"/>
      <c r="AA59" s="196"/>
      <c r="AB59" s="71"/>
      <c r="AC59" s="2"/>
      <c r="AD59" s="2"/>
      <c r="AE59" s="2"/>
      <c r="AF59" s="2"/>
      <c r="AG59" s="72"/>
      <c r="AH59" s="72"/>
      <c r="AI59" s="72"/>
      <c r="AJ59" s="72"/>
      <c r="AK59" s="21"/>
      <c r="AL59" s="21"/>
      <c r="AM59" s="21"/>
      <c r="AN59" s="21"/>
      <c r="AO59" s="2"/>
      <c r="AP59" s="2"/>
      <c r="AQ59" s="2"/>
    </row>
    <row r="60" spans="1:43" ht="15" customHeight="1">
      <c r="A60" s="196">
        <v>1009</v>
      </c>
      <c r="B60" s="71">
        <v>44497</v>
      </c>
      <c r="C60" s="2" t="s">
        <v>36</v>
      </c>
      <c r="D60" s="2" t="s">
        <v>1825</v>
      </c>
      <c r="E60" s="2">
        <v>4</v>
      </c>
      <c r="F60" s="2">
        <v>7718</v>
      </c>
      <c r="G60" s="72"/>
      <c r="H60" s="72">
        <v>45</v>
      </c>
      <c r="I60" s="72"/>
      <c r="J60" s="72">
        <v>9.6999999999999993</v>
      </c>
      <c r="K60" s="21">
        <v>249</v>
      </c>
      <c r="L60" s="21">
        <v>1301</v>
      </c>
      <c r="M60" s="21">
        <v>250</v>
      </c>
      <c r="N60" s="21">
        <v>1670</v>
      </c>
      <c r="O60" s="2" t="s">
        <v>1824</v>
      </c>
      <c r="P60" s="2" t="s">
        <v>1447</v>
      </c>
      <c r="Q60" s="197"/>
      <c r="AA60" s="196"/>
      <c r="AB60" s="71"/>
      <c r="AC60" s="2"/>
      <c r="AD60" s="2"/>
      <c r="AE60" s="2"/>
      <c r="AF60" s="2"/>
      <c r="AG60" s="72"/>
      <c r="AH60" s="72"/>
      <c r="AI60" s="72"/>
      <c r="AJ60" s="72"/>
      <c r="AK60" s="21"/>
      <c r="AL60" s="21"/>
      <c r="AM60" s="21"/>
      <c r="AN60" s="21"/>
      <c r="AO60" s="2"/>
      <c r="AP60" s="2"/>
      <c r="AQ60" s="2"/>
    </row>
    <row r="61" spans="1:43" ht="15" customHeight="1">
      <c r="A61" s="196">
        <v>1008</v>
      </c>
      <c r="B61" s="71">
        <v>44496</v>
      </c>
      <c r="C61" s="2" t="s">
        <v>105</v>
      </c>
      <c r="D61" s="2" t="s">
        <v>1825</v>
      </c>
      <c r="E61" s="2">
        <v>4</v>
      </c>
      <c r="F61" s="2">
        <v>7718</v>
      </c>
      <c r="G61" s="72"/>
      <c r="H61" s="72">
        <v>45</v>
      </c>
      <c r="I61" s="72"/>
      <c r="J61" s="72">
        <v>9.8000000000000007</v>
      </c>
      <c r="K61" s="21">
        <v>249</v>
      </c>
      <c r="L61" s="21"/>
      <c r="M61" s="21">
        <v>250</v>
      </c>
      <c r="N61" s="21">
        <v>1690</v>
      </c>
      <c r="O61" s="2" t="s">
        <v>1824</v>
      </c>
      <c r="P61" s="2" t="s">
        <v>1447</v>
      </c>
      <c r="Q61" s="197"/>
      <c r="AA61" s="196"/>
      <c r="AB61" s="71"/>
      <c r="AC61" s="2"/>
      <c r="AD61" s="2"/>
      <c r="AE61" s="2"/>
      <c r="AF61" s="2"/>
      <c r="AG61" s="72"/>
      <c r="AH61" s="72"/>
      <c r="AI61" s="72"/>
      <c r="AJ61" s="72"/>
      <c r="AK61" s="21"/>
      <c r="AL61" s="21"/>
      <c r="AM61" s="21"/>
      <c r="AN61" s="21"/>
      <c r="AO61" s="2"/>
      <c r="AP61" s="2"/>
      <c r="AQ61" s="2"/>
    </row>
    <row r="62" spans="1:43" ht="15" customHeight="1">
      <c r="A62" s="196">
        <v>1007</v>
      </c>
      <c r="B62" s="71">
        <v>44495</v>
      </c>
      <c r="C62" s="2" t="s">
        <v>38</v>
      </c>
      <c r="D62" s="2" t="s">
        <v>467</v>
      </c>
      <c r="E62" s="2">
        <v>5</v>
      </c>
      <c r="F62" s="2">
        <v>751</v>
      </c>
      <c r="G62" s="72"/>
      <c r="H62" s="72">
        <v>45</v>
      </c>
      <c r="I62" s="72"/>
      <c r="J62" s="72">
        <v>6.9</v>
      </c>
      <c r="K62" s="21">
        <v>280</v>
      </c>
      <c r="L62" s="21">
        <v>1900</v>
      </c>
      <c r="M62" s="21">
        <v>281</v>
      </c>
      <c r="N62" s="21">
        <v>2210</v>
      </c>
      <c r="O62" s="2" t="s">
        <v>1782</v>
      </c>
      <c r="P62" s="2" t="s">
        <v>1773</v>
      </c>
      <c r="Q62" s="197"/>
      <c r="AA62" s="196"/>
      <c r="AB62" s="71"/>
      <c r="AC62" s="2"/>
      <c r="AD62" s="2"/>
      <c r="AE62" s="2"/>
      <c r="AF62" s="2"/>
      <c r="AG62" s="72"/>
      <c r="AH62" s="72"/>
      <c r="AI62" s="72"/>
      <c r="AJ62" s="72"/>
      <c r="AK62" s="21"/>
      <c r="AL62" s="21"/>
      <c r="AM62" s="21"/>
      <c r="AN62" s="21"/>
      <c r="AO62" s="2"/>
      <c r="AP62" s="2"/>
      <c r="AQ62" s="2"/>
    </row>
    <row r="63" spans="1:43" ht="15" customHeight="1">
      <c r="A63" s="196">
        <v>1006</v>
      </c>
      <c r="B63" s="71">
        <v>44495</v>
      </c>
      <c r="C63" s="2" t="s">
        <v>36</v>
      </c>
      <c r="D63" s="2" t="s">
        <v>467</v>
      </c>
      <c r="E63" s="2">
        <v>5</v>
      </c>
      <c r="F63" s="2">
        <v>751</v>
      </c>
      <c r="G63" s="72"/>
      <c r="H63" s="72">
        <v>45</v>
      </c>
      <c r="I63" s="72"/>
      <c r="J63" s="72">
        <v>6.7</v>
      </c>
      <c r="K63" s="21">
        <v>280</v>
      </c>
      <c r="L63" s="21">
        <v>1920</v>
      </c>
      <c r="M63" s="21">
        <v>281</v>
      </c>
      <c r="N63" s="21">
        <v>2235</v>
      </c>
      <c r="O63" s="2" t="s">
        <v>1782</v>
      </c>
      <c r="P63" s="2" t="s">
        <v>1447</v>
      </c>
      <c r="Q63" s="197"/>
      <c r="AA63" s="196"/>
      <c r="AB63" s="74"/>
      <c r="AC63" s="73"/>
      <c r="AD63" s="73"/>
      <c r="AE63" s="73"/>
      <c r="AF63" s="73"/>
      <c r="AG63" s="75"/>
      <c r="AH63" s="75"/>
      <c r="AI63" s="75"/>
      <c r="AJ63" s="75"/>
      <c r="AK63" s="76"/>
      <c r="AL63" s="76"/>
      <c r="AM63" s="76"/>
      <c r="AN63" s="76"/>
      <c r="AO63" s="73"/>
      <c r="AP63" s="73"/>
      <c r="AQ63" s="73"/>
    </row>
    <row r="64" spans="1:43" ht="15" customHeight="1">
      <c r="A64" s="196">
        <v>1005</v>
      </c>
      <c r="B64" s="71">
        <v>44494</v>
      </c>
      <c r="C64" s="2" t="s">
        <v>105</v>
      </c>
      <c r="D64" s="2" t="s">
        <v>1797</v>
      </c>
      <c r="E64" s="2">
        <v>2</v>
      </c>
      <c r="F64" s="2">
        <v>751</v>
      </c>
      <c r="G64" s="72"/>
      <c r="H64" s="72">
        <v>35</v>
      </c>
      <c r="I64" s="72"/>
      <c r="J64" s="72">
        <v>7.75</v>
      </c>
      <c r="K64" s="21">
        <v>237</v>
      </c>
      <c r="L64" s="21">
        <v>1275</v>
      </c>
      <c r="M64" s="21">
        <v>241</v>
      </c>
      <c r="N64" s="21">
        <v>1620</v>
      </c>
      <c r="O64" s="2" t="s">
        <v>1782</v>
      </c>
      <c r="P64" s="2" t="s">
        <v>1447</v>
      </c>
      <c r="Q64" s="197"/>
      <c r="AA64" s="196"/>
      <c r="AB64" s="71"/>
      <c r="AC64" s="2"/>
      <c r="AD64" s="2"/>
      <c r="AE64" s="2"/>
      <c r="AF64" s="2"/>
      <c r="AG64" s="72"/>
      <c r="AH64" s="72"/>
      <c r="AI64" s="72"/>
      <c r="AJ64" s="72"/>
      <c r="AK64" s="21"/>
      <c r="AL64" s="21"/>
      <c r="AM64" s="21"/>
      <c r="AN64" s="21"/>
      <c r="AO64" s="2"/>
      <c r="AP64" s="2"/>
      <c r="AQ64" s="197"/>
    </row>
    <row r="65" spans="1:43" ht="15" customHeight="1">
      <c r="A65" s="196">
        <v>1004</v>
      </c>
      <c r="B65" s="71">
        <v>44494</v>
      </c>
      <c r="C65" s="2" t="s">
        <v>105</v>
      </c>
      <c r="D65" s="2" t="s">
        <v>1623</v>
      </c>
      <c r="E65" s="2">
        <v>0</v>
      </c>
      <c r="F65" s="2" t="s">
        <v>1826</v>
      </c>
      <c r="G65" s="72">
        <v>15</v>
      </c>
      <c r="H65" s="72">
        <v>22</v>
      </c>
      <c r="I65" s="72"/>
      <c r="J65" s="72">
        <v>12.8</v>
      </c>
      <c r="K65" s="21">
        <v>175</v>
      </c>
      <c r="L65" s="21">
        <v>500</v>
      </c>
      <c r="M65" s="21">
        <v>184</v>
      </c>
      <c r="N65" s="21"/>
      <c r="O65" s="2" t="s">
        <v>1782</v>
      </c>
      <c r="P65" s="2" t="s">
        <v>1447</v>
      </c>
      <c r="Q65" s="197" t="s">
        <v>1155</v>
      </c>
      <c r="AA65" s="196"/>
      <c r="AB65" s="71"/>
      <c r="AC65" s="2"/>
      <c r="AD65" s="2"/>
      <c r="AE65" s="2"/>
      <c r="AF65" s="2"/>
      <c r="AG65" s="72"/>
      <c r="AH65" s="72"/>
      <c r="AI65" s="72"/>
      <c r="AJ65" s="72"/>
      <c r="AK65" s="21"/>
      <c r="AL65" s="21"/>
      <c r="AM65" s="21"/>
      <c r="AN65" s="21"/>
      <c r="AO65" s="2"/>
      <c r="AP65" s="2"/>
      <c r="AQ65" s="197"/>
    </row>
    <row r="66" spans="1:43" ht="15" customHeight="1">
      <c r="A66" s="196">
        <v>1003</v>
      </c>
      <c r="B66" s="71">
        <v>44492</v>
      </c>
      <c r="C66" s="2" t="s">
        <v>38</v>
      </c>
      <c r="D66" s="2" t="s">
        <v>457</v>
      </c>
      <c r="E66" s="2">
        <v>5</v>
      </c>
      <c r="F66" s="2">
        <v>751</v>
      </c>
      <c r="G66" s="72"/>
      <c r="H66" s="72">
        <v>45</v>
      </c>
      <c r="I66" s="72"/>
      <c r="J66" s="72">
        <v>8.35</v>
      </c>
      <c r="K66" s="21">
        <v>269</v>
      </c>
      <c r="L66" s="21">
        <v>1550</v>
      </c>
      <c r="M66" s="21">
        <v>270</v>
      </c>
      <c r="N66" s="21">
        <v>1900</v>
      </c>
      <c r="O66" s="2" t="s">
        <v>1782</v>
      </c>
      <c r="P66" s="2" t="s">
        <v>1773</v>
      </c>
      <c r="Q66" s="197"/>
      <c r="AA66" s="196"/>
      <c r="AB66" s="71"/>
      <c r="AC66" s="2"/>
      <c r="AD66" s="2"/>
      <c r="AE66" s="2"/>
      <c r="AF66" s="2"/>
      <c r="AG66" s="72"/>
      <c r="AH66" s="72"/>
      <c r="AI66" s="72"/>
      <c r="AJ66" s="72"/>
      <c r="AK66" s="21"/>
      <c r="AL66" s="21"/>
      <c r="AM66" s="21"/>
      <c r="AN66" s="21"/>
      <c r="AO66" s="2"/>
      <c r="AP66" s="2"/>
      <c r="AQ66" s="197"/>
    </row>
    <row r="67" spans="1:43" ht="15" customHeight="1">
      <c r="A67" s="196">
        <v>1002</v>
      </c>
      <c r="B67" s="71">
        <v>44491</v>
      </c>
      <c r="C67" s="2" t="s">
        <v>38</v>
      </c>
      <c r="D67" s="2" t="s">
        <v>1623</v>
      </c>
      <c r="E67" s="2">
        <v>0</v>
      </c>
      <c r="F67" s="2" t="s">
        <v>1826</v>
      </c>
      <c r="G67" s="72">
        <v>15</v>
      </c>
      <c r="H67" s="72">
        <v>22</v>
      </c>
      <c r="I67" s="72"/>
      <c r="J67" s="72">
        <v>12</v>
      </c>
      <c r="K67" s="21">
        <v>175</v>
      </c>
      <c r="L67" s="21">
        <v>675</v>
      </c>
      <c r="M67" s="21">
        <v>185</v>
      </c>
      <c r="N67" s="21"/>
      <c r="O67" s="2" t="s">
        <v>1782</v>
      </c>
      <c r="P67" s="2" t="s">
        <v>1447</v>
      </c>
      <c r="Q67" s="197"/>
      <c r="AA67" s="196"/>
      <c r="AB67" s="71"/>
      <c r="AC67" s="2"/>
      <c r="AD67" s="2"/>
      <c r="AE67" s="2"/>
      <c r="AF67" s="2"/>
      <c r="AG67" s="72"/>
      <c r="AH67" s="72"/>
      <c r="AI67" s="72"/>
      <c r="AJ67" s="72"/>
      <c r="AK67" s="21"/>
      <c r="AL67" s="21"/>
      <c r="AM67" s="21"/>
      <c r="AN67" s="21"/>
      <c r="AO67" s="2"/>
      <c r="AP67" s="2"/>
      <c r="AQ67" s="197"/>
    </row>
    <row r="68" spans="1:43" ht="15" customHeight="1">
      <c r="A68" s="196">
        <v>1001</v>
      </c>
      <c r="B68" s="71">
        <v>44490</v>
      </c>
      <c r="C68" s="2" t="s">
        <v>38</v>
      </c>
      <c r="D68" s="2" t="s">
        <v>129</v>
      </c>
      <c r="E68" s="2">
        <v>5</v>
      </c>
      <c r="F68" s="2"/>
      <c r="G68" s="72"/>
      <c r="H68" s="72">
        <v>42.5</v>
      </c>
      <c r="I68" s="72"/>
      <c r="J68" s="72">
        <v>8.8000000000000007</v>
      </c>
      <c r="K68" s="21">
        <v>261</v>
      </c>
      <c r="L68" s="21">
        <v>1370</v>
      </c>
      <c r="M68" s="21">
        <v>261</v>
      </c>
      <c r="N68" s="21">
        <v>1676</v>
      </c>
      <c r="O68" s="2" t="s">
        <v>1782</v>
      </c>
      <c r="P68" s="2" t="s">
        <v>1783</v>
      </c>
      <c r="Q68" s="197"/>
      <c r="AA68" s="196"/>
      <c r="AB68" s="71"/>
      <c r="AC68" s="2"/>
      <c r="AD68" s="2"/>
      <c r="AE68" s="2"/>
      <c r="AF68" s="2"/>
      <c r="AG68" s="72"/>
      <c r="AH68" s="72"/>
      <c r="AI68" s="72"/>
      <c r="AJ68" s="72"/>
      <c r="AK68" s="21"/>
      <c r="AL68" s="21"/>
      <c r="AM68" s="21"/>
      <c r="AN68" s="21"/>
      <c r="AO68" s="2"/>
      <c r="AP68" s="2"/>
      <c r="AQ68" s="197"/>
    </row>
    <row r="69" spans="1:43" ht="15" customHeight="1">
      <c r="A69" s="196">
        <v>1000</v>
      </c>
      <c r="B69" s="71">
        <v>44490</v>
      </c>
      <c r="C69" s="2" t="s">
        <v>38</v>
      </c>
      <c r="D69" s="2" t="s">
        <v>467</v>
      </c>
      <c r="E69" s="2">
        <v>5</v>
      </c>
      <c r="F69" s="2">
        <v>751</v>
      </c>
      <c r="G69" s="72"/>
      <c r="H69" s="72">
        <v>45</v>
      </c>
      <c r="I69" s="72"/>
      <c r="J69" s="72">
        <v>7</v>
      </c>
      <c r="K69" s="21">
        <v>280</v>
      </c>
      <c r="L69" s="21">
        <v>1900</v>
      </c>
      <c r="M69" s="21">
        <v>278</v>
      </c>
      <c r="N69" s="21">
        <v>2210</v>
      </c>
      <c r="O69" s="2" t="s">
        <v>1782</v>
      </c>
      <c r="P69" s="2" t="s">
        <v>1447</v>
      </c>
      <c r="Q69" s="197"/>
      <c r="AA69" s="196"/>
      <c r="AB69" s="71"/>
      <c r="AC69" s="2"/>
      <c r="AD69" s="2"/>
      <c r="AE69" s="2"/>
      <c r="AF69" s="2"/>
      <c r="AG69" s="72"/>
      <c r="AH69" s="72"/>
      <c r="AI69" s="72"/>
      <c r="AJ69" s="72"/>
      <c r="AK69" s="21"/>
      <c r="AL69" s="21"/>
      <c r="AM69" s="21"/>
      <c r="AN69" s="21"/>
      <c r="AO69" s="2"/>
      <c r="AP69" s="2"/>
      <c r="AQ69" s="197"/>
    </row>
    <row r="70" spans="1:43" ht="15" customHeight="1">
      <c r="A70" s="196">
        <v>999</v>
      </c>
      <c r="B70" s="71">
        <v>44489</v>
      </c>
      <c r="C70" s="2" t="s">
        <v>105</v>
      </c>
      <c r="D70" s="2" t="s">
        <v>467</v>
      </c>
      <c r="E70" s="2">
        <v>5</v>
      </c>
      <c r="F70" s="2">
        <v>751</v>
      </c>
      <c r="G70" s="72"/>
      <c r="H70" s="72">
        <v>45</v>
      </c>
      <c r="I70" s="72"/>
      <c r="J70" s="72">
        <v>6.8</v>
      </c>
      <c r="K70" s="21">
        <v>280</v>
      </c>
      <c r="L70" s="21">
        <v>1820</v>
      </c>
      <c r="M70" s="21">
        <v>278</v>
      </c>
      <c r="N70" s="21"/>
      <c r="O70" s="2" t="s">
        <v>1778</v>
      </c>
      <c r="P70" s="2" t="s">
        <v>1447</v>
      </c>
      <c r="Q70" s="197"/>
      <c r="AA70" s="196"/>
      <c r="AB70" s="71"/>
      <c r="AC70" s="2"/>
      <c r="AD70" s="2"/>
      <c r="AE70" s="2"/>
      <c r="AF70" s="2"/>
      <c r="AG70" s="72"/>
      <c r="AH70" s="72"/>
      <c r="AI70" s="72"/>
      <c r="AJ70" s="72"/>
      <c r="AK70" s="21"/>
      <c r="AL70" s="21"/>
      <c r="AM70" s="21"/>
      <c r="AN70" s="21"/>
      <c r="AO70" s="2"/>
      <c r="AP70" s="2"/>
      <c r="AQ70" s="197"/>
    </row>
    <row r="71" spans="1:43" ht="15" customHeight="1">
      <c r="A71" s="196">
        <v>998</v>
      </c>
      <c r="B71" s="71">
        <v>44489</v>
      </c>
      <c r="C71" s="2" t="s">
        <v>105</v>
      </c>
      <c r="D71" s="2" t="s">
        <v>1780</v>
      </c>
      <c r="E71" s="2">
        <v>3</v>
      </c>
      <c r="F71" s="2">
        <v>7718</v>
      </c>
      <c r="G71" s="72"/>
      <c r="H71" s="72">
        <v>42.5</v>
      </c>
      <c r="I71" s="72"/>
      <c r="J71" s="72">
        <v>9.6</v>
      </c>
      <c r="K71" s="21">
        <v>204</v>
      </c>
      <c r="L71" s="21">
        <v>1245</v>
      </c>
      <c r="M71" s="21">
        <v>204</v>
      </c>
      <c r="N71" s="21">
        <v>1630</v>
      </c>
      <c r="O71" s="2" t="s">
        <v>1778</v>
      </c>
      <c r="P71" s="2" t="s">
        <v>1447</v>
      </c>
      <c r="Q71" s="197"/>
      <c r="AA71" s="196"/>
      <c r="AB71" s="71"/>
      <c r="AC71" s="2"/>
      <c r="AD71" s="2"/>
      <c r="AE71" s="2"/>
      <c r="AF71" s="2"/>
      <c r="AG71" s="72"/>
      <c r="AH71" s="72"/>
      <c r="AI71" s="72"/>
      <c r="AJ71" s="72"/>
      <c r="AK71" s="21"/>
      <c r="AL71" s="21"/>
      <c r="AM71" s="21"/>
      <c r="AN71" s="21"/>
      <c r="AO71" s="2"/>
      <c r="AP71" s="2"/>
      <c r="AQ71" s="197"/>
    </row>
    <row r="72" spans="1:43" ht="15" customHeight="1">
      <c r="A72" s="196">
        <v>997</v>
      </c>
      <c r="B72" s="71">
        <v>44489</v>
      </c>
      <c r="C72" s="2" t="s">
        <v>38</v>
      </c>
      <c r="D72" s="2" t="s">
        <v>1779</v>
      </c>
      <c r="E72" s="2">
        <v>3</v>
      </c>
      <c r="F72" s="2">
        <v>7718</v>
      </c>
      <c r="G72" s="72"/>
      <c r="H72" s="72">
        <v>42.5</v>
      </c>
      <c r="I72" s="72"/>
      <c r="J72" s="72">
        <v>9.6</v>
      </c>
      <c r="K72" s="21">
        <v>202</v>
      </c>
      <c r="L72" s="21">
        <v>1230</v>
      </c>
      <c r="M72" s="21">
        <v>204</v>
      </c>
      <c r="N72" s="21">
        <v>1610</v>
      </c>
      <c r="O72" s="2" t="s">
        <v>1778</v>
      </c>
      <c r="P72" s="2" t="s">
        <v>1447</v>
      </c>
      <c r="Q72" s="197"/>
      <c r="AA72" s="196"/>
      <c r="AB72" s="71"/>
      <c r="AC72" s="2"/>
      <c r="AD72" s="2"/>
      <c r="AE72" s="2"/>
      <c r="AF72" s="2"/>
      <c r="AG72" s="72"/>
      <c r="AH72" s="72"/>
      <c r="AI72" s="72"/>
      <c r="AJ72" s="72"/>
      <c r="AK72" s="21"/>
      <c r="AL72" s="21"/>
      <c r="AM72" s="21"/>
      <c r="AN72" s="21"/>
      <c r="AO72" s="2"/>
      <c r="AP72" s="2"/>
      <c r="AQ72" s="197"/>
    </row>
    <row r="73" spans="1:43" ht="15" customHeight="1">
      <c r="A73" s="196">
        <v>996</v>
      </c>
      <c r="B73" s="71">
        <v>44489</v>
      </c>
      <c r="C73" s="2" t="s">
        <v>38</v>
      </c>
      <c r="D73" s="2" t="s">
        <v>467</v>
      </c>
      <c r="E73" s="2">
        <v>5</v>
      </c>
      <c r="F73" s="2">
        <v>751</v>
      </c>
      <c r="G73" s="72"/>
      <c r="H73" s="72">
        <v>45</v>
      </c>
      <c r="I73" s="72"/>
      <c r="J73" s="72">
        <v>7</v>
      </c>
      <c r="K73" s="21">
        <v>282</v>
      </c>
      <c r="L73" s="21"/>
      <c r="M73" s="21">
        <v>280</v>
      </c>
      <c r="N73" s="21">
        <v>2230</v>
      </c>
      <c r="O73" s="2" t="s">
        <v>1782</v>
      </c>
      <c r="P73" s="2" t="s">
        <v>1447</v>
      </c>
      <c r="Q73" s="197"/>
      <c r="AA73" s="196"/>
      <c r="AB73" s="71"/>
      <c r="AC73" s="2"/>
      <c r="AD73" s="2"/>
      <c r="AE73" s="2"/>
      <c r="AF73" s="2"/>
      <c r="AG73" s="72"/>
      <c r="AH73" s="72"/>
      <c r="AI73" s="72"/>
      <c r="AJ73" s="72"/>
      <c r="AK73" s="21"/>
      <c r="AL73" s="21"/>
      <c r="AM73" s="21"/>
      <c r="AN73" s="21"/>
      <c r="AO73" s="2"/>
      <c r="AP73" s="2"/>
      <c r="AQ73" s="197"/>
    </row>
    <row r="74" spans="1:43" ht="15" customHeight="1">
      <c r="A74" s="196">
        <v>995</v>
      </c>
      <c r="B74" s="71">
        <v>44489</v>
      </c>
      <c r="C74" s="2" t="s">
        <v>38</v>
      </c>
      <c r="D74" s="2" t="s">
        <v>1516</v>
      </c>
      <c r="E74" s="2">
        <v>2</v>
      </c>
      <c r="F74" s="2">
        <v>7716</v>
      </c>
      <c r="G74" s="72"/>
      <c r="H74" s="72">
        <v>35</v>
      </c>
      <c r="I74" s="72"/>
      <c r="J74" s="72">
        <v>11.4</v>
      </c>
      <c r="K74" s="21">
        <v>219</v>
      </c>
      <c r="L74" s="21">
        <v>760</v>
      </c>
      <c r="M74" s="21">
        <v>225</v>
      </c>
      <c r="N74" s="21">
        <v>1177</v>
      </c>
      <c r="O74" s="2" t="s">
        <v>1778</v>
      </c>
      <c r="P74" s="2" t="s">
        <v>1773</v>
      </c>
      <c r="Q74" s="197"/>
      <c r="AA74" s="196"/>
      <c r="AB74" s="71"/>
      <c r="AC74" s="2"/>
      <c r="AD74" s="2"/>
      <c r="AE74" s="2"/>
      <c r="AF74" s="2"/>
      <c r="AG74" s="72"/>
      <c r="AH74" s="72"/>
      <c r="AI74" s="72"/>
      <c r="AJ74" s="72"/>
      <c r="AK74" s="21"/>
      <c r="AL74" s="21"/>
      <c r="AM74" s="21"/>
      <c r="AN74" s="21"/>
      <c r="AO74" s="2"/>
      <c r="AP74" s="2"/>
      <c r="AQ74" s="197"/>
    </row>
    <row r="75" spans="1:43" ht="15" customHeight="1">
      <c r="A75" s="196">
        <v>994</v>
      </c>
      <c r="B75" s="71">
        <v>44488</v>
      </c>
      <c r="C75" s="2" t="s">
        <v>38</v>
      </c>
      <c r="D75" s="2" t="s">
        <v>467</v>
      </c>
      <c r="E75" s="2">
        <v>5</v>
      </c>
      <c r="F75" s="2">
        <v>751</v>
      </c>
      <c r="G75" s="72"/>
      <c r="H75" s="72">
        <v>45</v>
      </c>
      <c r="I75" s="72"/>
      <c r="J75" s="72">
        <v>6.9</v>
      </c>
      <c r="K75" s="21">
        <v>277</v>
      </c>
      <c r="L75" s="21">
        <v>1820</v>
      </c>
      <c r="M75" s="21">
        <v>279</v>
      </c>
      <c r="N75" s="21">
        <v>2270</v>
      </c>
      <c r="O75" s="2" t="s">
        <v>1778</v>
      </c>
      <c r="P75" s="2" t="s">
        <v>1447</v>
      </c>
      <c r="Q75" s="197"/>
      <c r="AA75" s="196"/>
      <c r="AB75" s="71"/>
      <c r="AC75" s="2"/>
      <c r="AD75" s="2"/>
      <c r="AE75" s="2"/>
      <c r="AF75" s="2"/>
      <c r="AG75" s="72"/>
      <c r="AH75" s="72"/>
      <c r="AI75" s="72"/>
      <c r="AJ75" s="72"/>
      <c r="AK75" s="21"/>
      <c r="AL75" s="21"/>
      <c r="AM75" s="21"/>
      <c r="AN75" s="21"/>
      <c r="AO75" s="2"/>
      <c r="AP75" s="2"/>
      <c r="AQ75" s="197"/>
    </row>
    <row r="76" spans="1:43" ht="15" customHeight="1">
      <c r="A76" s="196">
        <v>993</v>
      </c>
      <c r="B76" s="71">
        <v>44488</v>
      </c>
      <c r="C76" s="2" t="s">
        <v>38</v>
      </c>
      <c r="D76" s="2" t="s">
        <v>1779</v>
      </c>
      <c r="E76" s="2">
        <v>3</v>
      </c>
      <c r="F76" s="2">
        <v>7718</v>
      </c>
      <c r="G76" s="72"/>
      <c r="H76" s="72">
        <v>42.5</v>
      </c>
      <c r="I76" s="72"/>
      <c r="J76" s="72">
        <v>9.6999999999999993</v>
      </c>
      <c r="K76" s="21">
        <v>199</v>
      </c>
      <c r="L76" s="21"/>
      <c r="M76" s="21">
        <v>203</v>
      </c>
      <c r="N76" s="21">
        <v>1590</v>
      </c>
      <c r="O76" s="2" t="s">
        <v>1778</v>
      </c>
      <c r="P76" s="2" t="s">
        <v>1447</v>
      </c>
      <c r="Q76" s="197"/>
      <c r="AA76" s="196"/>
      <c r="AB76" s="71"/>
      <c r="AC76" s="2"/>
      <c r="AD76" s="2"/>
      <c r="AE76" s="2"/>
      <c r="AF76" s="2"/>
      <c r="AG76" s="72"/>
      <c r="AH76" s="72"/>
      <c r="AI76" s="72"/>
      <c r="AJ76" s="72"/>
      <c r="AK76" s="21"/>
      <c r="AL76" s="21"/>
      <c r="AM76" s="21"/>
      <c r="AN76" s="21"/>
      <c r="AO76" s="2"/>
      <c r="AP76" s="2"/>
      <c r="AQ76" s="197"/>
    </row>
    <row r="77" spans="1:43" ht="15" customHeight="1">
      <c r="A77" s="196">
        <v>992</v>
      </c>
      <c r="B77" s="71">
        <v>44488</v>
      </c>
      <c r="C77" s="2" t="s">
        <v>38</v>
      </c>
      <c r="D77" s="2" t="s">
        <v>1781</v>
      </c>
      <c r="E77" s="2">
        <v>2</v>
      </c>
      <c r="F77" s="2">
        <v>7718</v>
      </c>
      <c r="G77" s="72"/>
      <c r="H77" s="72">
        <v>40</v>
      </c>
      <c r="I77" s="72"/>
      <c r="J77" s="72">
        <v>11.5</v>
      </c>
      <c r="K77" s="21"/>
      <c r="L77" s="21"/>
      <c r="M77" s="21">
        <v>192</v>
      </c>
      <c r="N77" s="21"/>
      <c r="O77" s="2" t="s">
        <v>1778</v>
      </c>
      <c r="P77" s="2" t="s">
        <v>1447</v>
      </c>
      <c r="Q77" s="197" t="s">
        <v>1784</v>
      </c>
      <c r="AA77" s="196"/>
      <c r="AB77" s="71"/>
      <c r="AC77" s="2"/>
      <c r="AD77" s="2"/>
      <c r="AE77" s="2"/>
      <c r="AF77" s="2"/>
      <c r="AG77" s="72"/>
      <c r="AH77" s="72"/>
      <c r="AI77" s="72"/>
      <c r="AJ77" s="72"/>
      <c r="AK77" s="21"/>
      <c r="AL77" s="21"/>
      <c r="AM77" s="21"/>
      <c r="AN77" s="21"/>
      <c r="AO77" s="2"/>
      <c r="AP77" s="2"/>
      <c r="AQ77" s="197"/>
    </row>
    <row r="78" spans="1:43" ht="15" customHeight="1">
      <c r="A78" s="196">
        <v>991</v>
      </c>
      <c r="B78" s="71">
        <v>44487</v>
      </c>
      <c r="C78" s="2" t="s">
        <v>105</v>
      </c>
      <c r="D78" s="2" t="s">
        <v>1780</v>
      </c>
      <c r="E78" s="2">
        <v>3</v>
      </c>
      <c r="F78" s="2">
        <v>7718</v>
      </c>
      <c r="G78" s="72"/>
      <c r="H78" s="72">
        <v>42.5</v>
      </c>
      <c r="I78" s="72"/>
      <c r="J78" s="72">
        <v>9.9</v>
      </c>
      <c r="K78" s="21">
        <v>203</v>
      </c>
      <c r="L78" s="21">
        <v>1245</v>
      </c>
      <c r="M78" s="21"/>
      <c r="N78" s="21"/>
      <c r="O78" s="2" t="s">
        <v>1782</v>
      </c>
      <c r="P78" s="2" t="s">
        <v>1447</v>
      </c>
      <c r="Q78" s="197"/>
      <c r="AA78" s="196"/>
      <c r="AB78" s="71"/>
      <c r="AC78" s="2"/>
      <c r="AD78" s="2"/>
      <c r="AE78" s="2"/>
      <c r="AF78" s="2"/>
      <c r="AG78" s="72"/>
      <c r="AH78" s="72"/>
      <c r="AI78" s="72"/>
      <c r="AJ78" s="72"/>
      <c r="AK78" s="21"/>
      <c r="AL78" s="21"/>
      <c r="AM78" s="21"/>
      <c r="AN78" s="21"/>
      <c r="AO78" s="2"/>
      <c r="AP78" s="2"/>
      <c r="AQ78" s="197"/>
    </row>
    <row r="79" spans="1:43" ht="15" customHeight="1">
      <c r="A79" s="196">
        <v>990</v>
      </c>
      <c r="B79" s="71">
        <v>44487</v>
      </c>
      <c r="C79" s="2" t="s">
        <v>105</v>
      </c>
      <c r="D79" s="2" t="s">
        <v>467</v>
      </c>
      <c r="E79" s="2">
        <v>5</v>
      </c>
      <c r="F79" s="2">
        <v>751</v>
      </c>
      <c r="G79" s="72"/>
      <c r="H79" s="72">
        <v>45</v>
      </c>
      <c r="I79" s="72"/>
      <c r="J79" s="72">
        <v>7.1</v>
      </c>
      <c r="K79" s="21">
        <v>279</v>
      </c>
      <c r="L79" s="21">
        <v>1900</v>
      </c>
      <c r="M79" s="21"/>
      <c r="N79" s="21">
        <v>2160</v>
      </c>
      <c r="O79" s="2" t="s">
        <v>1782</v>
      </c>
      <c r="P79" s="2" t="s">
        <v>1447</v>
      </c>
      <c r="Q79" s="197"/>
      <c r="AA79" s="196"/>
      <c r="AB79" s="71"/>
      <c r="AC79" s="2"/>
      <c r="AD79" s="2"/>
      <c r="AE79" s="2"/>
      <c r="AF79" s="2"/>
      <c r="AG79" s="72"/>
      <c r="AH79" s="72"/>
      <c r="AI79" s="72"/>
      <c r="AJ79" s="72"/>
      <c r="AK79" s="21"/>
      <c r="AL79" s="21"/>
      <c r="AM79" s="21"/>
      <c r="AN79" s="21"/>
      <c r="AO79" s="2"/>
      <c r="AP79" s="2"/>
      <c r="AQ79" s="197"/>
    </row>
    <row r="80" spans="1:43" ht="15" customHeight="1">
      <c r="A80" s="196">
        <v>989</v>
      </c>
      <c r="B80" s="71">
        <v>44487</v>
      </c>
      <c r="C80" s="2" t="s">
        <v>105</v>
      </c>
      <c r="D80" s="2" t="s">
        <v>459</v>
      </c>
      <c r="E80" s="2">
        <v>5</v>
      </c>
      <c r="F80" s="2">
        <v>751</v>
      </c>
      <c r="G80" s="72"/>
      <c r="H80" s="72">
        <v>45</v>
      </c>
      <c r="I80" s="72"/>
      <c r="J80" s="72">
        <v>8.8000000000000007</v>
      </c>
      <c r="K80" s="21">
        <v>258</v>
      </c>
      <c r="L80" s="21">
        <v>1440</v>
      </c>
      <c r="M80" s="21"/>
      <c r="N80" s="21"/>
      <c r="O80" s="2" t="s">
        <v>1782</v>
      </c>
      <c r="P80" s="2" t="s">
        <v>1447</v>
      </c>
      <c r="Q80" s="197"/>
      <c r="AA80" s="196"/>
      <c r="AB80" s="71"/>
      <c r="AC80" s="2"/>
      <c r="AD80" s="2"/>
      <c r="AE80" s="2"/>
      <c r="AF80" s="2"/>
      <c r="AG80" s="72"/>
      <c r="AH80" s="72"/>
      <c r="AI80" s="72"/>
      <c r="AJ80" s="72"/>
      <c r="AK80" s="21"/>
      <c r="AL80" s="21"/>
      <c r="AM80" s="21"/>
      <c r="AN80" s="21"/>
      <c r="AO80" s="2"/>
      <c r="AP80" s="2"/>
      <c r="AQ80" s="197"/>
    </row>
    <row r="81" spans="1:43" ht="15" customHeight="1">
      <c r="A81" s="196">
        <v>988</v>
      </c>
      <c r="B81" s="71">
        <v>44487</v>
      </c>
      <c r="C81" s="2" t="s">
        <v>105</v>
      </c>
      <c r="D81" s="2" t="s">
        <v>457</v>
      </c>
      <c r="E81" s="2">
        <v>5</v>
      </c>
      <c r="F81" s="2">
        <v>751</v>
      </c>
      <c r="G81" s="72"/>
      <c r="H81" s="72">
        <v>45</v>
      </c>
      <c r="I81" s="72"/>
      <c r="J81" s="72">
        <v>8.6</v>
      </c>
      <c r="K81" s="21">
        <v>268</v>
      </c>
      <c r="L81" s="21">
        <v>1510</v>
      </c>
      <c r="M81" s="21">
        <v>270</v>
      </c>
      <c r="N81" s="21">
        <v>1860</v>
      </c>
      <c r="O81" s="2" t="s">
        <v>1782</v>
      </c>
      <c r="P81" s="2" t="s">
        <v>1447</v>
      </c>
      <c r="Q81" s="197"/>
      <c r="AA81" s="196"/>
      <c r="AB81" s="71"/>
      <c r="AC81" s="2"/>
      <c r="AD81" s="2"/>
      <c r="AE81" s="2"/>
      <c r="AF81" s="2"/>
      <c r="AG81" s="72"/>
      <c r="AH81" s="72"/>
      <c r="AI81" s="72"/>
      <c r="AJ81" s="72"/>
      <c r="AK81" s="21"/>
      <c r="AL81" s="21"/>
      <c r="AM81" s="21"/>
      <c r="AN81" s="21"/>
      <c r="AO81" s="2"/>
      <c r="AP81" s="2"/>
      <c r="AQ81" s="197"/>
    </row>
    <row r="82" spans="1:43" ht="15" customHeight="1">
      <c r="A82" s="196">
        <v>987</v>
      </c>
      <c r="B82" s="71">
        <v>44487</v>
      </c>
      <c r="C82" s="2" t="s">
        <v>105</v>
      </c>
      <c r="D82" s="2" t="s">
        <v>198</v>
      </c>
      <c r="E82" s="2">
        <v>2</v>
      </c>
      <c r="F82" s="2">
        <v>7716</v>
      </c>
      <c r="G82" s="72"/>
      <c r="H82" s="72">
        <v>42.5</v>
      </c>
      <c r="I82" s="72"/>
      <c r="J82" s="72">
        <v>10</v>
      </c>
      <c r="K82" s="21">
        <v>230</v>
      </c>
      <c r="L82" s="21">
        <v>1070</v>
      </c>
      <c r="M82" s="21">
        <v>235</v>
      </c>
      <c r="N82" s="21">
        <v>1610</v>
      </c>
      <c r="O82" s="2" t="s">
        <v>1778</v>
      </c>
      <c r="P82" s="2" t="s">
        <v>1773</v>
      </c>
      <c r="Q82" s="197"/>
      <c r="AA82" s="196"/>
      <c r="AB82" s="71"/>
      <c r="AC82" s="2"/>
      <c r="AD82" s="2"/>
      <c r="AE82" s="2"/>
      <c r="AF82" s="2"/>
      <c r="AG82" s="72"/>
      <c r="AH82" s="72"/>
      <c r="AI82" s="72"/>
      <c r="AJ82" s="72"/>
      <c r="AK82" s="21"/>
      <c r="AL82" s="21"/>
      <c r="AM82" s="21"/>
      <c r="AN82" s="21"/>
      <c r="AO82" s="2"/>
      <c r="AP82" s="2"/>
      <c r="AQ82" s="197"/>
    </row>
    <row r="83" spans="1:43" ht="15" customHeight="1">
      <c r="A83" s="196">
        <v>986</v>
      </c>
      <c r="B83" s="71">
        <v>44487</v>
      </c>
      <c r="C83" s="2" t="s">
        <v>38</v>
      </c>
      <c r="D83" s="2" t="s">
        <v>1780</v>
      </c>
      <c r="E83" s="2">
        <v>3</v>
      </c>
      <c r="F83" s="2">
        <v>7718</v>
      </c>
      <c r="G83" s="72"/>
      <c r="H83" s="72">
        <v>42.5</v>
      </c>
      <c r="I83" s="72"/>
      <c r="J83" s="72">
        <v>9.5</v>
      </c>
      <c r="K83" s="21"/>
      <c r="L83" s="21">
        <v>1230</v>
      </c>
      <c r="M83" s="21">
        <v>203</v>
      </c>
      <c r="N83" s="21"/>
      <c r="O83" s="2" t="s">
        <v>1778</v>
      </c>
      <c r="P83" s="2" t="s">
        <v>1447</v>
      </c>
      <c r="Q83" s="197"/>
      <c r="AA83" s="196"/>
      <c r="AB83" s="71"/>
      <c r="AC83" s="2"/>
      <c r="AD83" s="2"/>
      <c r="AE83" s="2"/>
      <c r="AF83" s="2"/>
      <c r="AG83" s="72"/>
      <c r="AH83" s="72"/>
      <c r="AI83" s="72"/>
      <c r="AJ83" s="72"/>
      <c r="AK83" s="21"/>
      <c r="AL83" s="21"/>
      <c r="AM83" s="21"/>
      <c r="AN83" s="21"/>
      <c r="AO83" s="2"/>
      <c r="AP83" s="2"/>
      <c r="AQ83" s="197"/>
    </row>
    <row r="84" spans="1:43" ht="15" customHeight="1">
      <c r="A84" s="196">
        <v>985</v>
      </c>
      <c r="B84" s="71">
        <v>44487</v>
      </c>
      <c r="C84" s="2" t="s">
        <v>38</v>
      </c>
      <c r="D84" s="2" t="s">
        <v>457</v>
      </c>
      <c r="E84" s="2">
        <v>5</v>
      </c>
      <c r="F84" s="2">
        <v>751</v>
      </c>
      <c r="G84" s="72"/>
      <c r="H84" s="72">
        <v>45</v>
      </c>
      <c r="I84" s="72"/>
      <c r="J84" s="72">
        <v>8</v>
      </c>
      <c r="K84" s="21"/>
      <c r="L84" s="21"/>
      <c r="M84" s="21">
        <v>270</v>
      </c>
      <c r="N84" s="21"/>
      <c r="O84" s="2" t="s">
        <v>1778</v>
      </c>
      <c r="P84" s="2" t="s">
        <v>1447</v>
      </c>
      <c r="Q84" s="197"/>
      <c r="AA84" s="196"/>
      <c r="AB84" s="71"/>
      <c r="AC84" s="2"/>
      <c r="AD84" s="2"/>
      <c r="AE84" s="2"/>
      <c r="AF84" s="2"/>
      <c r="AG84" s="72"/>
      <c r="AH84" s="72"/>
      <c r="AI84" s="72"/>
      <c r="AJ84" s="72"/>
      <c r="AK84" s="21"/>
      <c r="AL84" s="21"/>
      <c r="AM84" s="21"/>
      <c r="AN84" s="21"/>
      <c r="AO84" s="2"/>
      <c r="AP84" s="2"/>
      <c r="AQ84" s="197"/>
    </row>
    <row r="85" spans="1:43" ht="15" customHeight="1">
      <c r="A85" s="196">
        <v>984</v>
      </c>
      <c r="B85" s="71">
        <v>44487</v>
      </c>
      <c r="C85" s="2" t="s">
        <v>38</v>
      </c>
      <c r="D85" s="2" t="s">
        <v>459</v>
      </c>
      <c r="E85" s="2">
        <v>5</v>
      </c>
      <c r="F85" s="2">
        <v>751</v>
      </c>
      <c r="G85" s="72"/>
      <c r="H85" s="72">
        <v>45</v>
      </c>
      <c r="I85" s="72"/>
      <c r="J85" s="72">
        <v>8.5</v>
      </c>
      <c r="K85" s="21"/>
      <c r="L85" s="21">
        <v>1445</v>
      </c>
      <c r="M85" s="21">
        <v>270</v>
      </c>
      <c r="N85" s="21"/>
      <c r="O85" s="2" t="s">
        <v>1778</v>
      </c>
      <c r="P85" s="2" t="s">
        <v>1447</v>
      </c>
      <c r="Q85" s="197"/>
      <c r="AA85" s="196"/>
      <c r="AB85" s="71"/>
      <c r="AC85" s="2"/>
      <c r="AD85" s="2"/>
      <c r="AE85" s="2"/>
      <c r="AF85" s="2"/>
      <c r="AG85" s="72"/>
      <c r="AH85" s="72"/>
      <c r="AI85" s="72"/>
      <c r="AJ85" s="72"/>
      <c r="AK85" s="21"/>
      <c r="AL85" s="21"/>
      <c r="AM85" s="21"/>
      <c r="AN85" s="21"/>
      <c r="AO85" s="2"/>
      <c r="AP85" s="2"/>
      <c r="AQ85" s="197"/>
    </row>
    <row r="86" spans="1:43" ht="15" customHeight="1">
      <c r="A86" s="196">
        <v>983</v>
      </c>
      <c r="B86" s="71">
        <v>44487</v>
      </c>
      <c r="C86" s="2" t="s">
        <v>38</v>
      </c>
      <c r="D86" s="2" t="s">
        <v>467</v>
      </c>
      <c r="E86" s="2">
        <v>5</v>
      </c>
      <c r="F86" s="2">
        <v>751</v>
      </c>
      <c r="G86" s="72"/>
      <c r="H86" s="72">
        <v>45</v>
      </c>
      <c r="I86" s="72"/>
      <c r="J86" s="72">
        <v>7</v>
      </c>
      <c r="K86" s="21">
        <v>277</v>
      </c>
      <c r="L86" s="21">
        <v>1800</v>
      </c>
      <c r="M86" s="21">
        <v>280</v>
      </c>
      <c r="N86" s="21"/>
      <c r="O86" s="2" t="s">
        <v>1778</v>
      </c>
      <c r="P86" s="2" t="s">
        <v>1447</v>
      </c>
      <c r="Q86" s="197"/>
      <c r="AA86" s="196"/>
      <c r="AB86" s="71"/>
      <c r="AC86" s="2"/>
      <c r="AD86" s="2"/>
      <c r="AE86" s="2"/>
      <c r="AF86" s="2"/>
      <c r="AG86" s="72"/>
      <c r="AH86" s="72"/>
      <c r="AI86" s="72"/>
      <c r="AJ86" s="72"/>
      <c r="AK86" s="21"/>
      <c r="AL86" s="21"/>
      <c r="AM86" s="21"/>
      <c r="AN86" s="21"/>
      <c r="AO86" s="2"/>
      <c r="AP86" s="2"/>
      <c r="AQ86" s="197"/>
    </row>
    <row r="87" spans="1:43" ht="15" customHeight="1">
      <c r="A87" s="196">
        <v>982</v>
      </c>
      <c r="B87" s="71">
        <v>44486</v>
      </c>
      <c r="C87" s="2" t="s">
        <v>105</v>
      </c>
      <c r="D87" s="2" t="s">
        <v>459</v>
      </c>
      <c r="E87" s="2">
        <v>5</v>
      </c>
      <c r="F87" s="2">
        <v>751</v>
      </c>
      <c r="G87" s="72"/>
      <c r="H87" s="72">
        <v>42.5</v>
      </c>
      <c r="I87" s="72"/>
      <c r="J87" s="72">
        <v>8.5</v>
      </c>
      <c r="K87" s="21">
        <v>258</v>
      </c>
      <c r="L87" s="21">
        <v>1420</v>
      </c>
      <c r="M87" s="21">
        <v>260</v>
      </c>
      <c r="N87" s="21">
        <v>1760</v>
      </c>
      <c r="O87" s="2" t="s">
        <v>1782</v>
      </c>
      <c r="P87" s="2" t="s">
        <v>1447</v>
      </c>
      <c r="Q87" s="197"/>
      <c r="AA87" s="196"/>
      <c r="AB87" s="71"/>
      <c r="AC87" s="2"/>
      <c r="AD87" s="2"/>
      <c r="AE87" s="2"/>
      <c r="AF87" s="2"/>
      <c r="AG87" s="72"/>
      <c r="AH87" s="72"/>
      <c r="AI87" s="72"/>
      <c r="AJ87" s="72"/>
      <c r="AK87" s="21"/>
      <c r="AL87" s="21"/>
      <c r="AM87" s="21"/>
      <c r="AN87" s="21"/>
      <c r="AO87" s="2"/>
      <c r="AP87" s="2"/>
      <c r="AQ87" s="197"/>
    </row>
    <row r="88" spans="1:43" ht="15" customHeight="1">
      <c r="A88" s="196">
        <v>981</v>
      </c>
      <c r="B88" s="71">
        <v>44486</v>
      </c>
      <c r="C88" s="2" t="s">
        <v>38</v>
      </c>
      <c r="D88" s="2" t="s">
        <v>457</v>
      </c>
      <c r="E88" s="2">
        <v>5</v>
      </c>
      <c r="F88" s="2">
        <v>751</v>
      </c>
      <c r="G88" s="72"/>
      <c r="H88" s="72">
        <v>42.5</v>
      </c>
      <c r="I88" s="72"/>
      <c r="J88" s="72">
        <v>7.6</v>
      </c>
      <c r="K88" s="21"/>
      <c r="L88" s="21"/>
      <c r="M88" s="21">
        <v>270</v>
      </c>
      <c r="N88" s="21"/>
      <c r="O88" s="2"/>
      <c r="P88" s="2" t="s">
        <v>1447</v>
      </c>
      <c r="Q88" s="197"/>
      <c r="AA88" s="196"/>
      <c r="AB88" s="71"/>
      <c r="AC88" s="2"/>
      <c r="AD88" s="2"/>
      <c r="AE88" s="2"/>
      <c r="AF88" s="2"/>
      <c r="AG88" s="72"/>
      <c r="AH88" s="72"/>
      <c r="AI88" s="72"/>
      <c r="AJ88" s="72"/>
      <c r="AK88" s="21"/>
      <c r="AL88" s="21"/>
      <c r="AM88" s="21"/>
      <c r="AN88" s="21"/>
      <c r="AO88" s="2"/>
      <c r="AP88" s="2"/>
      <c r="AQ88" s="197"/>
    </row>
    <row r="89" spans="1:43" ht="15" customHeight="1">
      <c r="A89" s="196">
        <v>980</v>
      </c>
      <c r="B89" s="71">
        <v>44486</v>
      </c>
      <c r="C89" s="2" t="s">
        <v>38</v>
      </c>
      <c r="D89" s="2" t="s">
        <v>459</v>
      </c>
      <c r="E89" s="2">
        <v>5</v>
      </c>
      <c r="F89" s="2">
        <v>751</v>
      </c>
      <c r="G89" s="72"/>
      <c r="H89" s="72">
        <v>42.5</v>
      </c>
      <c r="I89" s="72"/>
      <c r="J89" s="72">
        <v>8</v>
      </c>
      <c r="K89" s="21"/>
      <c r="L89" s="21">
        <v>1430</v>
      </c>
      <c r="M89" s="21">
        <v>260</v>
      </c>
      <c r="N89" s="21"/>
      <c r="O89" s="2"/>
      <c r="P89" s="2" t="s">
        <v>1447</v>
      </c>
      <c r="Q89" s="197"/>
      <c r="AA89" s="196"/>
      <c r="AB89" s="71"/>
      <c r="AC89" s="2"/>
      <c r="AD89" s="2"/>
      <c r="AE89" s="2"/>
      <c r="AF89" s="2"/>
      <c r="AG89" s="72"/>
      <c r="AH89" s="72"/>
      <c r="AI89" s="72"/>
      <c r="AJ89" s="72"/>
      <c r="AK89" s="21"/>
      <c r="AL89" s="21"/>
      <c r="AM89" s="21"/>
      <c r="AN89" s="21"/>
      <c r="AO89" s="2"/>
      <c r="AP89" s="2"/>
      <c r="AQ89" s="197"/>
    </row>
    <row r="90" spans="1:43" ht="15" customHeight="1">
      <c r="A90" s="196">
        <v>979</v>
      </c>
      <c r="B90" s="71">
        <v>44486</v>
      </c>
      <c r="C90" s="2" t="s">
        <v>38</v>
      </c>
      <c r="D90" s="2" t="s">
        <v>467</v>
      </c>
      <c r="E90" s="2">
        <v>5</v>
      </c>
      <c r="F90" s="2">
        <v>751</v>
      </c>
      <c r="G90" s="72"/>
      <c r="H90" s="72">
        <v>45</v>
      </c>
      <c r="I90" s="72"/>
      <c r="J90" s="72">
        <v>7</v>
      </c>
      <c r="K90" s="21">
        <v>276</v>
      </c>
      <c r="L90" s="21">
        <v>1700</v>
      </c>
      <c r="M90" s="21"/>
      <c r="N90" s="21"/>
      <c r="O90" s="2"/>
      <c r="P90" s="2" t="s">
        <v>1447</v>
      </c>
      <c r="Q90" s="197" t="s">
        <v>1787</v>
      </c>
      <c r="AA90" s="196"/>
      <c r="AB90" s="71"/>
      <c r="AC90" s="2"/>
      <c r="AD90" s="2"/>
      <c r="AE90" s="2"/>
      <c r="AF90" s="2"/>
      <c r="AG90" s="72"/>
      <c r="AH90" s="72"/>
      <c r="AI90" s="72"/>
      <c r="AJ90" s="72"/>
      <c r="AK90" s="21"/>
      <c r="AL90" s="21"/>
      <c r="AM90" s="21"/>
      <c r="AN90" s="21"/>
      <c r="AO90" s="2"/>
      <c r="AP90" s="2"/>
      <c r="AQ90" s="197"/>
    </row>
    <row r="91" spans="1:43" ht="15" customHeight="1">
      <c r="A91" s="196">
        <v>978</v>
      </c>
      <c r="B91" s="71">
        <v>44486</v>
      </c>
      <c r="C91" s="2" t="s">
        <v>38</v>
      </c>
      <c r="D91" s="2" t="s">
        <v>1446</v>
      </c>
      <c r="E91" s="2">
        <v>2</v>
      </c>
      <c r="F91" s="2">
        <v>7718</v>
      </c>
      <c r="G91" s="72"/>
      <c r="H91" s="72">
        <v>42.5</v>
      </c>
      <c r="I91" s="72"/>
      <c r="J91" s="72">
        <v>10</v>
      </c>
      <c r="K91" s="21"/>
      <c r="L91" s="21"/>
      <c r="M91" s="21">
        <v>244</v>
      </c>
      <c r="N91" s="21"/>
      <c r="O91" s="2"/>
      <c r="P91" s="2" t="s">
        <v>1447</v>
      </c>
      <c r="Q91" s="197" t="s">
        <v>1785</v>
      </c>
      <c r="AA91" s="196"/>
      <c r="AB91" s="71"/>
      <c r="AC91" s="2"/>
      <c r="AD91" s="2"/>
      <c r="AE91" s="2"/>
      <c r="AF91" s="2"/>
      <c r="AG91" s="72"/>
      <c r="AH91" s="72"/>
      <c r="AI91" s="72"/>
      <c r="AJ91" s="72"/>
      <c r="AK91" s="21"/>
      <c r="AL91" s="21"/>
      <c r="AM91" s="21"/>
      <c r="AN91" s="21"/>
      <c r="AO91" s="2"/>
      <c r="AP91" s="2"/>
      <c r="AQ91" s="197"/>
    </row>
    <row r="92" spans="1:43" ht="15" customHeight="1">
      <c r="A92" s="196">
        <v>977</v>
      </c>
      <c r="B92" s="71">
        <v>44486</v>
      </c>
      <c r="C92" s="2" t="s">
        <v>38</v>
      </c>
      <c r="D92" s="2" t="s">
        <v>1779</v>
      </c>
      <c r="E92" s="2">
        <v>3</v>
      </c>
      <c r="F92" s="2">
        <v>7718</v>
      </c>
      <c r="G92" s="72"/>
      <c r="H92" s="72">
        <v>42.5</v>
      </c>
      <c r="I92" s="72"/>
      <c r="J92" s="72">
        <v>11.2</v>
      </c>
      <c r="K92" s="21"/>
      <c r="L92" s="21"/>
      <c r="M92" s="21">
        <v>200</v>
      </c>
      <c r="N92" s="21"/>
      <c r="O92" s="2"/>
      <c r="P92" s="2" t="s">
        <v>1447</v>
      </c>
      <c r="Q92" s="197" t="s">
        <v>1786</v>
      </c>
      <c r="AA92" s="196"/>
      <c r="AB92" s="71"/>
      <c r="AC92" s="2"/>
      <c r="AD92" s="2"/>
      <c r="AE92" s="2"/>
      <c r="AF92" s="2"/>
      <c r="AG92" s="72"/>
      <c r="AH92" s="72"/>
      <c r="AI92" s="72"/>
      <c r="AJ92" s="72"/>
      <c r="AK92" s="21"/>
      <c r="AL92" s="21"/>
      <c r="AM92" s="21"/>
      <c r="AN92" s="21"/>
      <c r="AO92" s="2"/>
      <c r="AP92" s="2"/>
      <c r="AQ92" s="197"/>
    </row>
    <row r="93" spans="1:43" ht="15" customHeight="1">
      <c r="A93" s="196">
        <v>976</v>
      </c>
      <c r="B93" s="71">
        <v>44485</v>
      </c>
      <c r="C93" s="2" t="s">
        <v>38</v>
      </c>
      <c r="D93" s="2" t="s">
        <v>459</v>
      </c>
      <c r="E93" s="2">
        <v>5</v>
      </c>
      <c r="F93" s="2">
        <v>751</v>
      </c>
      <c r="G93" s="72"/>
      <c r="H93" s="72">
        <v>42.5</v>
      </c>
      <c r="I93" s="72"/>
      <c r="J93" s="72">
        <v>8.6999999999999993</v>
      </c>
      <c r="K93" s="21">
        <v>254</v>
      </c>
      <c r="L93" s="21">
        <v>1410</v>
      </c>
      <c r="M93" s="21">
        <v>257</v>
      </c>
      <c r="N93" s="21">
        <v>1670</v>
      </c>
      <c r="O93" s="2" t="s">
        <v>1782</v>
      </c>
      <c r="P93" s="2" t="s">
        <v>1447</v>
      </c>
      <c r="Q93" s="197"/>
      <c r="AA93" s="196"/>
      <c r="AB93" s="71"/>
      <c r="AC93" s="2"/>
      <c r="AD93" s="2"/>
      <c r="AE93" s="2"/>
      <c r="AF93" s="2"/>
      <c r="AG93" s="72"/>
      <c r="AH93" s="72"/>
      <c r="AI93" s="72"/>
      <c r="AJ93" s="72"/>
      <c r="AK93" s="21"/>
      <c r="AL93" s="21"/>
      <c r="AM93" s="21"/>
      <c r="AN93" s="21"/>
      <c r="AO93" s="2"/>
      <c r="AP93" s="2"/>
      <c r="AQ93" s="197"/>
    </row>
    <row r="94" spans="1:43" ht="15" customHeight="1">
      <c r="A94" s="196">
        <v>975</v>
      </c>
      <c r="B94" s="71">
        <v>44481</v>
      </c>
      <c r="C94" s="2" t="s">
        <v>38</v>
      </c>
      <c r="D94" s="2" t="s">
        <v>200</v>
      </c>
      <c r="E94" s="2">
        <v>2</v>
      </c>
      <c r="F94" s="2">
        <v>7716</v>
      </c>
      <c r="G94" s="72"/>
      <c r="H94" s="72">
        <v>35</v>
      </c>
      <c r="I94" s="72"/>
      <c r="J94" s="72">
        <v>9.4</v>
      </c>
      <c r="K94" s="21">
        <v>208</v>
      </c>
      <c r="L94" s="21">
        <v>920</v>
      </c>
      <c r="M94" s="21">
        <v>215</v>
      </c>
      <c r="N94" s="21">
        <v>1460</v>
      </c>
      <c r="O94" s="2" t="s">
        <v>1778</v>
      </c>
      <c r="P94" s="2" t="s">
        <v>1773</v>
      </c>
      <c r="Q94" s="197"/>
      <c r="AA94" s="196"/>
      <c r="AB94" s="71"/>
      <c r="AC94" s="2"/>
      <c r="AD94" s="2"/>
      <c r="AE94" s="2"/>
      <c r="AF94" s="2"/>
      <c r="AG94" s="72"/>
      <c r="AH94" s="72"/>
      <c r="AI94" s="72"/>
      <c r="AJ94" s="72"/>
      <c r="AK94" s="21"/>
      <c r="AL94" s="21"/>
      <c r="AM94" s="21"/>
      <c r="AN94" s="21"/>
      <c r="AO94" s="2"/>
      <c r="AP94" s="2"/>
      <c r="AQ94" s="197"/>
    </row>
    <row r="95" spans="1:43" ht="15" customHeight="1">
      <c r="A95" s="196">
        <v>974</v>
      </c>
      <c r="B95" s="71">
        <v>44481</v>
      </c>
      <c r="C95" s="2" t="s">
        <v>38</v>
      </c>
      <c r="D95" s="2" t="s">
        <v>1516</v>
      </c>
      <c r="E95" s="2">
        <v>2</v>
      </c>
      <c r="F95" s="2">
        <v>7716</v>
      </c>
      <c r="G95" s="72"/>
      <c r="H95" s="72">
        <v>35</v>
      </c>
      <c r="I95" s="72"/>
      <c r="J95" s="72">
        <v>11.1</v>
      </c>
      <c r="K95" s="21"/>
      <c r="L95" s="21"/>
      <c r="M95" s="21">
        <v>226</v>
      </c>
      <c r="N95" s="21"/>
      <c r="O95" s="2" t="s">
        <v>1778</v>
      </c>
      <c r="P95" s="2" t="s">
        <v>1773</v>
      </c>
      <c r="Q95" s="197"/>
      <c r="AA95" s="196"/>
      <c r="AB95" s="71"/>
      <c r="AC95" s="2"/>
      <c r="AD95" s="2"/>
      <c r="AE95" s="2"/>
      <c r="AF95" s="2"/>
      <c r="AG95" s="72"/>
      <c r="AH95" s="72"/>
      <c r="AI95" s="72"/>
      <c r="AJ95" s="72"/>
      <c r="AK95" s="21"/>
      <c r="AL95" s="21"/>
      <c r="AM95" s="21"/>
      <c r="AN95" s="21"/>
      <c r="AO95" s="2"/>
      <c r="AP95" s="2"/>
      <c r="AQ95" s="197"/>
    </row>
    <row r="96" spans="1:43" ht="15" customHeight="1">
      <c r="A96" s="196">
        <v>973</v>
      </c>
      <c r="B96" s="71">
        <v>44480</v>
      </c>
      <c r="C96" s="2" t="s">
        <v>38</v>
      </c>
      <c r="D96" s="2" t="s">
        <v>200</v>
      </c>
      <c r="E96" s="2">
        <v>2</v>
      </c>
      <c r="F96" s="2">
        <v>7716</v>
      </c>
      <c r="G96" s="72"/>
      <c r="H96" s="72">
        <v>35</v>
      </c>
      <c r="I96" s="72"/>
      <c r="J96" s="72">
        <v>9.4</v>
      </c>
      <c r="K96" s="21">
        <v>208</v>
      </c>
      <c r="L96" s="21">
        <v>940</v>
      </c>
      <c r="M96" s="21">
        <v>215</v>
      </c>
      <c r="N96" s="21">
        <v>1440</v>
      </c>
      <c r="O96" s="2" t="s">
        <v>1778</v>
      </c>
      <c r="P96" s="2"/>
      <c r="Q96" s="197"/>
      <c r="AA96" s="196"/>
      <c r="AB96" s="71"/>
      <c r="AC96" s="2"/>
      <c r="AD96" s="2"/>
      <c r="AE96" s="2"/>
      <c r="AF96" s="2"/>
      <c r="AG96" s="72"/>
      <c r="AH96" s="72"/>
      <c r="AI96" s="72"/>
      <c r="AJ96" s="72"/>
      <c r="AK96" s="21"/>
      <c r="AL96" s="21"/>
      <c r="AM96" s="21"/>
      <c r="AN96" s="21"/>
      <c r="AO96" s="2"/>
      <c r="AP96" s="2"/>
      <c r="AQ96" s="197"/>
    </row>
    <row r="97" spans="1:43" ht="15" customHeight="1">
      <c r="A97" s="196">
        <v>972</v>
      </c>
      <c r="B97" s="71">
        <v>44480</v>
      </c>
      <c r="C97" s="2" t="s">
        <v>38</v>
      </c>
      <c r="D97" s="2" t="s">
        <v>201</v>
      </c>
      <c r="E97" s="2">
        <v>2</v>
      </c>
      <c r="F97" s="2">
        <v>7716</v>
      </c>
      <c r="G97" s="72"/>
      <c r="H97" s="72">
        <v>42.5</v>
      </c>
      <c r="I97" s="72"/>
      <c r="J97" s="72">
        <v>11.9</v>
      </c>
      <c r="K97" s="21">
        <v>218</v>
      </c>
      <c r="L97" s="21">
        <v>930</v>
      </c>
      <c r="M97" s="21">
        <v>225</v>
      </c>
      <c r="N97" s="21">
        <v>1275</v>
      </c>
      <c r="O97" s="2" t="s">
        <v>1778</v>
      </c>
      <c r="P97" s="2" t="s">
        <v>1773</v>
      </c>
      <c r="Q97" s="197"/>
      <c r="AA97" s="196"/>
      <c r="AB97" s="71"/>
      <c r="AC97" s="2"/>
      <c r="AD97" s="2"/>
      <c r="AE97" s="2"/>
      <c r="AF97" s="2"/>
      <c r="AG97" s="72"/>
      <c r="AH97" s="72"/>
      <c r="AI97" s="72"/>
      <c r="AJ97" s="72"/>
      <c r="AK97" s="21"/>
      <c r="AL97" s="21"/>
      <c r="AM97" s="21"/>
      <c r="AN97" s="21"/>
      <c r="AO97" s="2"/>
      <c r="AP97" s="2"/>
      <c r="AQ97" s="197"/>
    </row>
    <row r="98" spans="1:43" ht="15" customHeight="1">
      <c r="A98" s="196">
        <v>971</v>
      </c>
      <c r="B98" s="71">
        <v>44480</v>
      </c>
      <c r="C98" s="2" t="s">
        <v>38</v>
      </c>
      <c r="D98" s="2" t="s">
        <v>1515</v>
      </c>
      <c r="E98" s="2">
        <v>2</v>
      </c>
      <c r="F98" s="2">
        <v>7716</v>
      </c>
      <c r="G98" s="72"/>
      <c r="H98" s="72">
        <v>41</v>
      </c>
      <c r="I98" s="72"/>
      <c r="J98" s="72">
        <v>13.7</v>
      </c>
      <c r="K98" s="21">
        <v>187</v>
      </c>
      <c r="L98" s="21">
        <v>730</v>
      </c>
      <c r="M98" s="21">
        <v>192</v>
      </c>
      <c r="N98" s="21">
        <v>1150</v>
      </c>
      <c r="O98" s="2" t="s">
        <v>1778</v>
      </c>
      <c r="P98" s="2" t="s">
        <v>1773</v>
      </c>
      <c r="Q98" s="197"/>
      <c r="AA98" s="196"/>
      <c r="AB98" s="71"/>
      <c r="AC98" s="2"/>
      <c r="AD98" s="2"/>
      <c r="AE98" s="2"/>
      <c r="AF98" s="2"/>
      <c r="AG98" s="72"/>
      <c r="AH98" s="72"/>
      <c r="AI98" s="72"/>
      <c r="AJ98" s="72"/>
      <c r="AK98" s="21"/>
      <c r="AL98" s="21"/>
      <c r="AM98" s="21"/>
      <c r="AN98" s="21"/>
      <c r="AO98" s="2"/>
      <c r="AP98" s="2"/>
      <c r="AQ98" s="197"/>
    </row>
    <row r="99" spans="1:43" ht="15" customHeight="1">
      <c r="A99" s="196">
        <v>970</v>
      </c>
      <c r="B99" s="71">
        <v>44479</v>
      </c>
      <c r="C99" s="2" t="s">
        <v>105</v>
      </c>
      <c r="D99" s="2" t="s">
        <v>1516</v>
      </c>
      <c r="E99" s="2">
        <v>2</v>
      </c>
      <c r="F99" s="2">
        <v>7716</v>
      </c>
      <c r="G99" s="72"/>
      <c r="H99" s="72">
        <v>42.5</v>
      </c>
      <c r="I99" s="72"/>
      <c r="J99" s="72">
        <v>13</v>
      </c>
      <c r="K99" s="21">
        <v>220</v>
      </c>
      <c r="L99" s="21"/>
      <c r="M99" s="21">
        <v>226</v>
      </c>
      <c r="N99" s="21">
        <v>1190</v>
      </c>
      <c r="O99" s="2" t="s">
        <v>1778</v>
      </c>
      <c r="P99" s="2"/>
      <c r="Q99" s="197"/>
      <c r="AA99" s="196"/>
      <c r="AB99" s="71"/>
      <c r="AC99" s="2"/>
      <c r="AD99" s="2"/>
      <c r="AE99" s="2"/>
      <c r="AF99" s="2"/>
      <c r="AG99" s="72"/>
      <c r="AH99" s="72"/>
      <c r="AI99" s="72"/>
      <c r="AJ99" s="72"/>
      <c r="AK99" s="21"/>
      <c r="AL99" s="21"/>
      <c r="AM99" s="21"/>
      <c r="AN99" s="21"/>
      <c r="AO99" s="2"/>
      <c r="AP99" s="2"/>
      <c r="AQ99" s="197"/>
    </row>
    <row r="100" spans="1:43" ht="15" customHeight="1">
      <c r="A100" s="196">
        <v>969</v>
      </c>
      <c r="B100" s="71">
        <v>44479</v>
      </c>
      <c r="C100" s="2" t="s">
        <v>105</v>
      </c>
      <c r="D100" s="2" t="s">
        <v>200</v>
      </c>
      <c r="E100" s="2">
        <v>2</v>
      </c>
      <c r="F100" s="2">
        <v>7716</v>
      </c>
      <c r="G100" s="72"/>
      <c r="H100" s="72">
        <v>35</v>
      </c>
      <c r="I100" s="72"/>
      <c r="J100" s="72">
        <v>9.1999999999999993</v>
      </c>
      <c r="K100" s="21">
        <v>207</v>
      </c>
      <c r="L100" s="21"/>
      <c r="M100" s="21">
        <v>214</v>
      </c>
      <c r="N100" s="21">
        <v>1425</v>
      </c>
      <c r="O100" s="2" t="s">
        <v>1778</v>
      </c>
      <c r="P100" s="2"/>
      <c r="Q100" s="197"/>
      <c r="AA100" s="196"/>
      <c r="AB100" s="71"/>
      <c r="AC100" s="2"/>
      <c r="AD100" s="2"/>
      <c r="AE100" s="2"/>
      <c r="AF100" s="2"/>
      <c r="AG100" s="72"/>
      <c r="AH100" s="72"/>
      <c r="AI100" s="72"/>
      <c r="AJ100" s="72"/>
      <c r="AK100" s="21"/>
      <c r="AL100" s="21"/>
      <c r="AM100" s="21"/>
      <c r="AN100" s="21"/>
      <c r="AO100" s="2"/>
      <c r="AP100" s="2"/>
      <c r="AQ100" s="197"/>
    </row>
    <row r="101" spans="1:43" ht="15" customHeight="1">
      <c r="A101" s="196">
        <v>968</v>
      </c>
      <c r="B101" s="71">
        <v>44479</v>
      </c>
      <c r="C101" s="2" t="s">
        <v>38</v>
      </c>
      <c r="D101" s="2" t="s">
        <v>200</v>
      </c>
      <c r="E101" s="2">
        <v>2</v>
      </c>
      <c r="F101" s="2">
        <v>7716</v>
      </c>
      <c r="G101" s="72"/>
      <c r="H101" s="72">
        <v>35</v>
      </c>
      <c r="I101" s="72"/>
      <c r="J101" s="72">
        <v>9.6999999999999993</v>
      </c>
      <c r="K101" s="21">
        <v>208</v>
      </c>
      <c r="L101" s="21">
        <v>920</v>
      </c>
      <c r="M101" s="21">
        <v>215</v>
      </c>
      <c r="N101" s="21">
        <v>1460</v>
      </c>
      <c r="O101" s="2" t="s">
        <v>1778</v>
      </c>
      <c r="P101" s="2"/>
      <c r="Q101" s="197"/>
      <c r="AA101" s="196"/>
      <c r="AB101" s="71"/>
      <c r="AC101" s="2"/>
      <c r="AD101" s="2"/>
      <c r="AE101" s="2"/>
      <c r="AF101" s="2"/>
      <c r="AG101" s="72"/>
      <c r="AH101" s="72"/>
      <c r="AI101" s="72"/>
      <c r="AJ101" s="72"/>
      <c r="AK101" s="21"/>
      <c r="AL101" s="21"/>
      <c r="AM101" s="21"/>
      <c r="AN101" s="21"/>
      <c r="AO101" s="2"/>
      <c r="AP101" s="2"/>
      <c r="AQ101" s="197"/>
    </row>
    <row r="102" spans="1:43" ht="15" customHeight="1">
      <c r="A102" s="196">
        <v>967</v>
      </c>
      <c r="B102" s="71">
        <v>44479</v>
      </c>
      <c r="C102" s="2" t="s">
        <v>38</v>
      </c>
      <c r="D102" s="2" t="s">
        <v>201</v>
      </c>
      <c r="E102" s="2">
        <v>2</v>
      </c>
      <c r="F102" s="2">
        <v>7716</v>
      </c>
      <c r="G102" s="72"/>
      <c r="H102" s="72">
        <v>42.5</v>
      </c>
      <c r="I102" s="72"/>
      <c r="J102" s="72">
        <v>12</v>
      </c>
      <c r="K102" s="21">
        <v>218</v>
      </c>
      <c r="L102" s="21">
        <v>970</v>
      </c>
      <c r="M102" s="21">
        <v>225</v>
      </c>
      <c r="N102" s="21">
        <v>1280</v>
      </c>
      <c r="O102" s="2" t="s">
        <v>1778</v>
      </c>
      <c r="P102" s="2"/>
      <c r="Q102" s="197"/>
      <c r="AA102" s="196"/>
      <c r="AB102" s="71"/>
      <c r="AC102" s="2"/>
      <c r="AD102" s="2"/>
      <c r="AE102" s="2"/>
      <c r="AF102" s="2"/>
      <c r="AG102" s="72"/>
      <c r="AH102" s="72"/>
      <c r="AI102" s="72"/>
      <c r="AJ102" s="72"/>
      <c r="AK102" s="21"/>
      <c r="AL102" s="21"/>
      <c r="AM102" s="21"/>
      <c r="AN102" s="21"/>
      <c r="AO102" s="2"/>
      <c r="AP102" s="2"/>
      <c r="AQ102" s="197"/>
    </row>
    <row r="103" spans="1:43" ht="15" customHeight="1">
      <c r="A103" s="196">
        <v>966</v>
      </c>
      <c r="B103" s="71">
        <v>44478</v>
      </c>
      <c r="C103" s="2" t="s">
        <v>105</v>
      </c>
      <c r="D103" s="2" t="s">
        <v>200</v>
      </c>
      <c r="E103" s="2">
        <v>2</v>
      </c>
      <c r="F103" s="2">
        <v>7716</v>
      </c>
      <c r="G103" s="72"/>
      <c r="H103" s="72">
        <v>35</v>
      </c>
      <c r="I103" s="72"/>
      <c r="J103" s="72">
        <v>8.9499999999999993</v>
      </c>
      <c r="K103" s="21">
        <v>208</v>
      </c>
      <c r="L103" s="21"/>
      <c r="M103" s="21">
        <v>215</v>
      </c>
      <c r="N103" s="21">
        <v>1440</v>
      </c>
      <c r="O103" s="2" t="s">
        <v>1778</v>
      </c>
      <c r="P103" s="2"/>
      <c r="Q103" s="197"/>
      <c r="AA103" s="196"/>
      <c r="AB103" s="71"/>
      <c r="AC103" s="2"/>
      <c r="AD103" s="2"/>
      <c r="AE103" s="2"/>
      <c r="AF103" s="2"/>
      <c r="AG103" s="72"/>
      <c r="AH103" s="72"/>
      <c r="AI103" s="72"/>
      <c r="AJ103" s="72"/>
      <c r="AK103" s="21"/>
      <c r="AL103" s="21"/>
      <c r="AM103" s="21"/>
      <c r="AN103" s="21"/>
      <c r="AO103" s="2"/>
      <c r="AP103" s="2"/>
      <c r="AQ103" s="197"/>
    </row>
    <row r="104" spans="1:43" ht="15" customHeight="1">
      <c r="A104" s="196">
        <v>965</v>
      </c>
      <c r="B104" s="71">
        <v>44478</v>
      </c>
      <c r="C104" s="2" t="s">
        <v>105</v>
      </c>
      <c r="D104" s="2" t="s">
        <v>1516</v>
      </c>
      <c r="E104" s="2">
        <v>2</v>
      </c>
      <c r="F104" s="2">
        <v>7716</v>
      </c>
      <c r="G104" s="72"/>
      <c r="H104" s="72">
        <v>42.5</v>
      </c>
      <c r="I104" s="72"/>
      <c r="J104" s="72">
        <v>13</v>
      </c>
      <c r="K104" s="21">
        <v>219</v>
      </c>
      <c r="L104" s="21">
        <v>895</v>
      </c>
      <c r="M104" s="21">
        <v>225</v>
      </c>
      <c r="N104" s="21">
        <v>1180</v>
      </c>
      <c r="O104" s="2" t="s">
        <v>1778</v>
      </c>
      <c r="P104" s="2"/>
      <c r="Q104" s="197"/>
      <c r="AA104" s="196"/>
      <c r="AB104" s="71"/>
      <c r="AC104" s="2"/>
      <c r="AD104" s="2"/>
      <c r="AE104" s="2"/>
      <c r="AF104" s="2"/>
      <c r="AG104" s="72"/>
      <c r="AH104" s="72"/>
      <c r="AI104" s="72"/>
      <c r="AJ104" s="72"/>
      <c r="AK104" s="21"/>
      <c r="AL104" s="21"/>
      <c r="AM104" s="21"/>
      <c r="AN104" s="21"/>
      <c r="AO104" s="2"/>
      <c r="AP104" s="2"/>
      <c r="AQ104" s="197"/>
    </row>
    <row r="105" spans="1:43" ht="15" customHeight="1">
      <c r="A105" s="196">
        <v>964</v>
      </c>
      <c r="B105" s="71">
        <v>44477</v>
      </c>
      <c r="C105" s="2" t="s">
        <v>38</v>
      </c>
      <c r="D105" s="2" t="s">
        <v>198</v>
      </c>
      <c r="E105" s="2">
        <v>2</v>
      </c>
      <c r="F105" s="2">
        <v>7716</v>
      </c>
      <c r="G105" s="72"/>
      <c r="H105" s="72">
        <v>42.5</v>
      </c>
      <c r="I105" s="72"/>
      <c r="J105" s="72">
        <v>9.8000000000000007</v>
      </c>
      <c r="K105" s="21">
        <v>230</v>
      </c>
      <c r="L105" s="21">
        <v>1090</v>
      </c>
      <c r="M105" s="21">
        <v>235</v>
      </c>
      <c r="N105" s="21">
        <v>1650</v>
      </c>
      <c r="O105" s="2" t="s">
        <v>1778</v>
      </c>
      <c r="P105" s="2" t="s">
        <v>1447</v>
      </c>
      <c r="Q105" s="197"/>
      <c r="AA105" s="196"/>
      <c r="AB105" s="71"/>
      <c r="AC105" s="2"/>
      <c r="AD105" s="2"/>
      <c r="AE105" s="2"/>
      <c r="AF105" s="2"/>
      <c r="AG105" s="72"/>
      <c r="AH105" s="72"/>
      <c r="AI105" s="72"/>
      <c r="AJ105" s="72"/>
      <c r="AK105" s="21"/>
      <c r="AL105" s="21"/>
      <c r="AM105" s="21"/>
      <c r="AN105" s="21"/>
      <c r="AO105" s="2"/>
      <c r="AP105" s="2"/>
      <c r="AQ105" s="197"/>
    </row>
    <row r="106" spans="1:43" ht="15" customHeight="1">
      <c r="A106" s="196">
        <v>963</v>
      </c>
      <c r="B106" s="71">
        <v>44477</v>
      </c>
      <c r="C106" s="2" t="s">
        <v>38</v>
      </c>
      <c r="D106" s="2" t="s">
        <v>200</v>
      </c>
      <c r="E106" s="2">
        <v>2</v>
      </c>
      <c r="F106" s="2">
        <v>7716</v>
      </c>
      <c r="G106" s="72"/>
      <c r="H106" s="72">
        <v>35</v>
      </c>
      <c r="I106" s="72"/>
      <c r="J106" s="72">
        <v>8.8000000000000007</v>
      </c>
      <c r="K106" s="21">
        <v>210</v>
      </c>
      <c r="L106" s="21">
        <v>880</v>
      </c>
      <c r="M106" s="21">
        <v>217</v>
      </c>
      <c r="N106" s="21">
        <v>1475</v>
      </c>
      <c r="O106" s="2" t="s">
        <v>1778</v>
      </c>
      <c r="P106" s="2" t="s">
        <v>1447</v>
      </c>
      <c r="Q106" s="197"/>
      <c r="AA106" s="196"/>
      <c r="AB106" s="71"/>
      <c r="AC106" s="2"/>
      <c r="AD106" s="2"/>
      <c r="AE106" s="2"/>
      <c r="AF106" s="2"/>
      <c r="AG106" s="72"/>
      <c r="AH106" s="72"/>
      <c r="AI106" s="72"/>
      <c r="AJ106" s="72"/>
      <c r="AK106" s="21"/>
      <c r="AL106" s="21"/>
      <c r="AM106" s="21"/>
      <c r="AN106" s="21"/>
      <c r="AO106" s="2"/>
      <c r="AP106" s="2"/>
      <c r="AQ106" s="197"/>
    </row>
    <row r="107" spans="1:43" ht="15" customHeight="1">
      <c r="A107" s="196">
        <v>962</v>
      </c>
      <c r="B107" s="71">
        <v>44476</v>
      </c>
      <c r="C107" s="2" t="s">
        <v>38</v>
      </c>
      <c r="D107" s="2" t="s">
        <v>198</v>
      </c>
      <c r="E107" s="2">
        <v>2</v>
      </c>
      <c r="F107" s="2">
        <v>7716</v>
      </c>
      <c r="G107" s="72"/>
      <c r="H107" s="72">
        <v>42.5</v>
      </c>
      <c r="I107" s="72"/>
      <c r="J107" s="72">
        <v>10.4</v>
      </c>
      <c r="K107" s="21">
        <v>230</v>
      </c>
      <c r="L107" s="21">
        <v>1030</v>
      </c>
      <c r="M107" s="21">
        <v>235</v>
      </c>
      <c r="N107" s="21"/>
      <c r="O107" s="2" t="s">
        <v>1778</v>
      </c>
      <c r="P107" s="2" t="s">
        <v>1447</v>
      </c>
      <c r="Q107" s="197"/>
      <c r="AA107" s="196"/>
      <c r="AB107" s="71"/>
      <c r="AC107" s="2"/>
      <c r="AD107" s="2"/>
      <c r="AE107" s="2"/>
      <c r="AF107" s="2"/>
      <c r="AG107" s="72"/>
      <c r="AH107" s="72"/>
      <c r="AI107" s="72"/>
      <c r="AJ107" s="72"/>
      <c r="AK107" s="21"/>
      <c r="AL107" s="21"/>
      <c r="AM107" s="21"/>
      <c r="AN107" s="21"/>
      <c r="AO107" s="2"/>
      <c r="AP107" s="2"/>
      <c r="AQ107" s="197"/>
    </row>
    <row r="108" spans="1:43" ht="15" customHeight="1">
      <c r="A108" s="196">
        <v>961</v>
      </c>
      <c r="B108" s="71">
        <v>44476</v>
      </c>
      <c r="C108" s="2" t="s">
        <v>38</v>
      </c>
      <c r="D108" s="2" t="s">
        <v>200</v>
      </c>
      <c r="E108" s="2">
        <v>2</v>
      </c>
      <c r="F108" s="2">
        <v>7716</v>
      </c>
      <c r="G108" s="72"/>
      <c r="H108" s="72">
        <v>35</v>
      </c>
      <c r="I108" s="72"/>
      <c r="J108" s="72">
        <v>8.9</v>
      </c>
      <c r="K108" s="21">
        <v>209</v>
      </c>
      <c r="L108" s="21">
        <v>995</v>
      </c>
      <c r="M108" s="21">
        <v>215</v>
      </c>
      <c r="N108" s="21"/>
      <c r="O108" s="2" t="s">
        <v>1778</v>
      </c>
      <c r="P108" s="2" t="s">
        <v>1447</v>
      </c>
      <c r="Q108" s="197"/>
      <c r="AA108" s="196"/>
      <c r="AB108" s="71"/>
      <c r="AC108" s="2"/>
      <c r="AD108" s="2"/>
      <c r="AE108" s="2"/>
      <c r="AF108" s="2"/>
      <c r="AG108" s="72"/>
      <c r="AH108" s="72"/>
      <c r="AI108" s="72"/>
      <c r="AJ108" s="72"/>
      <c r="AK108" s="21"/>
      <c r="AL108" s="21"/>
      <c r="AM108" s="21"/>
      <c r="AN108" s="21"/>
      <c r="AO108" s="2"/>
      <c r="AP108" s="2"/>
      <c r="AQ108" s="197"/>
    </row>
    <row r="109" spans="1:43" ht="15" customHeight="1">
      <c r="A109" s="196">
        <v>960</v>
      </c>
      <c r="B109" s="71">
        <v>44476</v>
      </c>
      <c r="C109" s="2" t="s">
        <v>38</v>
      </c>
      <c r="D109" s="2" t="s">
        <v>1516</v>
      </c>
      <c r="E109" s="2">
        <v>2</v>
      </c>
      <c r="F109" s="2">
        <v>7716</v>
      </c>
      <c r="G109" s="72"/>
      <c r="H109" s="72">
        <v>42.5</v>
      </c>
      <c r="I109" s="72"/>
      <c r="J109" s="72">
        <v>13.11</v>
      </c>
      <c r="K109" s="21">
        <v>220</v>
      </c>
      <c r="L109" s="21">
        <v>880</v>
      </c>
      <c r="M109" s="21">
        <v>225</v>
      </c>
      <c r="N109" s="21"/>
      <c r="O109" s="2" t="s">
        <v>1778</v>
      </c>
      <c r="P109" s="2" t="s">
        <v>1447</v>
      </c>
      <c r="Q109" s="197"/>
      <c r="AA109" s="196"/>
      <c r="AB109" s="71"/>
      <c r="AC109" s="2"/>
      <c r="AD109" s="2"/>
      <c r="AE109" s="2"/>
      <c r="AF109" s="2"/>
      <c r="AG109" s="72"/>
      <c r="AH109" s="72"/>
      <c r="AI109" s="72"/>
      <c r="AJ109" s="72"/>
      <c r="AK109" s="21"/>
      <c r="AL109" s="21"/>
      <c r="AM109" s="21"/>
      <c r="AN109" s="21"/>
      <c r="AO109" s="2"/>
      <c r="AP109" s="2"/>
      <c r="AQ109" s="197"/>
    </row>
    <row r="110" spans="1:43" ht="15" customHeight="1">
      <c r="A110" s="196">
        <v>959</v>
      </c>
      <c r="B110" s="71">
        <v>44475</v>
      </c>
      <c r="C110" s="2" t="s">
        <v>36</v>
      </c>
      <c r="D110" s="2" t="s">
        <v>110</v>
      </c>
      <c r="E110" s="2">
        <v>4</v>
      </c>
      <c r="F110" s="2">
        <v>7717</v>
      </c>
      <c r="G110" s="72" t="s">
        <v>384</v>
      </c>
      <c r="H110" s="72">
        <v>35</v>
      </c>
      <c r="I110" s="72" t="s">
        <v>384</v>
      </c>
      <c r="J110" s="72">
        <v>9.1999999999999993</v>
      </c>
      <c r="K110" s="21">
        <v>199</v>
      </c>
      <c r="L110" s="21">
        <v>1060</v>
      </c>
      <c r="M110" s="21">
        <v>204.5</v>
      </c>
      <c r="N110" s="21">
        <v>1370</v>
      </c>
      <c r="O110" s="2">
        <v>1</v>
      </c>
      <c r="P110" s="2" t="s">
        <v>1773</v>
      </c>
      <c r="Q110" s="197"/>
      <c r="AA110" s="196"/>
      <c r="AB110" s="71"/>
      <c r="AC110" s="2"/>
      <c r="AD110" s="2"/>
      <c r="AE110" s="2"/>
      <c r="AF110" s="2"/>
      <c r="AG110" s="72"/>
      <c r="AH110" s="72"/>
      <c r="AI110" s="72"/>
      <c r="AJ110" s="72"/>
      <c r="AK110" s="21"/>
      <c r="AL110" s="21"/>
      <c r="AM110" s="21"/>
      <c r="AN110" s="21"/>
      <c r="AO110" s="2"/>
      <c r="AP110" s="2"/>
      <c r="AQ110" s="197"/>
    </row>
    <row r="111" spans="1:43" ht="15" customHeight="1">
      <c r="A111" s="196">
        <v>958</v>
      </c>
      <c r="B111" s="71">
        <v>44475</v>
      </c>
      <c r="C111" s="2" t="s">
        <v>36</v>
      </c>
      <c r="D111" s="2" t="s">
        <v>117</v>
      </c>
      <c r="E111" s="2">
        <v>2</v>
      </c>
      <c r="F111" s="2">
        <v>7716</v>
      </c>
      <c r="G111" s="72" t="s">
        <v>384</v>
      </c>
      <c r="H111" s="72">
        <v>35</v>
      </c>
      <c r="I111" s="72" t="s">
        <v>384</v>
      </c>
      <c r="J111" s="72">
        <v>12.9</v>
      </c>
      <c r="K111" s="21">
        <v>185</v>
      </c>
      <c r="L111" s="21">
        <v>670</v>
      </c>
      <c r="M111" s="21">
        <v>199</v>
      </c>
      <c r="N111" s="21">
        <v>1051</v>
      </c>
      <c r="O111" s="2">
        <v>1</v>
      </c>
      <c r="P111" s="2" t="s">
        <v>1773</v>
      </c>
      <c r="Q111" s="197"/>
      <c r="AA111" s="196"/>
      <c r="AB111" s="71"/>
      <c r="AC111" s="2"/>
      <c r="AD111" s="2"/>
      <c r="AE111" s="2"/>
      <c r="AF111" s="2"/>
      <c r="AG111" s="72"/>
      <c r="AH111" s="72"/>
      <c r="AI111" s="72"/>
      <c r="AJ111" s="72"/>
      <c r="AK111" s="21"/>
      <c r="AL111" s="21"/>
      <c r="AM111" s="21"/>
      <c r="AN111" s="21"/>
      <c r="AO111" s="2"/>
      <c r="AP111" s="2"/>
      <c r="AQ111" s="197"/>
    </row>
    <row r="112" spans="1:43" ht="15" customHeight="1">
      <c r="A112" s="196">
        <v>957</v>
      </c>
      <c r="B112" s="71">
        <v>44475</v>
      </c>
      <c r="C112" s="2" t="s">
        <v>38</v>
      </c>
      <c r="D112" s="2" t="s">
        <v>198</v>
      </c>
      <c r="E112" s="2">
        <v>2</v>
      </c>
      <c r="F112" s="2">
        <v>7716</v>
      </c>
      <c r="G112" s="72"/>
      <c r="H112" s="72">
        <v>42.5</v>
      </c>
      <c r="I112" s="72"/>
      <c r="J112" s="72">
        <v>10.5</v>
      </c>
      <c r="K112" s="21">
        <v>229</v>
      </c>
      <c r="L112" s="21">
        <v>1540</v>
      </c>
      <c r="M112" s="21"/>
      <c r="N112" s="21"/>
      <c r="O112" s="2" t="s">
        <v>1778</v>
      </c>
      <c r="P112" s="2" t="s">
        <v>1773</v>
      </c>
      <c r="Q112" s="197"/>
      <c r="AA112" s="196"/>
      <c r="AB112" s="71"/>
      <c r="AC112" s="2"/>
      <c r="AD112" s="2"/>
      <c r="AE112" s="2"/>
      <c r="AF112" s="2"/>
      <c r="AG112" s="72"/>
      <c r="AH112" s="72"/>
      <c r="AI112" s="72"/>
      <c r="AJ112" s="72"/>
      <c r="AK112" s="21"/>
      <c r="AL112" s="21"/>
      <c r="AM112" s="21"/>
      <c r="AN112" s="21"/>
      <c r="AO112" s="2"/>
      <c r="AP112" s="2"/>
      <c r="AQ112" s="197"/>
    </row>
    <row r="113" spans="1:43" ht="15" customHeight="1">
      <c r="A113" s="196">
        <v>956</v>
      </c>
      <c r="B113" s="71">
        <v>44475</v>
      </c>
      <c r="C113" s="2" t="s">
        <v>38</v>
      </c>
      <c r="D113" s="2" t="s">
        <v>200</v>
      </c>
      <c r="E113" s="2">
        <v>2</v>
      </c>
      <c r="F113" s="2">
        <v>7716</v>
      </c>
      <c r="G113" s="72"/>
      <c r="H113" s="72">
        <v>35</v>
      </c>
      <c r="I113" s="72"/>
      <c r="J113" s="72">
        <v>9.35</v>
      </c>
      <c r="K113" s="21">
        <v>208</v>
      </c>
      <c r="L113" s="21">
        <v>940</v>
      </c>
      <c r="M113" s="21"/>
      <c r="N113" s="21"/>
      <c r="O113" s="2" t="s">
        <v>1778</v>
      </c>
      <c r="P113" s="2" t="s">
        <v>1773</v>
      </c>
      <c r="Q113" s="197"/>
      <c r="AA113" s="196"/>
      <c r="AB113" s="71"/>
      <c r="AC113" s="2"/>
      <c r="AD113" s="2"/>
      <c r="AE113" s="2"/>
      <c r="AF113" s="2"/>
      <c r="AG113" s="72"/>
      <c r="AH113" s="72"/>
      <c r="AI113" s="72"/>
      <c r="AJ113" s="72"/>
      <c r="AK113" s="21"/>
      <c r="AL113" s="21"/>
      <c r="AM113" s="21"/>
      <c r="AN113" s="21"/>
      <c r="AO113" s="2"/>
      <c r="AP113" s="2"/>
      <c r="AQ113" s="197"/>
    </row>
    <row r="114" spans="1:43" ht="15" customHeight="1">
      <c r="A114" s="196">
        <v>955</v>
      </c>
      <c r="B114" s="71">
        <v>44468</v>
      </c>
      <c r="C114" s="2" t="s">
        <v>105</v>
      </c>
      <c r="D114" s="2" t="s">
        <v>123</v>
      </c>
      <c r="E114" s="2">
        <v>4</v>
      </c>
      <c r="F114" s="2">
        <v>7718</v>
      </c>
      <c r="G114" s="72"/>
      <c r="H114" s="72">
        <v>42.5</v>
      </c>
      <c r="I114" s="72"/>
      <c r="J114" s="72">
        <v>8.6999999999999993</v>
      </c>
      <c r="K114" s="21">
        <v>252</v>
      </c>
      <c r="L114" s="21">
        <v>1410</v>
      </c>
      <c r="M114" s="21">
        <v>251</v>
      </c>
      <c r="N114" s="21">
        <v>1720</v>
      </c>
      <c r="O114" s="2">
        <v>2</v>
      </c>
      <c r="P114" s="2" t="s">
        <v>1772</v>
      </c>
      <c r="Q114" s="197" t="s">
        <v>1460</v>
      </c>
      <c r="AA114" s="196"/>
      <c r="AB114" s="71"/>
      <c r="AC114" s="2"/>
      <c r="AD114" s="2"/>
      <c r="AE114" s="2"/>
      <c r="AF114" s="2"/>
      <c r="AG114" s="72"/>
      <c r="AH114" s="72"/>
      <c r="AI114" s="72"/>
      <c r="AJ114" s="72"/>
      <c r="AK114" s="21"/>
      <c r="AL114" s="21"/>
      <c r="AM114" s="21"/>
      <c r="AN114" s="21"/>
      <c r="AO114" s="2"/>
      <c r="AP114" s="2"/>
      <c r="AQ114" s="197"/>
    </row>
    <row r="115" spans="1:43" ht="15" customHeight="1">
      <c r="A115" s="196">
        <v>954</v>
      </c>
      <c r="B115" s="71">
        <v>44467</v>
      </c>
      <c r="C115" s="2" t="s">
        <v>105</v>
      </c>
      <c r="D115" s="2" t="s">
        <v>1446</v>
      </c>
      <c r="E115" s="2">
        <v>1</v>
      </c>
      <c r="F115" s="2" t="s">
        <v>87</v>
      </c>
      <c r="G115" s="72"/>
      <c r="H115" s="72">
        <v>42.5</v>
      </c>
      <c r="I115" s="72"/>
      <c r="J115" s="72">
        <v>9.3000000000000007</v>
      </c>
      <c r="K115" s="21">
        <v>240</v>
      </c>
      <c r="L115" s="21">
        <v>1290</v>
      </c>
      <c r="M115" s="21">
        <v>244</v>
      </c>
      <c r="N115" s="21">
        <v>1665</v>
      </c>
      <c r="O115" s="2">
        <v>2</v>
      </c>
      <c r="P115" s="2" t="s">
        <v>1773</v>
      </c>
      <c r="Q115" s="2"/>
      <c r="AA115" s="196"/>
      <c r="AB115" s="71"/>
      <c r="AC115" s="2"/>
      <c r="AD115" s="2"/>
      <c r="AE115" s="2"/>
      <c r="AF115" s="2"/>
      <c r="AG115" s="72"/>
      <c r="AH115" s="72"/>
      <c r="AI115" s="72"/>
      <c r="AJ115" s="72"/>
      <c r="AK115" s="21"/>
      <c r="AL115" s="21"/>
      <c r="AM115" s="21"/>
      <c r="AN115" s="21"/>
      <c r="AO115" s="2"/>
      <c r="AP115" s="2"/>
      <c r="AQ115" s="197"/>
    </row>
    <row r="116" spans="1:43" ht="15" customHeight="1">
      <c r="A116" s="196">
        <v>953</v>
      </c>
      <c r="B116" s="71">
        <v>44466</v>
      </c>
      <c r="C116" s="2" t="s">
        <v>105</v>
      </c>
      <c r="D116" s="2" t="s">
        <v>123</v>
      </c>
      <c r="E116" s="2">
        <v>4</v>
      </c>
      <c r="F116" s="2" t="s">
        <v>87</v>
      </c>
      <c r="G116" s="72"/>
      <c r="H116" s="72">
        <v>42.5</v>
      </c>
      <c r="I116" s="72"/>
      <c r="J116" s="72">
        <v>8.5</v>
      </c>
      <c r="K116" s="21">
        <v>252</v>
      </c>
      <c r="L116" s="21">
        <v>1450</v>
      </c>
      <c r="M116" s="21">
        <v>250</v>
      </c>
      <c r="N116" s="21">
        <v>1710</v>
      </c>
      <c r="O116" s="2">
        <v>1</v>
      </c>
      <c r="P116" s="2" t="s">
        <v>1447</v>
      </c>
      <c r="Q116" s="2"/>
      <c r="AA116" s="196"/>
      <c r="AB116" s="71"/>
      <c r="AC116" s="2"/>
      <c r="AD116" s="2"/>
      <c r="AE116" s="2"/>
      <c r="AF116" s="2"/>
      <c r="AG116" s="72"/>
      <c r="AH116" s="72"/>
      <c r="AI116" s="72"/>
      <c r="AJ116" s="72"/>
      <c r="AK116" s="21"/>
      <c r="AL116" s="21"/>
      <c r="AM116" s="21"/>
      <c r="AN116" s="21"/>
      <c r="AO116" s="2"/>
      <c r="AP116" s="2"/>
      <c r="AQ116" s="197"/>
    </row>
    <row r="117" spans="1:43" ht="15" customHeight="1">
      <c r="A117" s="196">
        <v>952</v>
      </c>
      <c r="B117" s="71">
        <v>44466</v>
      </c>
      <c r="C117" s="2" t="s">
        <v>105</v>
      </c>
      <c r="D117" s="2" t="s">
        <v>122</v>
      </c>
      <c r="E117" s="2">
        <v>4</v>
      </c>
      <c r="F117" s="2">
        <v>7718</v>
      </c>
      <c r="G117" s="72"/>
      <c r="H117" s="72">
        <v>35</v>
      </c>
      <c r="I117" s="72"/>
      <c r="J117" s="72">
        <v>8.9</v>
      </c>
      <c r="K117" s="21">
        <v>224</v>
      </c>
      <c r="L117" s="21">
        <v>1040</v>
      </c>
      <c r="M117" s="21">
        <v>225</v>
      </c>
      <c r="N117" s="21">
        <v>1450</v>
      </c>
      <c r="O117" s="2">
        <v>1</v>
      </c>
      <c r="P117" s="2" t="s">
        <v>1447</v>
      </c>
      <c r="Q117" s="2"/>
      <c r="AA117" s="196"/>
      <c r="AB117" s="71"/>
      <c r="AC117" s="2"/>
      <c r="AD117" s="2"/>
      <c r="AE117" s="2"/>
      <c r="AF117" s="2"/>
      <c r="AG117" s="72"/>
      <c r="AH117" s="72"/>
      <c r="AI117" s="72"/>
      <c r="AJ117" s="72"/>
      <c r="AK117" s="21"/>
      <c r="AL117" s="21"/>
      <c r="AM117" s="21"/>
      <c r="AN117" s="21"/>
      <c r="AO117" s="2"/>
      <c r="AP117" s="2"/>
      <c r="AQ117" s="197"/>
    </row>
    <row r="118" spans="1:43" ht="15" customHeight="1">
      <c r="A118" s="196">
        <v>951</v>
      </c>
      <c r="B118" s="71">
        <v>44462</v>
      </c>
      <c r="C118" s="2" t="s">
        <v>38</v>
      </c>
      <c r="D118" s="2" t="s">
        <v>1445</v>
      </c>
      <c r="E118" s="2">
        <v>2</v>
      </c>
      <c r="F118" s="2">
        <v>7718</v>
      </c>
      <c r="G118" s="72"/>
      <c r="H118" s="72">
        <v>35</v>
      </c>
      <c r="I118" s="72"/>
      <c r="J118" s="72">
        <v>12.6</v>
      </c>
      <c r="K118" s="21">
        <v>193</v>
      </c>
      <c r="L118" s="21">
        <v>780</v>
      </c>
      <c r="M118" s="21">
        <v>196</v>
      </c>
      <c r="N118" s="21">
        <v>1640</v>
      </c>
      <c r="O118" s="2">
        <v>1</v>
      </c>
      <c r="P118" s="2" t="s">
        <v>1447</v>
      </c>
      <c r="Q118" s="2"/>
      <c r="AA118" s="196"/>
      <c r="AB118" s="71"/>
      <c r="AC118" s="2"/>
      <c r="AD118" s="2"/>
      <c r="AE118" s="2"/>
      <c r="AF118" s="2"/>
      <c r="AG118" s="72"/>
      <c r="AH118" s="72"/>
      <c r="AI118" s="72"/>
      <c r="AJ118" s="72"/>
      <c r="AK118" s="21"/>
      <c r="AL118" s="21"/>
      <c r="AM118" s="21"/>
      <c r="AN118" s="21"/>
      <c r="AO118" s="2"/>
      <c r="AP118" s="2"/>
      <c r="AQ118" s="197"/>
    </row>
    <row r="119" spans="1:43" ht="15" customHeight="1">
      <c r="A119" s="196">
        <v>950</v>
      </c>
      <c r="B119" s="71">
        <v>44462</v>
      </c>
      <c r="C119" s="2" t="s">
        <v>38</v>
      </c>
      <c r="D119" s="2" t="s">
        <v>1446</v>
      </c>
      <c r="E119" s="2">
        <v>1</v>
      </c>
      <c r="F119" s="2" t="s">
        <v>87</v>
      </c>
      <c r="G119" s="72"/>
      <c r="H119" s="72">
        <v>42.5</v>
      </c>
      <c r="I119" s="72"/>
      <c r="J119" s="72">
        <v>9.4</v>
      </c>
      <c r="K119" s="21">
        <v>239</v>
      </c>
      <c r="L119" s="21">
        <v>1280</v>
      </c>
      <c r="M119" s="21">
        <v>243</v>
      </c>
      <c r="N119" s="21"/>
      <c r="O119" s="2">
        <v>1</v>
      </c>
      <c r="P119" s="2" t="s">
        <v>1447</v>
      </c>
      <c r="Q119" s="2"/>
      <c r="AA119" s="196"/>
      <c r="AB119" s="71"/>
      <c r="AC119" s="2"/>
      <c r="AD119" s="2"/>
      <c r="AE119" s="2"/>
      <c r="AF119" s="2"/>
      <c r="AG119" s="72"/>
      <c r="AH119" s="72"/>
      <c r="AI119" s="72"/>
      <c r="AJ119" s="72"/>
      <c r="AK119" s="21"/>
      <c r="AL119" s="21"/>
      <c r="AM119" s="21"/>
      <c r="AN119" s="21"/>
      <c r="AO119" s="2"/>
      <c r="AP119" s="2"/>
      <c r="AQ119" s="197"/>
    </row>
    <row r="120" spans="1:43" ht="15" customHeight="1">
      <c r="A120" s="196">
        <v>949</v>
      </c>
      <c r="B120" s="71">
        <v>44462</v>
      </c>
      <c r="C120" s="2" t="s">
        <v>38</v>
      </c>
      <c r="D120" s="2" t="s">
        <v>1445</v>
      </c>
      <c r="E120" s="2">
        <v>2</v>
      </c>
      <c r="F120" s="2" t="s">
        <v>87</v>
      </c>
      <c r="G120" s="72"/>
      <c r="H120" s="72">
        <v>35</v>
      </c>
      <c r="I120" s="72"/>
      <c r="J120" s="72">
        <v>13.2</v>
      </c>
      <c r="K120" s="21">
        <v>192</v>
      </c>
      <c r="L120" s="21">
        <v>730</v>
      </c>
      <c r="M120" s="21">
        <v>195</v>
      </c>
      <c r="N120" s="21">
        <v>1010</v>
      </c>
      <c r="O120" s="2">
        <v>2</v>
      </c>
      <c r="P120" s="2" t="s">
        <v>1447</v>
      </c>
      <c r="Q120" s="2"/>
      <c r="AA120" s="196"/>
      <c r="AB120" s="71"/>
      <c r="AC120" s="2"/>
      <c r="AD120" s="2"/>
      <c r="AE120" s="2"/>
      <c r="AF120" s="2"/>
      <c r="AG120" s="72"/>
      <c r="AH120" s="72"/>
      <c r="AI120" s="72"/>
      <c r="AJ120" s="72"/>
      <c r="AK120" s="21"/>
      <c r="AL120" s="21"/>
      <c r="AM120" s="21"/>
      <c r="AN120" s="21"/>
      <c r="AO120" s="2"/>
      <c r="AP120" s="2"/>
      <c r="AQ120" s="197"/>
    </row>
    <row r="121" spans="1:43" ht="15" customHeight="1">
      <c r="A121" s="196">
        <v>948</v>
      </c>
      <c r="B121" s="71">
        <v>44461</v>
      </c>
      <c r="C121" s="2" t="s">
        <v>38</v>
      </c>
      <c r="D121" s="2" t="s">
        <v>455</v>
      </c>
      <c r="E121" s="2">
        <v>5</v>
      </c>
      <c r="F121" s="2" t="s">
        <v>88</v>
      </c>
      <c r="G121" s="72"/>
      <c r="H121" s="72">
        <v>42.5</v>
      </c>
      <c r="I121" s="72"/>
      <c r="J121" s="72">
        <v>8.4</v>
      </c>
      <c r="K121" s="21">
        <v>260</v>
      </c>
      <c r="L121" s="21">
        <v>1420</v>
      </c>
      <c r="M121" s="21">
        <v>262</v>
      </c>
      <c r="N121" s="21">
        <v>1810</v>
      </c>
      <c r="O121" s="2">
        <v>1</v>
      </c>
      <c r="P121" s="2" t="s">
        <v>1773</v>
      </c>
      <c r="Q121" s="2"/>
      <c r="AA121" s="196"/>
      <c r="AB121" s="71"/>
      <c r="AC121" s="2"/>
      <c r="AD121" s="2"/>
      <c r="AE121" s="2"/>
      <c r="AF121" s="2"/>
      <c r="AG121" s="72"/>
      <c r="AH121" s="72"/>
      <c r="AI121" s="72"/>
      <c r="AJ121" s="72"/>
      <c r="AK121" s="21"/>
      <c r="AL121" s="21"/>
      <c r="AM121" s="21"/>
      <c r="AN121" s="21"/>
      <c r="AO121" s="2"/>
      <c r="AP121" s="2"/>
      <c r="AQ121" s="197"/>
    </row>
    <row r="122" spans="1:43" ht="15" customHeight="1">
      <c r="A122" s="196">
        <v>947</v>
      </c>
      <c r="B122" s="71">
        <v>44461</v>
      </c>
      <c r="C122" s="2" t="s">
        <v>38</v>
      </c>
      <c r="D122" s="2" t="s">
        <v>463</v>
      </c>
      <c r="E122" s="2">
        <v>2</v>
      </c>
      <c r="F122" s="2" t="s">
        <v>88</v>
      </c>
      <c r="G122" s="72"/>
      <c r="H122" s="72">
        <v>35</v>
      </c>
      <c r="I122" s="72"/>
      <c r="J122" s="72">
        <v>10.1</v>
      </c>
      <c r="K122" s="21">
        <v>195</v>
      </c>
      <c r="L122" s="21">
        <v>920</v>
      </c>
      <c r="M122" s="21">
        <v>200</v>
      </c>
      <c r="N122" s="21">
        <v>1340</v>
      </c>
      <c r="O122" s="2">
        <v>1</v>
      </c>
      <c r="P122" s="2" t="s">
        <v>1773</v>
      </c>
      <c r="Q122" s="2"/>
      <c r="AA122" s="196"/>
      <c r="AB122" s="71"/>
      <c r="AC122" s="2"/>
      <c r="AD122" s="2"/>
      <c r="AE122" s="2"/>
      <c r="AF122" s="2"/>
      <c r="AG122" s="72"/>
      <c r="AH122" s="72"/>
      <c r="AI122" s="72"/>
      <c r="AJ122" s="72"/>
      <c r="AK122" s="21"/>
      <c r="AL122" s="21"/>
      <c r="AM122" s="21"/>
      <c r="AN122" s="21"/>
      <c r="AO122" s="2"/>
      <c r="AP122" s="2"/>
      <c r="AQ122" s="197"/>
    </row>
    <row r="123" spans="1:43" ht="15" customHeight="1">
      <c r="A123" s="196">
        <v>946</v>
      </c>
      <c r="B123" s="71">
        <v>44456</v>
      </c>
      <c r="C123" s="2" t="s">
        <v>105</v>
      </c>
      <c r="D123" s="2" t="s">
        <v>455</v>
      </c>
      <c r="E123" s="2">
        <v>5</v>
      </c>
      <c r="F123" s="2" t="s">
        <v>88</v>
      </c>
      <c r="G123" s="72"/>
      <c r="H123" s="72">
        <v>42.5</v>
      </c>
      <c r="I123" s="72"/>
      <c r="J123" s="72">
        <v>9.0500000000000007</v>
      </c>
      <c r="K123" s="21">
        <v>256</v>
      </c>
      <c r="L123" s="21">
        <v>1300</v>
      </c>
      <c r="M123" s="21"/>
      <c r="N123" s="21"/>
      <c r="O123" s="2"/>
      <c r="P123" s="2" t="s">
        <v>1447</v>
      </c>
      <c r="Q123" s="2"/>
      <c r="AA123" s="196"/>
      <c r="AB123" s="71"/>
      <c r="AC123" s="2"/>
      <c r="AD123" s="2"/>
      <c r="AE123" s="2"/>
      <c r="AF123" s="2"/>
      <c r="AG123" s="72"/>
      <c r="AH123" s="72"/>
      <c r="AI123" s="72"/>
      <c r="AJ123" s="72"/>
      <c r="AK123" s="21"/>
      <c r="AL123" s="21"/>
      <c r="AM123" s="21"/>
      <c r="AN123" s="21"/>
      <c r="AO123" s="2"/>
      <c r="AP123" s="2"/>
      <c r="AQ123" s="197"/>
    </row>
    <row r="124" spans="1:43" ht="15" customHeight="1">
      <c r="A124" s="196">
        <v>945</v>
      </c>
      <c r="B124" s="71">
        <v>44456</v>
      </c>
      <c r="C124" s="2" t="s">
        <v>105</v>
      </c>
      <c r="D124" s="2" t="s">
        <v>439</v>
      </c>
      <c r="E124" s="2">
        <v>2</v>
      </c>
      <c r="F124" s="2" t="s">
        <v>88</v>
      </c>
      <c r="G124" s="72"/>
      <c r="H124" s="72">
        <v>35</v>
      </c>
      <c r="I124" s="72"/>
      <c r="J124" s="72">
        <v>12.6</v>
      </c>
      <c r="K124" s="21">
        <v>194</v>
      </c>
      <c r="L124" s="21">
        <v>730</v>
      </c>
      <c r="M124" s="21">
        <v>200</v>
      </c>
      <c r="N124" s="21"/>
      <c r="O124" s="2"/>
      <c r="P124" s="2" t="s">
        <v>1447</v>
      </c>
      <c r="Q124" s="2"/>
      <c r="AA124" s="196"/>
      <c r="AB124" s="71"/>
      <c r="AC124" s="2"/>
      <c r="AD124" s="2"/>
      <c r="AE124" s="2"/>
      <c r="AF124" s="2"/>
      <c r="AG124" s="72"/>
      <c r="AH124" s="72"/>
      <c r="AI124" s="72"/>
      <c r="AJ124" s="72"/>
      <c r="AK124" s="21"/>
      <c r="AL124" s="21"/>
      <c r="AM124" s="21"/>
      <c r="AN124" s="21"/>
      <c r="AO124" s="2"/>
      <c r="AP124" s="2"/>
      <c r="AQ124" s="197"/>
    </row>
    <row r="125" spans="1:43" ht="15" customHeight="1">
      <c r="A125" s="196">
        <v>944</v>
      </c>
      <c r="B125" s="71">
        <v>44456</v>
      </c>
      <c r="C125" s="2" t="s">
        <v>105</v>
      </c>
      <c r="D125" s="2" t="s">
        <v>455</v>
      </c>
      <c r="E125" s="2">
        <v>5</v>
      </c>
      <c r="F125" s="2">
        <v>751</v>
      </c>
      <c r="G125" s="72"/>
      <c r="H125" s="72">
        <v>42.5</v>
      </c>
      <c r="I125" s="72"/>
      <c r="J125" s="72">
        <v>8.6</v>
      </c>
      <c r="K125" s="21">
        <v>258</v>
      </c>
      <c r="L125" s="21">
        <v>1400</v>
      </c>
      <c r="M125" s="21">
        <v>260</v>
      </c>
      <c r="N125" s="21"/>
      <c r="O125" s="2">
        <v>2</v>
      </c>
      <c r="P125" s="2" t="s">
        <v>1447</v>
      </c>
      <c r="Q125" s="2"/>
      <c r="AA125" s="196"/>
      <c r="AB125" s="71"/>
      <c r="AC125" s="2"/>
      <c r="AD125" s="2"/>
      <c r="AE125" s="2"/>
      <c r="AF125" s="2"/>
      <c r="AG125" s="72"/>
      <c r="AH125" s="72"/>
      <c r="AI125" s="72"/>
      <c r="AJ125" s="72"/>
      <c r="AK125" s="21"/>
      <c r="AL125" s="21"/>
      <c r="AM125" s="21"/>
      <c r="AN125" s="21"/>
      <c r="AO125" s="2"/>
      <c r="AP125" s="2"/>
      <c r="AQ125" s="197"/>
    </row>
    <row r="126" spans="1:43" ht="15" customHeight="1">
      <c r="A126" s="196">
        <v>943</v>
      </c>
      <c r="B126" s="71">
        <v>44456</v>
      </c>
      <c r="C126" s="2" t="s">
        <v>105</v>
      </c>
      <c r="D126" s="2" t="s">
        <v>463</v>
      </c>
      <c r="E126" s="2">
        <v>2</v>
      </c>
      <c r="F126" s="2" t="s">
        <v>88</v>
      </c>
      <c r="G126" s="72"/>
      <c r="H126" s="72">
        <v>35</v>
      </c>
      <c r="I126" s="72"/>
      <c r="J126" s="72">
        <v>10.8</v>
      </c>
      <c r="K126" s="21">
        <v>195</v>
      </c>
      <c r="L126" s="21">
        <v>780</v>
      </c>
      <c r="M126" s="21"/>
      <c r="N126" s="21"/>
      <c r="O126" s="2"/>
      <c r="P126" s="2" t="s">
        <v>1447</v>
      </c>
      <c r="Q126" s="2"/>
      <c r="AA126" s="196"/>
      <c r="AB126" s="71"/>
      <c r="AC126" s="2"/>
      <c r="AD126" s="2"/>
      <c r="AE126" s="2"/>
      <c r="AF126" s="2"/>
      <c r="AG126" s="72"/>
      <c r="AH126" s="72"/>
      <c r="AI126" s="72"/>
      <c r="AJ126" s="72"/>
      <c r="AK126" s="21"/>
      <c r="AL126" s="21"/>
      <c r="AM126" s="21"/>
      <c r="AN126" s="21"/>
      <c r="AO126" s="2"/>
      <c r="AP126" s="2"/>
      <c r="AQ126" s="197"/>
    </row>
    <row r="127" spans="1:43" ht="15" customHeight="1">
      <c r="A127" s="196">
        <v>942</v>
      </c>
      <c r="B127" s="71">
        <v>44456</v>
      </c>
      <c r="C127" s="2" t="s">
        <v>105</v>
      </c>
      <c r="D127" s="2" t="s">
        <v>463</v>
      </c>
      <c r="E127" s="2">
        <v>2</v>
      </c>
      <c r="F127" s="2" t="s">
        <v>88</v>
      </c>
      <c r="G127" s="72"/>
      <c r="H127" s="72">
        <v>35</v>
      </c>
      <c r="I127" s="72"/>
      <c r="J127" s="72">
        <v>10.199999999999999</v>
      </c>
      <c r="K127" s="21">
        <v>195</v>
      </c>
      <c r="L127" s="21">
        <v>910</v>
      </c>
      <c r="M127" s="21">
        <v>200</v>
      </c>
      <c r="N127" s="21">
        <v>1330</v>
      </c>
      <c r="O127" s="2">
        <v>1</v>
      </c>
      <c r="P127" s="2" t="s">
        <v>1447</v>
      </c>
      <c r="Q127" s="2"/>
      <c r="AA127" s="196"/>
      <c r="AB127" s="71"/>
      <c r="AC127" s="2"/>
      <c r="AD127" s="2"/>
      <c r="AE127" s="2"/>
      <c r="AF127" s="2"/>
      <c r="AG127" s="72"/>
      <c r="AH127" s="72"/>
      <c r="AI127" s="72"/>
      <c r="AJ127" s="72"/>
      <c r="AK127" s="21"/>
      <c r="AL127" s="21"/>
      <c r="AM127" s="21"/>
      <c r="AN127" s="21"/>
      <c r="AO127" s="2"/>
      <c r="AP127" s="2"/>
      <c r="AQ127" s="197"/>
    </row>
    <row r="128" spans="1:43" ht="15" customHeight="1">
      <c r="A128" s="196">
        <v>941</v>
      </c>
      <c r="B128" s="71">
        <v>44455</v>
      </c>
      <c r="C128" s="2" t="s">
        <v>105</v>
      </c>
      <c r="D128" s="2" t="s">
        <v>455</v>
      </c>
      <c r="E128" s="2">
        <v>4</v>
      </c>
      <c r="F128" s="2" t="s">
        <v>88</v>
      </c>
      <c r="G128" s="72"/>
      <c r="H128" s="72">
        <v>42.5</v>
      </c>
      <c r="I128" s="72"/>
      <c r="J128" s="72">
        <v>7.8</v>
      </c>
      <c r="K128" s="21">
        <v>258</v>
      </c>
      <c r="L128" s="21">
        <v>1600</v>
      </c>
      <c r="M128" s="21"/>
      <c r="N128" s="21"/>
      <c r="O128" s="2"/>
      <c r="P128" s="2" t="s">
        <v>1447</v>
      </c>
      <c r="Q128" s="2"/>
      <c r="AA128" s="196"/>
      <c r="AB128" s="71"/>
      <c r="AC128" s="2"/>
      <c r="AD128" s="2"/>
      <c r="AE128" s="2"/>
      <c r="AF128" s="2"/>
      <c r="AG128" s="72"/>
      <c r="AH128" s="72"/>
      <c r="AI128" s="72"/>
      <c r="AJ128" s="72"/>
      <c r="AK128" s="21"/>
      <c r="AL128" s="21"/>
      <c r="AM128" s="21"/>
      <c r="AN128" s="21"/>
      <c r="AO128" s="2"/>
      <c r="AP128" s="2"/>
      <c r="AQ128" s="197"/>
    </row>
    <row r="129" spans="1:43" ht="15" customHeight="1">
      <c r="A129" s="196">
        <v>940</v>
      </c>
      <c r="B129" s="71">
        <v>44455</v>
      </c>
      <c r="C129" s="2" t="s">
        <v>105</v>
      </c>
      <c r="D129" s="2" t="s">
        <v>439</v>
      </c>
      <c r="E129" s="2">
        <v>2</v>
      </c>
      <c r="F129" s="2" t="s">
        <v>88</v>
      </c>
      <c r="G129" s="72"/>
      <c r="H129" s="72">
        <v>35</v>
      </c>
      <c r="I129" s="72"/>
      <c r="J129" s="72">
        <v>12.85</v>
      </c>
      <c r="K129" s="21">
        <v>198</v>
      </c>
      <c r="L129" s="21"/>
      <c r="M129" s="21"/>
      <c r="N129" s="21"/>
      <c r="O129" s="2"/>
      <c r="P129" s="2" t="s">
        <v>1447</v>
      </c>
      <c r="Q129" s="2"/>
      <c r="AA129" s="196"/>
      <c r="AB129" s="71"/>
      <c r="AC129" s="2"/>
      <c r="AD129" s="2"/>
      <c r="AE129" s="2"/>
      <c r="AF129" s="2"/>
      <c r="AG129" s="72"/>
      <c r="AH129" s="72"/>
      <c r="AI129" s="72"/>
      <c r="AJ129" s="72"/>
      <c r="AK129" s="21"/>
      <c r="AL129" s="21"/>
      <c r="AM129" s="21"/>
      <c r="AN129" s="21"/>
      <c r="AO129" s="2"/>
      <c r="AP129" s="2"/>
      <c r="AQ129" s="197"/>
    </row>
    <row r="130" spans="1:43" ht="15" customHeight="1">
      <c r="A130" s="196">
        <v>939</v>
      </c>
      <c r="B130" s="71">
        <v>44455</v>
      </c>
      <c r="C130" s="2" t="s">
        <v>37</v>
      </c>
      <c r="D130" s="2" t="s">
        <v>455</v>
      </c>
      <c r="E130" s="2">
        <v>5</v>
      </c>
      <c r="F130" s="2">
        <v>751</v>
      </c>
      <c r="G130" s="72"/>
      <c r="H130" s="72">
        <v>42.5</v>
      </c>
      <c r="I130" s="72"/>
      <c r="J130" s="72">
        <v>8</v>
      </c>
      <c r="K130" s="21">
        <v>250</v>
      </c>
      <c r="L130" s="21">
        <v>1500</v>
      </c>
      <c r="M130" s="21">
        <v>256</v>
      </c>
      <c r="N130" s="21">
        <v>1840</v>
      </c>
      <c r="O130" s="2">
        <v>2</v>
      </c>
      <c r="P130" s="2" t="s">
        <v>1447</v>
      </c>
      <c r="Q130" s="2"/>
      <c r="AA130" s="196"/>
      <c r="AB130" s="71"/>
      <c r="AC130" s="2"/>
      <c r="AD130" s="2"/>
      <c r="AE130" s="2"/>
      <c r="AF130" s="2"/>
      <c r="AG130" s="72"/>
      <c r="AH130" s="72"/>
      <c r="AI130" s="72"/>
      <c r="AJ130" s="72"/>
      <c r="AK130" s="21"/>
      <c r="AL130" s="21"/>
      <c r="AM130" s="21"/>
      <c r="AN130" s="21"/>
      <c r="AO130" s="2"/>
      <c r="AP130" s="2"/>
      <c r="AQ130" s="197"/>
    </row>
    <row r="131" spans="1:43" ht="15" customHeight="1">
      <c r="A131" s="196">
        <v>938</v>
      </c>
      <c r="B131" s="71">
        <v>44455</v>
      </c>
      <c r="C131" s="2" t="s">
        <v>37</v>
      </c>
      <c r="D131" s="2" t="s">
        <v>439</v>
      </c>
      <c r="E131" s="2">
        <v>2</v>
      </c>
      <c r="F131" s="2" t="s">
        <v>88</v>
      </c>
      <c r="G131" s="72"/>
      <c r="H131" s="72">
        <v>35</v>
      </c>
      <c r="I131" s="72"/>
      <c r="J131" s="72">
        <v>13.1</v>
      </c>
      <c r="K131" s="21">
        <v>194</v>
      </c>
      <c r="L131" s="21">
        <v>690</v>
      </c>
      <c r="M131" s="21">
        <v>200</v>
      </c>
      <c r="N131" s="21">
        <v>1100</v>
      </c>
      <c r="O131" s="2">
        <v>2</v>
      </c>
      <c r="P131" s="2" t="s">
        <v>1447</v>
      </c>
      <c r="Q131" s="2"/>
      <c r="AA131" s="196"/>
      <c r="AB131" s="71"/>
      <c r="AC131" s="2"/>
      <c r="AD131" s="2"/>
      <c r="AE131" s="2"/>
      <c r="AF131" s="2"/>
      <c r="AG131" s="72"/>
      <c r="AH131" s="72"/>
      <c r="AI131" s="72"/>
      <c r="AJ131" s="72"/>
      <c r="AK131" s="21"/>
      <c r="AL131" s="21"/>
      <c r="AM131" s="21"/>
      <c r="AN131" s="21"/>
      <c r="AO131" s="2"/>
      <c r="AP131" s="2"/>
      <c r="AQ131" s="197"/>
    </row>
    <row r="132" spans="1:43" ht="15" customHeight="1">
      <c r="A132" s="196">
        <v>937</v>
      </c>
      <c r="B132" s="71">
        <v>44453</v>
      </c>
      <c r="C132" s="2" t="s">
        <v>105</v>
      </c>
      <c r="D132" s="2" t="s">
        <v>1445</v>
      </c>
      <c r="E132" s="2">
        <v>2</v>
      </c>
      <c r="F132" s="2" t="s">
        <v>87</v>
      </c>
      <c r="G132" s="72"/>
      <c r="H132" s="72">
        <v>35</v>
      </c>
      <c r="I132" s="72"/>
      <c r="J132" s="72">
        <v>11.8</v>
      </c>
      <c r="K132" s="21">
        <v>192</v>
      </c>
      <c r="L132" s="21"/>
      <c r="M132" s="21"/>
      <c r="N132" s="21"/>
      <c r="O132" s="2"/>
      <c r="P132" s="2" t="s">
        <v>1447</v>
      </c>
      <c r="Q132" s="2"/>
      <c r="AA132" s="196"/>
      <c r="AB132" s="71"/>
      <c r="AC132" s="2"/>
      <c r="AD132" s="2"/>
      <c r="AE132" s="2"/>
      <c r="AF132" s="2"/>
      <c r="AG132" s="72"/>
      <c r="AH132" s="72"/>
      <c r="AI132" s="72"/>
      <c r="AJ132" s="72"/>
      <c r="AK132" s="21"/>
      <c r="AL132" s="21"/>
      <c r="AM132" s="21"/>
      <c r="AN132" s="21"/>
      <c r="AO132" s="2"/>
      <c r="AP132" s="2"/>
      <c r="AQ132" s="197"/>
    </row>
    <row r="133" spans="1:43" ht="15" customHeight="1">
      <c r="A133" s="196">
        <v>936</v>
      </c>
      <c r="B133" s="71">
        <v>44452</v>
      </c>
      <c r="C133" s="2" t="s">
        <v>105</v>
      </c>
      <c r="D133" s="2" t="s">
        <v>1445</v>
      </c>
      <c r="E133" s="2">
        <v>2</v>
      </c>
      <c r="F133" s="2" t="s">
        <v>87</v>
      </c>
      <c r="G133" s="72"/>
      <c r="H133" s="72">
        <v>35</v>
      </c>
      <c r="I133" s="72"/>
      <c r="J133" s="72">
        <v>11.4</v>
      </c>
      <c r="K133" s="21"/>
      <c r="L133" s="21"/>
      <c r="M133" s="21"/>
      <c r="N133" s="21"/>
      <c r="O133" s="2">
        <v>2</v>
      </c>
      <c r="P133" s="2" t="s">
        <v>1447</v>
      </c>
      <c r="Q133" s="2"/>
      <c r="AA133" s="196"/>
      <c r="AB133" s="71"/>
      <c r="AC133" s="2"/>
      <c r="AD133" s="2"/>
      <c r="AE133" s="2"/>
      <c r="AF133" s="2"/>
      <c r="AG133" s="72"/>
      <c r="AH133" s="72"/>
      <c r="AI133" s="72"/>
      <c r="AJ133" s="72"/>
      <c r="AK133" s="21"/>
      <c r="AL133" s="21"/>
      <c r="AM133" s="21"/>
      <c r="AN133" s="21"/>
      <c r="AO133" s="2"/>
      <c r="AP133" s="2"/>
      <c r="AQ133" s="197"/>
    </row>
    <row r="134" spans="1:43" ht="15" customHeight="1">
      <c r="A134" s="196">
        <v>935</v>
      </c>
      <c r="B134" s="71">
        <v>44452</v>
      </c>
      <c r="C134" s="2" t="s">
        <v>105</v>
      </c>
      <c r="D134" s="2" t="s">
        <v>1446</v>
      </c>
      <c r="E134" s="2">
        <v>1</v>
      </c>
      <c r="F134" s="2">
        <v>7718</v>
      </c>
      <c r="G134" s="72"/>
      <c r="H134" s="72">
        <v>42.5</v>
      </c>
      <c r="I134" s="72"/>
      <c r="J134" s="72">
        <v>9.6</v>
      </c>
      <c r="K134" s="21">
        <v>240</v>
      </c>
      <c r="L134" s="21"/>
      <c r="M134" s="21">
        <v>244</v>
      </c>
      <c r="N134" s="21"/>
      <c r="O134" s="2">
        <v>2</v>
      </c>
      <c r="P134" s="2" t="s">
        <v>1447</v>
      </c>
      <c r="Q134" s="2"/>
      <c r="AA134" s="196"/>
      <c r="AB134" s="71"/>
      <c r="AC134" s="2"/>
      <c r="AD134" s="2"/>
      <c r="AE134" s="2"/>
      <c r="AF134" s="2"/>
      <c r="AG134" s="72"/>
      <c r="AH134" s="72"/>
      <c r="AI134" s="72"/>
      <c r="AJ134" s="72"/>
      <c r="AK134" s="21"/>
      <c r="AL134" s="21"/>
      <c r="AM134" s="21"/>
      <c r="AN134" s="21"/>
      <c r="AO134" s="2"/>
      <c r="AP134" s="2"/>
      <c r="AQ134" s="197"/>
    </row>
    <row r="135" spans="1:43" ht="15" customHeight="1">
      <c r="A135" s="196">
        <v>934</v>
      </c>
      <c r="B135" s="71">
        <v>44451</v>
      </c>
      <c r="C135" s="2" t="s">
        <v>105</v>
      </c>
      <c r="D135" s="2" t="s">
        <v>1445</v>
      </c>
      <c r="E135" s="2">
        <v>2</v>
      </c>
      <c r="F135" s="2">
        <v>7718</v>
      </c>
      <c r="G135" s="72"/>
      <c r="H135" s="72">
        <v>35</v>
      </c>
      <c r="I135" s="72"/>
      <c r="J135" s="72">
        <v>12.5</v>
      </c>
      <c r="K135" s="21"/>
      <c r="L135" s="21">
        <v>770</v>
      </c>
      <c r="M135" s="21"/>
      <c r="N135" s="21"/>
      <c r="O135" s="2">
        <v>1</v>
      </c>
      <c r="P135" s="2" t="s">
        <v>1447</v>
      </c>
      <c r="Q135" s="2"/>
      <c r="AA135" s="196"/>
      <c r="AB135" s="71"/>
      <c r="AC135" s="2"/>
      <c r="AD135" s="2"/>
      <c r="AE135" s="2"/>
      <c r="AF135" s="2"/>
      <c r="AG135" s="72"/>
      <c r="AH135" s="72"/>
      <c r="AI135" s="72"/>
      <c r="AJ135" s="72"/>
      <c r="AK135" s="21"/>
      <c r="AL135" s="21"/>
      <c r="AM135" s="21"/>
      <c r="AN135" s="21"/>
      <c r="AO135" s="2"/>
      <c r="AP135" s="2"/>
      <c r="AQ135" s="197"/>
    </row>
    <row r="136" spans="1:43" ht="15" customHeight="1">
      <c r="A136" s="196">
        <v>933</v>
      </c>
      <c r="B136" s="71">
        <v>44451</v>
      </c>
      <c r="C136" s="2" t="s">
        <v>105</v>
      </c>
      <c r="D136" s="2" t="s">
        <v>1446</v>
      </c>
      <c r="E136" s="2">
        <v>1</v>
      </c>
      <c r="F136" s="2">
        <v>7718</v>
      </c>
      <c r="G136" s="72"/>
      <c r="H136" s="72">
        <v>42.5</v>
      </c>
      <c r="I136" s="72"/>
      <c r="J136" s="72">
        <v>10.7</v>
      </c>
      <c r="K136" s="21"/>
      <c r="L136" s="21">
        <v>1100</v>
      </c>
      <c r="M136" s="21"/>
      <c r="N136" s="21"/>
      <c r="O136" s="2">
        <v>1</v>
      </c>
      <c r="P136" s="2" t="s">
        <v>1447</v>
      </c>
      <c r="Q136" s="2"/>
      <c r="AA136" s="196"/>
      <c r="AB136" s="71"/>
      <c r="AC136" s="2"/>
      <c r="AD136" s="2"/>
      <c r="AE136" s="2"/>
      <c r="AF136" s="2"/>
      <c r="AG136" s="72"/>
      <c r="AH136" s="72"/>
      <c r="AI136" s="72"/>
      <c r="AJ136" s="72"/>
      <c r="AK136" s="21"/>
      <c r="AL136" s="21"/>
      <c r="AM136" s="21"/>
      <c r="AN136" s="21"/>
      <c r="AO136" s="2"/>
      <c r="AP136" s="2"/>
      <c r="AQ136" s="197"/>
    </row>
    <row r="137" spans="1:43" ht="15" customHeight="1">
      <c r="A137" s="196">
        <v>932</v>
      </c>
      <c r="B137" s="71">
        <v>44451</v>
      </c>
      <c r="C137" s="2" t="s">
        <v>105</v>
      </c>
      <c r="D137" s="2" t="s">
        <v>1446</v>
      </c>
      <c r="E137" s="2">
        <v>1</v>
      </c>
      <c r="F137" s="2">
        <v>7718</v>
      </c>
      <c r="G137" s="72"/>
      <c r="H137" s="72">
        <v>42.5</v>
      </c>
      <c r="I137" s="72"/>
      <c r="J137" s="72">
        <v>10.199999999999999</v>
      </c>
      <c r="K137" s="21">
        <v>240</v>
      </c>
      <c r="L137" s="21">
        <v>1242</v>
      </c>
      <c r="M137" s="21">
        <v>244</v>
      </c>
      <c r="N137" s="21"/>
      <c r="O137" s="2">
        <v>2</v>
      </c>
      <c r="P137" s="2" t="s">
        <v>1447</v>
      </c>
      <c r="Q137" s="2"/>
      <c r="AA137" s="196"/>
      <c r="AB137" s="71"/>
      <c r="AC137" s="2"/>
      <c r="AD137" s="2"/>
      <c r="AE137" s="2"/>
      <c r="AF137" s="2"/>
      <c r="AG137" s="72"/>
      <c r="AH137" s="72"/>
      <c r="AI137" s="72"/>
      <c r="AJ137" s="72"/>
      <c r="AK137" s="21"/>
      <c r="AL137" s="21"/>
      <c r="AM137" s="21"/>
      <c r="AN137" s="21"/>
      <c r="AO137" s="2"/>
      <c r="AP137" s="2"/>
      <c r="AQ137" s="197"/>
    </row>
    <row r="138" spans="1:43" ht="15" customHeight="1">
      <c r="A138" s="196">
        <v>931</v>
      </c>
      <c r="B138" s="71">
        <v>44451</v>
      </c>
      <c r="C138" s="2" t="s">
        <v>105</v>
      </c>
      <c r="D138" s="2" t="s">
        <v>1445</v>
      </c>
      <c r="E138" s="2">
        <v>2</v>
      </c>
      <c r="F138" s="2">
        <v>7718</v>
      </c>
      <c r="G138" s="72"/>
      <c r="H138" s="72"/>
      <c r="I138" s="72"/>
      <c r="J138" s="72"/>
      <c r="K138" s="21"/>
      <c r="L138" s="21"/>
      <c r="M138" s="21"/>
      <c r="N138" s="21"/>
      <c r="O138" s="2"/>
      <c r="P138" s="2" t="s">
        <v>1447</v>
      </c>
      <c r="Q138" s="2"/>
      <c r="AA138" s="196"/>
      <c r="AB138" s="71"/>
      <c r="AC138" s="2"/>
      <c r="AD138" s="2"/>
      <c r="AE138" s="2"/>
      <c r="AF138" s="2"/>
      <c r="AG138" s="72"/>
      <c r="AH138" s="72"/>
      <c r="AI138" s="72"/>
      <c r="AJ138" s="72"/>
      <c r="AK138" s="21"/>
      <c r="AL138" s="21"/>
      <c r="AM138" s="21"/>
      <c r="AN138" s="21"/>
      <c r="AO138" s="2"/>
      <c r="AP138" s="2"/>
      <c r="AQ138" s="197"/>
    </row>
    <row r="139" spans="1:43" ht="15" customHeight="1">
      <c r="A139" s="196">
        <v>930</v>
      </c>
      <c r="B139" s="71">
        <v>44451</v>
      </c>
      <c r="C139" s="2" t="s">
        <v>37</v>
      </c>
      <c r="D139" s="2" t="s">
        <v>1443</v>
      </c>
      <c r="E139" s="2">
        <v>5</v>
      </c>
      <c r="F139" s="2" t="s">
        <v>82</v>
      </c>
      <c r="G139" s="72"/>
      <c r="H139" s="72">
        <v>42.5</v>
      </c>
      <c r="I139" s="72"/>
      <c r="J139" s="72">
        <v>12.3</v>
      </c>
      <c r="K139" s="21">
        <v>243</v>
      </c>
      <c r="L139" s="21">
        <v>870</v>
      </c>
      <c r="M139" s="21">
        <v>250</v>
      </c>
      <c r="N139" s="21">
        <v>1320</v>
      </c>
      <c r="O139" s="2">
        <v>1</v>
      </c>
      <c r="P139" s="2" t="s">
        <v>1447</v>
      </c>
      <c r="Q139" s="2"/>
      <c r="AA139" s="196"/>
      <c r="AB139" s="71"/>
      <c r="AC139" s="2"/>
      <c r="AD139" s="2"/>
      <c r="AE139" s="2"/>
      <c r="AF139" s="2"/>
      <c r="AG139" s="72"/>
      <c r="AH139" s="72"/>
      <c r="AI139" s="72"/>
      <c r="AJ139" s="72"/>
      <c r="AK139" s="21"/>
      <c r="AL139" s="21"/>
      <c r="AM139" s="21"/>
      <c r="AN139" s="21"/>
      <c r="AO139" s="2"/>
      <c r="AP139" s="2"/>
      <c r="AQ139" s="197"/>
    </row>
    <row r="140" spans="1:43" ht="15" customHeight="1">
      <c r="A140" s="196">
        <v>929</v>
      </c>
      <c r="B140" s="71">
        <v>44451</v>
      </c>
      <c r="C140" s="2" t="s">
        <v>37</v>
      </c>
      <c r="D140" s="2" t="s">
        <v>1444</v>
      </c>
      <c r="E140" s="2">
        <v>5</v>
      </c>
      <c r="F140" s="2" t="s">
        <v>84</v>
      </c>
      <c r="G140" s="72"/>
      <c r="H140" s="72">
        <v>42.5</v>
      </c>
      <c r="I140" s="72"/>
      <c r="J140" s="72">
        <v>9</v>
      </c>
      <c r="K140" s="21">
        <v>239</v>
      </c>
      <c r="L140" s="21">
        <v>1240</v>
      </c>
      <c r="M140" s="21">
        <v>244</v>
      </c>
      <c r="N140" s="21">
        <v>1660</v>
      </c>
      <c r="O140" s="2"/>
      <c r="P140" s="2" t="s">
        <v>1447</v>
      </c>
      <c r="Q140" s="2"/>
      <c r="AA140" s="196"/>
      <c r="AB140" s="71"/>
      <c r="AC140" s="2"/>
      <c r="AD140" s="2"/>
      <c r="AE140" s="2"/>
      <c r="AF140" s="2"/>
      <c r="AG140" s="72"/>
      <c r="AH140" s="72"/>
      <c r="AI140" s="72"/>
      <c r="AJ140" s="72"/>
      <c r="AK140" s="21"/>
      <c r="AL140" s="21"/>
      <c r="AM140" s="21"/>
      <c r="AN140" s="21"/>
      <c r="AO140" s="2"/>
      <c r="AP140" s="2"/>
      <c r="AQ140" s="197"/>
    </row>
    <row r="141" spans="1:43" ht="15" customHeight="1">
      <c r="A141" s="196">
        <v>928</v>
      </c>
      <c r="B141" s="71">
        <v>44448</v>
      </c>
      <c r="C141" s="2" t="s">
        <v>36</v>
      </c>
      <c r="D141" s="2" t="s">
        <v>1443</v>
      </c>
      <c r="E141" s="2">
        <v>5</v>
      </c>
      <c r="F141" s="2" t="s">
        <v>82</v>
      </c>
      <c r="G141" s="72"/>
      <c r="H141" s="72">
        <v>42.5</v>
      </c>
      <c r="I141" s="72"/>
      <c r="J141" s="72">
        <v>12.7</v>
      </c>
      <c r="K141" s="21">
        <v>242</v>
      </c>
      <c r="L141" s="21">
        <v>850</v>
      </c>
      <c r="M141" s="21">
        <v>250</v>
      </c>
      <c r="N141" s="21"/>
      <c r="O141" s="2">
        <v>1</v>
      </c>
      <c r="P141" s="2" t="s">
        <v>1447</v>
      </c>
      <c r="Q141" s="2"/>
      <c r="AA141" s="196"/>
      <c r="AB141" s="71"/>
      <c r="AC141" s="2"/>
      <c r="AD141" s="2"/>
      <c r="AE141" s="2"/>
      <c r="AF141" s="2"/>
      <c r="AG141" s="72"/>
      <c r="AH141" s="72"/>
      <c r="AI141" s="72"/>
      <c r="AJ141" s="72"/>
      <c r="AK141" s="21"/>
      <c r="AL141" s="21"/>
      <c r="AM141" s="21"/>
      <c r="AN141" s="21"/>
      <c r="AO141" s="2"/>
      <c r="AP141" s="2"/>
      <c r="AQ141" s="197"/>
    </row>
    <row r="142" spans="1:43" ht="15" customHeight="1">
      <c r="A142" s="196">
        <v>927</v>
      </c>
      <c r="B142" s="71">
        <v>44447</v>
      </c>
      <c r="C142" s="2" t="s">
        <v>105</v>
      </c>
      <c r="D142" s="2" t="s">
        <v>1443</v>
      </c>
      <c r="E142" s="2">
        <v>5</v>
      </c>
      <c r="F142" s="2" t="s">
        <v>82</v>
      </c>
      <c r="G142" s="72"/>
      <c r="H142" s="72">
        <v>42.5</v>
      </c>
      <c r="I142" s="72"/>
      <c r="J142" s="72">
        <v>13</v>
      </c>
      <c r="K142" s="21">
        <v>240</v>
      </c>
      <c r="L142" s="21"/>
      <c r="M142" s="21">
        <v>250</v>
      </c>
      <c r="N142" s="21">
        <v>1220</v>
      </c>
      <c r="O142" s="2">
        <v>1</v>
      </c>
      <c r="P142" s="2" t="s">
        <v>1447</v>
      </c>
      <c r="Q142" s="2"/>
      <c r="AA142" s="196"/>
      <c r="AB142" s="71"/>
      <c r="AC142" s="2"/>
      <c r="AD142" s="2"/>
      <c r="AE142" s="2"/>
      <c r="AF142" s="2"/>
      <c r="AG142" s="72"/>
      <c r="AH142" s="72"/>
      <c r="AI142" s="72"/>
      <c r="AJ142" s="72"/>
      <c r="AK142" s="21"/>
      <c r="AL142" s="21"/>
      <c r="AM142" s="21"/>
      <c r="AN142" s="21"/>
      <c r="AO142" s="2"/>
      <c r="AP142" s="2"/>
      <c r="AQ142" s="197"/>
    </row>
    <row r="143" spans="1:43" ht="15" customHeight="1">
      <c r="A143" s="196">
        <v>926</v>
      </c>
      <c r="B143" s="71">
        <v>44447</v>
      </c>
      <c r="C143" s="2" t="s">
        <v>36</v>
      </c>
      <c r="D143" s="2" t="s">
        <v>1444</v>
      </c>
      <c r="E143" s="2">
        <v>5</v>
      </c>
      <c r="F143" s="2" t="s">
        <v>84</v>
      </c>
      <c r="G143" s="72"/>
      <c r="H143" s="72">
        <v>42.5</v>
      </c>
      <c r="I143" s="72"/>
      <c r="J143" s="72">
        <v>9</v>
      </c>
      <c r="K143" s="21">
        <v>239</v>
      </c>
      <c r="L143" s="21">
        <v>1228</v>
      </c>
      <c r="M143" s="21">
        <v>245</v>
      </c>
      <c r="N143" s="21">
        <v>1698</v>
      </c>
      <c r="O143" s="2">
        <v>1</v>
      </c>
      <c r="P143" s="2" t="s">
        <v>1447</v>
      </c>
      <c r="Q143" s="2"/>
      <c r="AA143" s="196"/>
      <c r="AB143" s="71"/>
      <c r="AC143" s="2"/>
      <c r="AD143" s="2"/>
      <c r="AE143" s="2"/>
      <c r="AF143" s="2"/>
      <c r="AG143" s="72"/>
      <c r="AH143" s="72"/>
      <c r="AI143" s="72"/>
      <c r="AJ143" s="72"/>
      <c r="AK143" s="21"/>
      <c r="AL143" s="21"/>
      <c r="AM143" s="21"/>
      <c r="AN143" s="21"/>
      <c r="AO143" s="2"/>
      <c r="AP143" s="2"/>
      <c r="AQ143" s="197"/>
    </row>
    <row r="144" spans="1:43" ht="15" customHeight="1">
      <c r="A144" s="196">
        <v>925</v>
      </c>
      <c r="B144" s="71">
        <v>44445</v>
      </c>
      <c r="C144" s="2" t="s">
        <v>37</v>
      </c>
      <c r="D144" s="2" t="s">
        <v>1442</v>
      </c>
      <c r="E144" s="2">
        <v>1</v>
      </c>
      <c r="F144" s="2">
        <v>7716</v>
      </c>
      <c r="G144" s="72"/>
      <c r="H144" s="72">
        <v>42.5</v>
      </c>
      <c r="I144" s="72"/>
      <c r="J144" s="72">
        <v>10.71</v>
      </c>
      <c r="K144" s="21">
        <v>224</v>
      </c>
      <c r="L144" s="21">
        <v>1022</v>
      </c>
      <c r="M144" s="21">
        <v>235</v>
      </c>
      <c r="N144" s="21">
        <v>1585</v>
      </c>
      <c r="O144" s="2">
        <v>1</v>
      </c>
      <c r="P144" s="2" t="s">
        <v>1773</v>
      </c>
      <c r="Q144" s="2"/>
      <c r="AA144" s="196"/>
      <c r="AB144" s="71"/>
      <c r="AC144" s="2"/>
      <c r="AD144" s="2"/>
      <c r="AE144" s="2"/>
      <c r="AF144" s="2"/>
      <c r="AG144" s="72"/>
      <c r="AH144" s="72"/>
      <c r="AI144" s="72"/>
      <c r="AJ144" s="72"/>
      <c r="AK144" s="21"/>
      <c r="AL144" s="21"/>
      <c r="AM144" s="21"/>
      <c r="AN144" s="21"/>
      <c r="AO144" s="2"/>
      <c r="AP144" s="2"/>
      <c r="AQ144" s="197"/>
    </row>
    <row r="145" spans="1:43" ht="15" customHeight="1">
      <c r="A145" s="196">
        <v>924</v>
      </c>
      <c r="B145" s="71">
        <v>44445</v>
      </c>
      <c r="C145" s="2" t="s">
        <v>37</v>
      </c>
      <c r="D145" s="2" t="s">
        <v>1438</v>
      </c>
      <c r="E145" s="2">
        <v>1</v>
      </c>
      <c r="F145" s="2">
        <v>7716</v>
      </c>
      <c r="G145" s="72"/>
      <c r="H145" s="72">
        <v>42.5</v>
      </c>
      <c r="I145" s="72"/>
      <c r="J145" s="72">
        <v>10.71</v>
      </c>
      <c r="K145" s="21">
        <v>224</v>
      </c>
      <c r="L145" s="21">
        <v>1022</v>
      </c>
      <c r="M145" s="21">
        <v>235</v>
      </c>
      <c r="N145" s="21">
        <v>1585</v>
      </c>
      <c r="O145" s="2">
        <v>1</v>
      </c>
      <c r="P145" s="2" t="s">
        <v>1773</v>
      </c>
      <c r="Q145" s="2"/>
      <c r="AA145" s="196"/>
      <c r="AB145" s="71"/>
      <c r="AC145" s="2"/>
      <c r="AD145" s="2"/>
      <c r="AE145" s="2"/>
      <c r="AF145" s="2"/>
      <c r="AG145" s="72"/>
      <c r="AH145" s="72"/>
      <c r="AI145" s="72"/>
      <c r="AJ145" s="72"/>
      <c r="AK145" s="21"/>
      <c r="AL145" s="21"/>
      <c r="AM145" s="21"/>
      <c r="AN145" s="21"/>
      <c r="AO145" s="2"/>
      <c r="AP145" s="2"/>
      <c r="AQ145" s="197"/>
    </row>
    <row r="146" spans="1:43" ht="15" customHeight="1">
      <c r="A146" s="196">
        <v>923</v>
      </c>
      <c r="B146" s="71">
        <v>44445</v>
      </c>
      <c r="C146" s="2" t="s">
        <v>37</v>
      </c>
      <c r="D146" s="2" t="s">
        <v>1440</v>
      </c>
      <c r="E146" s="2">
        <v>0</v>
      </c>
      <c r="F146" s="2">
        <v>7199</v>
      </c>
      <c r="G146" s="72">
        <v>30</v>
      </c>
      <c r="H146" s="72">
        <v>28</v>
      </c>
      <c r="I146" s="72"/>
      <c r="J146" s="72">
        <v>13.6</v>
      </c>
      <c r="K146" s="21">
        <v>218</v>
      </c>
      <c r="L146" s="21">
        <v>860</v>
      </c>
      <c r="M146" s="21">
        <v>236</v>
      </c>
      <c r="N146" s="21">
        <v>1600</v>
      </c>
      <c r="O146" s="2">
        <v>2</v>
      </c>
      <c r="P146" s="2" t="s">
        <v>1447</v>
      </c>
      <c r="Q146" s="2"/>
      <c r="AA146" s="196"/>
      <c r="AB146" s="71"/>
      <c r="AC146" s="2"/>
      <c r="AD146" s="2"/>
      <c r="AE146" s="2"/>
      <c r="AF146" s="2"/>
      <c r="AG146" s="72"/>
      <c r="AH146" s="72"/>
      <c r="AI146" s="72"/>
      <c r="AJ146" s="72"/>
      <c r="AK146" s="21"/>
      <c r="AL146" s="21"/>
      <c r="AM146" s="21"/>
      <c r="AN146" s="21"/>
      <c r="AO146" s="2"/>
      <c r="AP146" s="2"/>
      <c r="AQ146" s="197"/>
    </row>
    <row r="147" spans="1:43" ht="15" customHeight="1">
      <c r="A147" s="196">
        <v>922</v>
      </c>
      <c r="B147" s="71">
        <v>44443</v>
      </c>
      <c r="C147" s="2" t="s">
        <v>105</v>
      </c>
      <c r="D147" s="2" t="s">
        <v>1440</v>
      </c>
      <c r="E147" s="2">
        <v>0</v>
      </c>
      <c r="F147" s="2" t="s">
        <v>85</v>
      </c>
      <c r="G147" s="72">
        <v>30</v>
      </c>
      <c r="H147" s="72">
        <v>28</v>
      </c>
      <c r="I147" s="72"/>
      <c r="J147" s="72">
        <v>13.6</v>
      </c>
      <c r="K147" s="21">
        <v>219</v>
      </c>
      <c r="L147" s="21">
        <v>870</v>
      </c>
      <c r="M147" s="21">
        <v>235</v>
      </c>
      <c r="N147" s="21"/>
      <c r="O147" s="2">
        <v>2</v>
      </c>
      <c r="P147" s="2" t="s">
        <v>1447</v>
      </c>
      <c r="Q147" s="2"/>
      <c r="AA147" s="196"/>
      <c r="AB147" s="71"/>
      <c r="AC147" s="2"/>
      <c r="AD147" s="2"/>
      <c r="AE147" s="2"/>
      <c r="AF147" s="2"/>
      <c r="AG147" s="72"/>
      <c r="AH147" s="72"/>
      <c r="AI147" s="72"/>
      <c r="AJ147" s="72"/>
      <c r="AK147" s="21"/>
      <c r="AL147" s="21"/>
      <c r="AM147" s="21"/>
      <c r="AN147" s="21"/>
      <c r="AO147" s="2"/>
      <c r="AP147" s="2"/>
      <c r="AQ147" s="197"/>
    </row>
    <row r="148" spans="1:43" ht="15" customHeight="1">
      <c r="A148" s="196">
        <v>921</v>
      </c>
      <c r="B148" s="71">
        <v>44441</v>
      </c>
      <c r="C148" s="2" t="s">
        <v>105</v>
      </c>
      <c r="D148" s="2" t="s">
        <v>1440</v>
      </c>
      <c r="E148" s="2">
        <v>0</v>
      </c>
      <c r="F148" s="2">
        <v>7199</v>
      </c>
      <c r="G148" s="72">
        <v>30</v>
      </c>
      <c r="H148" s="72">
        <v>28</v>
      </c>
      <c r="I148" s="72"/>
      <c r="J148" s="72">
        <v>14</v>
      </c>
      <c r="K148" s="21">
        <v>219</v>
      </c>
      <c r="L148" s="21">
        <v>800</v>
      </c>
      <c r="M148" s="21">
        <v>236</v>
      </c>
      <c r="N148" s="21"/>
      <c r="O148" s="2">
        <v>2</v>
      </c>
      <c r="P148" s="2" t="s">
        <v>1447</v>
      </c>
      <c r="Q148" s="2"/>
      <c r="AA148" s="196"/>
      <c r="AB148" s="71"/>
      <c r="AC148" s="2"/>
      <c r="AD148" s="2"/>
      <c r="AE148" s="2"/>
      <c r="AF148" s="2"/>
      <c r="AG148" s="72"/>
      <c r="AH148" s="72"/>
      <c r="AI148" s="72"/>
      <c r="AJ148" s="72"/>
      <c r="AK148" s="21"/>
      <c r="AL148" s="21"/>
      <c r="AM148" s="21"/>
      <c r="AN148" s="21"/>
      <c r="AO148" s="2"/>
      <c r="AP148" s="2"/>
      <c r="AQ148" s="197"/>
    </row>
    <row r="149" spans="1:43" ht="15" customHeight="1">
      <c r="A149" s="196">
        <v>920</v>
      </c>
      <c r="B149" s="71">
        <v>44441</v>
      </c>
      <c r="C149" s="2" t="s">
        <v>105</v>
      </c>
      <c r="D149" s="2" t="s">
        <v>1442</v>
      </c>
      <c r="E149" s="2">
        <v>1</v>
      </c>
      <c r="F149" s="2" t="s">
        <v>82</v>
      </c>
      <c r="G149" s="72"/>
      <c r="H149" s="72">
        <v>42.5</v>
      </c>
      <c r="I149" s="72"/>
      <c r="J149" s="72">
        <v>11</v>
      </c>
      <c r="K149" s="21">
        <v>228</v>
      </c>
      <c r="L149" s="21">
        <v>990</v>
      </c>
      <c r="M149" s="21">
        <v>236</v>
      </c>
      <c r="N149" s="21"/>
      <c r="O149" s="2">
        <v>2</v>
      </c>
      <c r="P149" s="2" t="s">
        <v>1447</v>
      </c>
      <c r="Q149" s="2"/>
      <c r="AA149" s="196"/>
      <c r="AB149" s="71"/>
      <c r="AC149" s="2"/>
      <c r="AD149" s="2"/>
      <c r="AE149" s="2"/>
      <c r="AF149" s="2"/>
      <c r="AG149" s="72"/>
      <c r="AH149" s="72"/>
      <c r="AI149" s="72"/>
      <c r="AJ149" s="72"/>
      <c r="AK149" s="21"/>
      <c r="AL149" s="21"/>
      <c r="AM149" s="21"/>
      <c r="AN149" s="21"/>
      <c r="AO149" s="2"/>
      <c r="AP149" s="2"/>
      <c r="AQ149" s="197"/>
    </row>
    <row r="150" spans="1:43" ht="15" customHeight="1">
      <c r="A150" s="196">
        <v>919</v>
      </c>
      <c r="B150" s="71">
        <v>44440</v>
      </c>
      <c r="C150" s="2" t="s">
        <v>105</v>
      </c>
      <c r="D150" s="2" t="s">
        <v>110</v>
      </c>
      <c r="E150" s="2">
        <v>4</v>
      </c>
      <c r="F150" s="2" t="s">
        <v>83</v>
      </c>
      <c r="G150" s="72"/>
      <c r="H150" s="72">
        <v>35</v>
      </c>
      <c r="I150" s="72"/>
      <c r="J150" s="72">
        <v>8.8000000000000007</v>
      </c>
      <c r="K150" s="21">
        <v>200</v>
      </c>
      <c r="L150" s="21">
        <v>1120</v>
      </c>
      <c r="M150" s="21">
        <v>205</v>
      </c>
      <c r="N150" s="21">
        <v>1340</v>
      </c>
      <c r="O150" s="2">
        <v>2</v>
      </c>
      <c r="P150" s="2" t="s">
        <v>1773</v>
      </c>
      <c r="Q150" s="2"/>
      <c r="AA150" s="196"/>
      <c r="AB150" s="71"/>
      <c r="AC150" s="2"/>
      <c r="AD150" s="2"/>
      <c r="AE150" s="2"/>
      <c r="AF150" s="2"/>
      <c r="AG150" s="72"/>
      <c r="AH150" s="72"/>
      <c r="AI150" s="72"/>
      <c r="AJ150" s="72"/>
      <c r="AK150" s="21"/>
      <c r="AL150" s="21"/>
      <c r="AM150" s="21"/>
      <c r="AN150" s="21"/>
      <c r="AO150" s="2"/>
      <c r="AP150" s="2"/>
      <c r="AQ150" s="197"/>
    </row>
    <row r="151" spans="1:43" ht="15" customHeight="1">
      <c r="A151" s="196">
        <v>918</v>
      </c>
      <c r="B151" s="71">
        <v>44440</v>
      </c>
      <c r="C151" s="2" t="s">
        <v>105</v>
      </c>
      <c r="D151" s="2" t="s">
        <v>117</v>
      </c>
      <c r="E151" s="2">
        <v>2</v>
      </c>
      <c r="F151" s="2" t="s">
        <v>82</v>
      </c>
      <c r="G151" s="72"/>
      <c r="H151" s="72">
        <v>35</v>
      </c>
      <c r="I151" s="72"/>
      <c r="J151" s="72">
        <v>12.8</v>
      </c>
      <c r="K151" s="21">
        <v>184</v>
      </c>
      <c r="L151" s="21">
        <v>670</v>
      </c>
      <c r="M151" s="21">
        <v>190</v>
      </c>
      <c r="N151" s="21">
        <v>1060</v>
      </c>
      <c r="O151" s="2">
        <v>1</v>
      </c>
      <c r="P151" s="2" t="s">
        <v>1773</v>
      </c>
      <c r="Q151" s="2"/>
      <c r="AA151" s="196"/>
      <c r="AB151" s="71"/>
      <c r="AC151" s="2"/>
      <c r="AD151" s="2"/>
      <c r="AE151" s="2"/>
      <c r="AF151" s="2"/>
      <c r="AG151" s="72"/>
      <c r="AH151" s="72"/>
      <c r="AI151" s="72"/>
      <c r="AJ151" s="72"/>
      <c r="AK151" s="21"/>
      <c r="AL151" s="21"/>
      <c r="AM151" s="21"/>
      <c r="AN151" s="21"/>
      <c r="AO151" s="2"/>
      <c r="AP151" s="2"/>
      <c r="AQ151" s="197"/>
    </row>
    <row r="152" spans="1:43" ht="15" customHeight="1">
      <c r="A152" s="196">
        <v>917</v>
      </c>
      <c r="B152" s="71">
        <v>44440</v>
      </c>
      <c r="C152" s="2" t="s">
        <v>105</v>
      </c>
      <c r="D152" s="2" t="s">
        <v>1440</v>
      </c>
      <c r="E152" s="2">
        <v>0</v>
      </c>
      <c r="F152" s="2" t="s">
        <v>85</v>
      </c>
      <c r="G152" s="72">
        <v>30</v>
      </c>
      <c r="H152" s="72">
        <v>28</v>
      </c>
      <c r="I152" s="72"/>
      <c r="J152" s="72">
        <v>14.7</v>
      </c>
      <c r="K152" s="21">
        <v>224</v>
      </c>
      <c r="L152" s="21">
        <v>830</v>
      </c>
      <c r="M152" s="21">
        <v>237</v>
      </c>
      <c r="N152" s="21"/>
      <c r="O152" s="2">
        <v>2</v>
      </c>
      <c r="P152" s="2" t="s">
        <v>1447</v>
      </c>
      <c r="Q152" s="2" t="s">
        <v>1441</v>
      </c>
      <c r="AA152" s="196"/>
      <c r="AB152" s="71"/>
      <c r="AC152" s="2"/>
      <c r="AD152" s="2"/>
      <c r="AE152" s="2"/>
      <c r="AF152" s="2"/>
      <c r="AG152" s="72"/>
      <c r="AH152" s="72"/>
      <c r="AI152" s="72"/>
      <c r="AJ152" s="72"/>
      <c r="AK152" s="21"/>
      <c r="AL152" s="21"/>
      <c r="AM152" s="21"/>
      <c r="AN152" s="21"/>
      <c r="AO152" s="2"/>
      <c r="AP152" s="2"/>
      <c r="AQ152" s="197"/>
    </row>
    <row r="153" spans="1:43" ht="15" customHeight="1">
      <c r="A153" s="196">
        <v>916</v>
      </c>
      <c r="B153" s="71">
        <v>44439</v>
      </c>
      <c r="C153" s="2" t="s">
        <v>105</v>
      </c>
      <c r="D153" s="2" t="s">
        <v>1438</v>
      </c>
      <c r="E153" s="2">
        <v>1</v>
      </c>
      <c r="F153" s="2" t="s">
        <v>82</v>
      </c>
      <c r="G153" s="72">
        <v>0</v>
      </c>
      <c r="H153" s="72">
        <v>42.5</v>
      </c>
      <c r="I153" s="72">
        <v>0</v>
      </c>
      <c r="J153" s="72">
        <v>11</v>
      </c>
      <c r="K153" s="21">
        <v>0</v>
      </c>
      <c r="L153" s="21">
        <v>1040</v>
      </c>
      <c r="M153" s="21">
        <v>236</v>
      </c>
      <c r="N153" s="21">
        <v>1430</v>
      </c>
      <c r="O153" s="2">
        <v>1</v>
      </c>
      <c r="P153" s="2" t="s">
        <v>1439</v>
      </c>
      <c r="Q153" s="2" t="s">
        <v>1439</v>
      </c>
      <c r="AA153" s="196"/>
      <c r="AB153" s="71"/>
      <c r="AC153" s="2"/>
      <c r="AD153" s="2"/>
      <c r="AE153" s="2"/>
      <c r="AF153" s="2"/>
      <c r="AG153" s="72"/>
      <c r="AH153" s="72"/>
      <c r="AI153" s="72"/>
      <c r="AJ153" s="72"/>
      <c r="AK153" s="21"/>
      <c r="AL153" s="21"/>
      <c r="AM153" s="21"/>
      <c r="AN153" s="21"/>
      <c r="AO153" s="2"/>
      <c r="AP153" s="2"/>
      <c r="AQ153" s="197"/>
    </row>
    <row r="154" spans="1:43" ht="15" customHeight="1">
      <c r="A154" s="196">
        <v>915</v>
      </c>
      <c r="B154" s="71">
        <v>44439</v>
      </c>
      <c r="C154" s="2" t="s">
        <v>105</v>
      </c>
      <c r="D154" s="2" t="s">
        <v>1440</v>
      </c>
      <c r="E154" s="2">
        <v>1</v>
      </c>
      <c r="F154" s="2" t="s">
        <v>82</v>
      </c>
      <c r="G154" s="72"/>
      <c r="H154" s="72">
        <v>42.5</v>
      </c>
      <c r="I154" s="72"/>
      <c r="J154" s="72">
        <v>11</v>
      </c>
      <c r="K154" s="21"/>
      <c r="L154" s="21">
        <v>1045</v>
      </c>
      <c r="M154" s="21">
        <v>236</v>
      </c>
      <c r="N154" s="21">
        <v>1430</v>
      </c>
      <c r="O154" s="2">
        <v>1</v>
      </c>
      <c r="P154" s="2" t="s">
        <v>1439</v>
      </c>
      <c r="Q154" s="2" t="s">
        <v>1439</v>
      </c>
      <c r="AA154" s="196"/>
      <c r="AB154" s="71"/>
      <c r="AC154" s="2"/>
      <c r="AD154" s="2"/>
      <c r="AE154" s="2"/>
      <c r="AF154" s="2"/>
      <c r="AG154" s="72"/>
      <c r="AH154" s="72"/>
      <c r="AI154" s="72"/>
      <c r="AJ154" s="72"/>
      <c r="AK154" s="21"/>
      <c r="AL154" s="21"/>
      <c r="AM154" s="21"/>
      <c r="AN154" s="21"/>
      <c r="AO154" s="2"/>
      <c r="AP154" s="2"/>
      <c r="AQ154" s="197"/>
    </row>
    <row r="155" spans="1:43" ht="15" customHeight="1">
      <c r="A155" s="196">
        <v>914</v>
      </c>
      <c r="B155" s="71">
        <v>44431</v>
      </c>
      <c r="C155" s="2" t="s">
        <v>105</v>
      </c>
      <c r="D155" s="2" t="s">
        <v>139</v>
      </c>
      <c r="E155" s="2">
        <v>2</v>
      </c>
      <c r="F155" s="2">
        <v>7718</v>
      </c>
      <c r="G155" s="72"/>
      <c r="H155" s="72">
        <v>35</v>
      </c>
      <c r="I155" s="72"/>
      <c r="J155" s="72">
        <v>9</v>
      </c>
      <c r="K155" s="21">
        <v>232</v>
      </c>
      <c r="L155" s="21">
        <v>1100</v>
      </c>
      <c r="M155" s="21">
        <v>235</v>
      </c>
      <c r="N155" s="21">
        <v>1510</v>
      </c>
      <c r="O155" s="2">
        <v>2</v>
      </c>
      <c r="P155" s="2" t="s">
        <v>197</v>
      </c>
      <c r="Q155" s="2"/>
      <c r="AA155" s="196"/>
      <c r="AB155" s="71"/>
      <c r="AC155" s="2"/>
      <c r="AD155" s="2"/>
      <c r="AE155" s="2"/>
      <c r="AF155" s="2"/>
      <c r="AG155" s="72"/>
      <c r="AH155" s="72"/>
      <c r="AI155" s="72"/>
      <c r="AJ155" s="72"/>
      <c r="AK155" s="21"/>
      <c r="AL155" s="21"/>
      <c r="AM155" s="21"/>
      <c r="AN155" s="21"/>
      <c r="AO155" s="2"/>
      <c r="AP155" s="2"/>
      <c r="AQ155" s="197"/>
    </row>
    <row r="156" spans="1:43" ht="15" customHeight="1">
      <c r="A156" s="196">
        <v>913</v>
      </c>
      <c r="B156" s="71">
        <v>44431</v>
      </c>
      <c r="C156" s="2" t="s">
        <v>105</v>
      </c>
      <c r="D156" s="2" t="s">
        <v>140</v>
      </c>
      <c r="E156" s="2">
        <v>2</v>
      </c>
      <c r="F156" s="2">
        <v>7718</v>
      </c>
      <c r="G156" s="72"/>
      <c r="H156" s="72">
        <v>35</v>
      </c>
      <c r="I156" s="72"/>
      <c r="J156" s="72">
        <v>9.6</v>
      </c>
      <c r="K156" s="21">
        <v>220</v>
      </c>
      <c r="L156" s="21">
        <v>980</v>
      </c>
      <c r="M156" s="21">
        <v>225</v>
      </c>
      <c r="N156" s="21">
        <v>1420</v>
      </c>
      <c r="O156" s="2">
        <v>2</v>
      </c>
      <c r="P156" s="2" t="s">
        <v>197</v>
      </c>
      <c r="Q156" s="2" t="s">
        <v>206</v>
      </c>
      <c r="AA156" s="196"/>
      <c r="AB156" s="71"/>
      <c r="AC156" s="2"/>
      <c r="AD156" s="2"/>
      <c r="AE156" s="2"/>
      <c r="AF156" s="2"/>
      <c r="AG156" s="72"/>
      <c r="AH156" s="72"/>
      <c r="AI156" s="72"/>
      <c r="AJ156" s="72"/>
      <c r="AK156" s="21"/>
      <c r="AL156" s="21"/>
      <c r="AM156" s="21"/>
      <c r="AN156" s="21"/>
      <c r="AO156" s="2"/>
      <c r="AP156" s="2"/>
      <c r="AQ156" s="2"/>
    </row>
    <row r="157" spans="1:43" ht="15" customHeight="1">
      <c r="A157" s="196">
        <v>912</v>
      </c>
      <c r="B157" s="71">
        <v>44431</v>
      </c>
      <c r="C157" s="2" t="s">
        <v>37</v>
      </c>
      <c r="D157" s="2" t="s">
        <v>138</v>
      </c>
      <c r="E157" s="2">
        <v>2</v>
      </c>
      <c r="F157" s="2">
        <v>7716</v>
      </c>
      <c r="G157" s="72"/>
      <c r="H157" s="72">
        <v>35</v>
      </c>
      <c r="I157" s="72"/>
      <c r="J157" s="72">
        <v>10.6</v>
      </c>
      <c r="K157" s="21">
        <v>221</v>
      </c>
      <c r="L157" s="21">
        <v>870</v>
      </c>
      <c r="M157" s="21">
        <v>225</v>
      </c>
      <c r="N157" s="21">
        <v>1260</v>
      </c>
      <c r="O157" s="2">
        <v>2</v>
      </c>
      <c r="P157" s="2" t="s">
        <v>197</v>
      </c>
      <c r="Q157" s="2" t="s">
        <v>206</v>
      </c>
    </row>
    <row r="158" spans="1:43" ht="15" customHeight="1">
      <c r="A158" s="196">
        <v>911</v>
      </c>
      <c r="B158" s="71">
        <v>44429</v>
      </c>
      <c r="C158" s="2" t="s">
        <v>37</v>
      </c>
      <c r="D158" s="2" t="s">
        <v>203</v>
      </c>
      <c r="E158" s="2">
        <v>0</v>
      </c>
      <c r="F158" s="2">
        <v>7199</v>
      </c>
      <c r="G158" s="72">
        <v>31</v>
      </c>
      <c r="H158" s="72">
        <v>28</v>
      </c>
      <c r="I158" s="72"/>
      <c r="J158" s="72">
        <v>10</v>
      </c>
      <c r="K158" s="21">
        <v>276</v>
      </c>
      <c r="L158" s="21">
        <v>1350</v>
      </c>
      <c r="M158" s="21">
        <v>285</v>
      </c>
      <c r="N158" s="21">
        <v>2060</v>
      </c>
      <c r="O158" s="2">
        <v>2</v>
      </c>
      <c r="P158" s="2" t="s">
        <v>1448</v>
      </c>
      <c r="Q158" s="2" t="s">
        <v>211</v>
      </c>
    </row>
    <row r="159" spans="1:43" ht="15" customHeight="1">
      <c r="A159" s="196">
        <v>910</v>
      </c>
      <c r="B159" s="71">
        <v>44427</v>
      </c>
      <c r="C159" s="2" t="s">
        <v>105</v>
      </c>
      <c r="D159" s="2" t="s">
        <v>210</v>
      </c>
      <c r="E159" s="2">
        <v>0</v>
      </c>
      <c r="F159" s="2">
        <v>7199</v>
      </c>
      <c r="G159" s="72">
        <v>28</v>
      </c>
      <c r="H159" s="72">
        <v>30</v>
      </c>
      <c r="I159" s="72"/>
      <c r="J159" s="72">
        <v>10.199999999999999</v>
      </c>
      <c r="K159" s="21">
        <v>274</v>
      </c>
      <c r="L159" s="21">
        <v>1286</v>
      </c>
      <c r="M159" s="21">
        <v>285</v>
      </c>
      <c r="N159" s="21">
        <v>2000</v>
      </c>
      <c r="O159" s="2">
        <v>2</v>
      </c>
      <c r="P159" s="2" t="s">
        <v>1448</v>
      </c>
      <c r="Q159" s="2" t="s">
        <v>206</v>
      </c>
    </row>
    <row r="160" spans="1:43" ht="15" customHeight="1">
      <c r="A160" s="196">
        <v>909</v>
      </c>
      <c r="B160" s="71">
        <v>44427</v>
      </c>
      <c r="C160" s="2" t="s">
        <v>37</v>
      </c>
      <c r="D160" s="2" t="s">
        <v>207</v>
      </c>
      <c r="E160" s="2">
        <v>0</v>
      </c>
      <c r="F160" s="2">
        <v>7199</v>
      </c>
      <c r="G160" s="72">
        <v>30</v>
      </c>
      <c r="H160" s="72">
        <v>28</v>
      </c>
      <c r="I160" s="72"/>
      <c r="J160" s="72">
        <v>15.2</v>
      </c>
      <c r="K160" s="21">
        <v>200</v>
      </c>
      <c r="L160" s="21">
        <v>790</v>
      </c>
      <c r="M160" s="21">
        <v>210</v>
      </c>
      <c r="N160" s="21">
        <v>1300</v>
      </c>
      <c r="O160" s="2">
        <v>2</v>
      </c>
      <c r="P160" s="2" t="s">
        <v>1448</v>
      </c>
      <c r="Q160" s="2" t="s">
        <v>209</v>
      </c>
    </row>
    <row r="161" spans="1:17" ht="15" customHeight="1">
      <c r="A161" s="196">
        <v>908</v>
      </c>
      <c r="B161" s="71">
        <v>44427</v>
      </c>
      <c r="C161" s="2" t="s">
        <v>37</v>
      </c>
      <c r="D161" s="2" t="s">
        <v>205</v>
      </c>
      <c r="E161" s="2">
        <v>0</v>
      </c>
      <c r="F161" s="2">
        <v>7199</v>
      </c>
      <c r="G161" s="72">
        <v>30</v>
      </c>
      <c r="H161" s="72">
        <v>28</v>
      </c>
      <c r="I161" s="72"/>
      <c r="J161" s="72">
        <v>14.9</v>
      </c>
      <c r="K161" s="21">
        <v>196</v>
      </c>
      <c r="L161" s="21">
        <v>806</v>
      </c>
      <c r="M161" s="21">
        <v>209</v>
      </c>
      <c r="N161" s="21">
        <v>1420</v>
      </c>
      <c r="O161" s="2">
        <v>2</v>
      </c>
      <c r="P161" s="2" t="s">
        <v>1448</v>
      </c>
      <c r="Q161" s="2" t="s">
        <v>206</v>
      </c>
    </row>
    <row r="162" spans="1:17" ht="15" customHeight="1">
      <c r="A162" s="196">
        <v>907</v>
      </c>
      <c r="B162" s="71">
        <v>44427</v>
      </c>
      <c r="C162" s="2" t="s">
        <v>37</v>
      </c>
      <c r="D162" s="2" t="s">
        <v>203</v>
      </c>
      <c r="E162" s="2">
        <v>0</v>
      </c>
      <c r="F162" s="2">
        <v>7199</v>
      </c>
      <c r="G162" s="72">
        <v>28</v>
      </c>
      <c r="H162" s="72">
        <v>30</v>
      </c>
      <c r="I162" s="72"/>
      <c r="J162" s="72">
        <v>9.8000000000000007</v>
      </c>
      <c r="K162" s="21">
        <v>273</v>
      </c>
      <c r="L162" s="21">
        <v>1300</v>
      </c>
      <c r="M162" s="21">
        <v>285</v>
      </c>
      <c r="N162" s="21">
        <v>2070</v>
      </c>
      <c r="O162" s="2">
        <v>2</v>
      </c>
      <c r="P162" s="2" t="s">
        <v>1448</v>
      </c>
      <c r="Q162" s="2"/>
    </row>
    <row r="163" spans="1:17" ht="15" customHeight="1">
      <c r="A163" s="196">
        <v>906</v>
      </c>
      <c r="B163" s="71">
        <v>44427</v>
      </c>
      <c r="C163" s="2" t="s">
        <v>37</v>
      </c>
      <c r="D163" s="2" t="s">
        <v>203</v>
      </c>
      <c r="E163" s="2">
        <v>0</v>
      </c>
      <c r="F163" s="2">
        <v>7199</v>
      </c>
      <c r="G163" s="72">
        <v>30</v>
      </c>
      <c r="H163" s="72">
        <v>28</v>
      </c>
      <c r="I163" s="72"/>
      <c r="J163" s="72">
        <v>9.8000000000000007</v>
      </c>
      <c r="K163" s="21">
        <v>275</v>
      </c>
      <c r="L163" s="21">
        <v>1370</v>
      </c>
      <c r="M163" s="21">
        <v>285</v>
      </c>
      <c r="N163" s="21">
        <v>2070</v>
      </c>
      <c r="O163" s="2">
        <v>2</v>
      </c>
      <c r="P163" s="2" t="s">
        <v>1448</v>
      </c>
      <c r="Q163" s="2" t="s">
        <v>209</v>
      </c>
    </row>
    <row r="164" spans="1:17" ht="15" customHeight="1">
      <c r="A164" s="196">
        <v>905</v>
      </c>
      <c r="B164" s="71">
        <v>44426</v>
      </c>
      <c r="C164" s="2" t="s">
        <v>37</v>
      </c>
      <c r="D164" s="2" t="s">
        <v>207</v>
      </c>
      <c r="E164" s="2">
        <v>0</v>
      </c>
      <c r="F164" s="2">
        <v>7199</v>
      </c>
      <c r="G164" s="72">
        <v>28</v>
      </c>
      <c r="H164" s="72">
        <v>30</v>
      </c>
      <c r="I164" s="72"/>
      <c r="J164" s="72">
        <v>15.65</v>
      </c>
      <c r="K164" s="21">
        <v>201</v>
      </c>
      <c r="L164" s="21">
        <v>755</v>
      </c>
      <c r="M164" s="21">
        <v>210</v>
      </c>
      <c r="N164" s="21">
        <v>1290</v>
      </c>
      <c r="O164" s="2">
        <v>2</v>
      </c>
      <c r="P164" s="2" t="s">
        <v>1448</v>
      </c>
      <c r="Q164" s="2" t="s">
        <v>208</v>
      </c>
    </row>
    <row r="165" spans="1:17" ht="15" customHeight="1">
      <c r="A165" s="196">
        <v>904</v>
      </c>
      <c r="B165" s="71">
        <v>44426</v>
      </c>
      <c r="C165" s="2" t="s">
        <v>37</v>
      </c>
      <c r="D165" s="2" t="s">
        <v>205</v>
      </c>
      <c r="E165" s="2">
        <v>0</v>
      </c>
      <c r="F165" s="2">
        <v>7199</v>
      </c>
      <c r="G165" s="72">
        <v>30</v>
      </c>
      <c r="H165" s="72">
        <v>28</v>
      </c>
      <c r="I165" s="72"/>
      <c r="J165" s="72">
        <v>14.7</v>
      </c>
      <c r="K165" s="21">
        <v>197</v>
      </c>
      <c r="L165" s="21">
        <v>800</v>
      </c>
      <c r="M165" s="21">
        <v>209</v>
      </c>
      <c r="N165" s="21">
        <v>1430</v>
      </c>
      <c r="O165" s="2">
        <v>2</v>
      </c>
      <c r="P165" s="2" t="s">
        <v>1448</v>
      </c>
      <c r="Q165" s="2" t="s">
        <v>209</v>
      </c>
    </row>
    <row r="166" spans="1:17" ht="15" customHeight="1">
      <c r="A166" s="196">
        <v>903</v>
      </c>
      <c r="B166" s="71">
        <v>44426</v>
      </c>
      <c r="C166" s="2" t="s">
        <v>37</v>
      </c>
      <c r="D166" s="2" t="s">
        <v>203</v>
      </c>
      <c r="E166" s="2">
        <v>0</v>
      </c>
      <c r="F166" s="2">
        <v>7199</v>
      </c>
      <c r="G166" s="72">
        <v>28</v>
      </c>
      <c r="H166" s="72">
        <v>30</v>
      </c>
      <c r="I166" s="72"/>
      <c r="J166" s="72">
        <v>9.85</v>
      </c>
      <c r="K166" s="21">
        <v>270</v>
      </c>
      <c r="L166" s="21">
        <v>1290</v>
      </c>
      <c r="M166" s="21">
        <v>282</v>
      </c>
      <c r="N166" s="21">
        <v>2090</v>
      </c>
      <c r="O166" s="2">
        <v>2</v>
      </c>
      <c r="P166" s="2" t="s">
        <v>1448</v>
      </c>
      <c r="Q166" s="2"/>
    </row>
    <row r="167" spans="1:17" ht="15" customHeight="1">
      <c r="A167" s="196">
        <v>902</v>
      </c>
      <c r="B167" s="71">
        <v>44419</v>
      </c>
      <c r="C167" s="2" t="s">
        <v>105</v>
      </c>
      <c r="D167" s="2" t="s">
        <v>200</v>
      </c>
      <c r="E167" s="2">
        <v>2</v>
      </c>
      <c r="F167" s="2">
        <v>7716</v>
      </c>
      <c r="G167" s="72"/>
      <c r="H167" s="72">
        <v>38</v>
      </c>
      <c r="I167" s="72"/>
      <c r="J167" s="72">
        <v>14</v>
      </c>
      <c r="K167" s="21">
        <v>207</v>
      </c>
      <c r="L167" s="21">
        <v>650</v>
      </c>
      <c r="M167" s="21">
        <v>215</v>
      </c>
      <c r="N167" s="21">
        <v>1190</v>
      </c>
      <c r="O167" s="2">
        <v>1</v>
      </c>
      <c r="P167" s="2" t="s">
        <v>1037</v>
      </c>
      <c r="Q167" s="2"/>
    </row>
    <row r="168" spans="1:17" ht="15" customHeight="1">
      <c r="A168" s="196">
        <v>901</v>
      </c>
      <c r="B168" s="71">
        <v>44419</v>
      </c>
      <c r="C168" s="2" t="s">
        <v>37</v>
      </c>
      <c r="D168" s="2" t="s">
        <v>200</v>
      </c>
      <c r="E168" s="2">
        <v>2</v>
      </c>
      <c r="F168" s="2">
        <v>7716</v>
      </c>
      <c r="G168" s="72"/>
      <c r="H168" s="72">
        <v>38</v>
      </c>
      <c r="I168" s="72"/>
      <c r="J168" s="72">
        <v>12.7</v>
      </c>
      <c r="K168" s="21">
        <v>207</v>
      </c>
      <c r="L168" s="21">
        <v>750</v>
      </c>
      <c r="M168" s="21">
        <v>215</v>
      </c>
      <c r="N168" s="21">
        <v>1190</v>
      </c>
      <c r="O168" s="2">
        <v>2</v>
      </c>
      <c r="P168" s="2" t="s">
        <v>1037</v>
      </c>
      <c r="Q168" s="2"/>
    </row>
    <row r="169" spans="1:17" ht="15" customHeight="1">
      <c r="A169" s="196">
        <v>900</v>
      </c>
      <c r="B169" s="71">
        <v>44419</v>
      </c>
      <c r="C169" s="2" t="s">
        <v>37</v>
      </c>
      <c r="D169" s="2" t="s">
        <v>200</v>
      </c>
      <c r="E169" s="2">
        <v>2</v>
      </c>
      <c r="F169" s="2">
        <v>7716</v>
      </c>
      <c r="G169" s="72"/>
      <c r="H169" s="72">
        <v>38</v>
      </c>
      <c r="I169" s="72"/>
      <c r="J169" s="72">
        <v>12.3</v>
      </c>
      <c r="K169" s="21">
        <v>207</v>
      </c>
      <c r="L169" s="21">
        <v>755</v>
      </c>
      <c r="M169" s="21">
        <v>215</v>
      </c>
      <c r="N169" s="21">
        <v>1200</v>
      </c>
      <c r="O169" s="2">
        <v>1</v>
      </c>
      <c r="P169" s="2" t="s">
        <v>1037</v>
      </c>
      <c r="Q169" s="2"/>
    </row>
    <row r="170" spans="1:17" ht="15" customHeight="1">
      <c r="A170" s="196">
        <v>899</v>
      </c>
      <c r="B170" s="71">
        <v>44419</v>
      </c>
      <c r="C170" s="2" t="s">
        <v>37</v>
      </c>
      <c r="D170" s="2" t="s">
        <v>200</v>
      </c>
      <c r="E170" s="2">
        <v>2</v>
      </c>
      <c r="F170" s="2">
        <v>7716</v>
      </c>
      <c r="G170" s="72"/>
      <c r="H170" s="72">
        <v>38</v>
      </c>
      <c r="I170" s="72"/>
      <c r="J170" s="72">
        <v>11.5</v>
      </c>
      <c r="K170" s="21">
        <v>207</v>
      </c>
      <c r="L170" s="21">
        <v>830</v>
      </c>
      <c r="M170" s="21">
        <v>215</v>
      </c>
      <c r="N170" s="21">
        <v>1260</v>
      </c>
      <c r="O170" s="2">
        <v>2</v>
      </c>
      <c r="P170" s="2" t="s">
        <v>197</v>
      </c>
      <c r="Q170" s="2" t="s">
        <v>199</v>
      </c>
    </row>
    <row r="171" spans="1:17" ht="15" customHeight="1">
      <c r="A171" s="196">
        <v>898</v>
      </c>
      <c r="B171" s="71">
        <v>44419</v>
      </c>
      <c r="C171" s="2" t="s">
        <v>105</v>
      </c>
      <c r="D171" s="2" t="s">
        <v>198</v>
      </c>
      <c r="E171" s="2">
        <v>2</v>
      </c>
      <c r="F171" s="2">
        <v>7716</v>
      </c>
      <c r="G171" s="72"/>
      <c r="H171" s="72">
        <v>42.5</v>
      </c>
      <c r="I171" s="72"/>
      <c r="J171" s="72">
        <v>11.7</v>
      </c>
      <c r="K171" s="21">
        <v>228</v>
      </c>
      <c r="L171" s="21">
        <v>910</v>
      </c>
      <c r="M171" s="21">
        <v>235</v>
      </c>
      <c r="N171" s="21">
        <v>1410</v>
      </c>
      <c r="O171" s="2">
        <v>1</v>
      </c>
      <c r="P171" s="2" t="s">
        <v>1037</v>
      </c>
      <c r="Q171" s="2"/>
    </row>
    <row r="172" spans="1:17" ht="15" customHeight="1">
      <c r="A172" s="196">
        <v>897</v>
      </c>
      <c r="B172" s="71">
        <v>44419</v>
      </c>
      <c r="C172" s="2" t="s">
        <v>37</v>
      </c>
      <c r="D172" s="2" t="s">
        <v>198</v>
      </c>
      <c r="E172" s="2">
        <v>2</v>
      </c>
      <c r="F172" s="2">
        <v>7716</v>
      </c>
      <c r="G172" s="72"/>
      <c r="H172" s="72">
        <v>42.5</v>
      </c>
      <c r="I172" s="72"/>
      <c r="J172" s="72">
        <v>11.6</v>
      </c>
      <c r="K172" s="21">
        <v>228</v>
      </c>
      <c r="L172" s="21">
        <v>950</v>
      </c>
      <c r="M172" s="21">
        <v>235</v>
      </c>
      <c r="N172" s="21">
        <v>1400</v>
      </c>
      <c r="O172" s="2">
        <v>2</v>
      </c>
      <c r="P172" s="2" t="s">
        <v>1037</v>
      </c>
      <c r="Q172" s="2"/>
    </row>
    <row r="173" spans="1:17" ht="15" customHeight="1">
      <c r="A173" s="196">
        <v>896</v>
      </c>
      <c r="B173" s="71">
        <v>44419</v>
      </c>
      <c r="C173" s="2" t="s">
        <v>37</v>
      </c>
      <c r="D173" s="2" t="s">
        <v>207</v>
      </c>
      <c r="E173" s="2">
        <v>0</v>
      </c>
      <c r="F173" s="2">
        <v>7199</v>
      </c>
      <c r="G173" s="72">
        <v>28</v>
      </c>
      <c r="H173" s="72">
        <v>30</v>
      </c>
      <c r="I173" s="72"/>
      <c r="J173" s="72">
        <v>15</v>
      </c>
      <c r="K173" s="21">
        <v>201</v>
      </c>
      <c r="L173" s="21">
        <v>735</v>
      </c>
      <c r="M173" s="21">
        <v>210</v>
      </c>
      <c r="N173" s="21">
        <v>1220</v>
      </c>
      <c r="O173" s="2">
        <v>2</v>
      </c>
      <c r="P173" s="2" t="s">
        <v>1448</v>
      </c>
      <c r="Q173" s="2"/>
    </row>
    <row r="174" spans="1:17" ht="15" customHeight="1">
      <c r="A174" s="196">
        <v>895</v>
      </c>
      <c r="B174" s="71">
        <v>44419</v>
      </c>
      <c r="C174" s="2" t="s">
        <v>37</v>
      </c>
      <c r="D174" s="2" t="s">
        <v>205</v>
      </c>
      <c r="E174" s="2">
        <v>0</v>
      </c>
      <c r="F174" s="2">
        <v>7199</v>
      </c>
      <c r="G174" s="72">
        <v>28</v>
      </c>
      <c r="H174" s="72">
        <v>30</v>
      </c>
      <c r="I174" s="72"/>
      <c r="J174" s="72">
        <v>14.7</v>
      </c>
      <c r="K174" s="21">
        <v>201</v>
      </c>
      <c r="L174" s="21">
        <v>840</v>
      </c>
      <c r="M174" s="21">
        <v>210</v>
      </c>
      <c r="N174" s="21">
        <v>1350</v>
      </c>
      <c r="O174" s="2">
        <v>2</v>
      </c>
      <c r="P174" s="2" t="s">
        <v>1448</v>
      </c>
      <c r="Q174" s="2"/>
    </row>
    <row r="175" spans="1:17" ht="15" customHeight="1">
      <c r="A175" s="196">
        <v>894</v>
      </c>
      <c r="B175" s="71">
        <v>44418</v>
      </c>
      <c r="C175" s="2" t="s">
        <v>105</v>
      </c>
      <c r="D175" s="2" t="s">
        <v>201</v>
      </c>
      <c r="E175" s="2">
        <v>2</v>
      </c>
      <c r="F175" s="2">
        <v>7716</v>
      </c>
      <c r="G175" s="72"/>
      <c r="H175" s="72">
        <v>42.5</v>
      </c>
      <c r="I175" s="72"/>
      <c r="J175" s="72">
        <v>13.7</v>
      </c>
      <c r="K175" s="21">
        <v>219</v>
      </c>
      <c r="L175" s="21">
        <v>750</v>
      </c>
      <c r="M175" s="21">
        <v>226</v>
      </c>
      <c r="N175" s="21">
        <v>1180</v>
      </c>
      <c r="O175" s="2">
        <v>1</v>
      </c>
      <c r="P175" s="2" t="s">
        <v>1037</v>
      </c>
      <c r="Q175" s="2" t="s">
        <v>206</v>
      </c>
    </row>
    <row r="176" spans="1:17" ht="15" customHeight="1">
      <c r="A176" s="196">
        <v>893</v>
      </c>
      <c r="B176" s="71">
        <v>44418</v>
      </c>
      <c r="C176" s="2" t="s">
        <v>37</v>
      </c>
      <c r="D176" s="2" t="s">
        <v>201</v>
      </c>
      <c r="E176" s="2">
        <v>2</v>
      </c>
      <c r="F176" s="2">
        <v>7716</v>
      </c>
      <c r="G176" s="72"/>
      <c r="H176" s="72">
        <v>42.5</v>
      </c>
      <c r="I176" s="72"/>
      <c r="J176" s="72">
        <v>13.9</v>
      </c>
      <c r="K176" s="21">
        <v>219</v>
      </c>
      <c r="L176" s="21">
        <v>650</v>
      </c>
      <c r="M176" s="21">
        <v>225</v>
      </c>
      <c r="N176" s="21">
        <v>1180</v>
      </c>
      <c r="O176" s="2">
        <v>1</v>
      </c>
      <c r="P176" s="2" t="s">
        <v>197</v>
      </c>
      <c r="Q176" s="2"/>
    </row>
    <row r="177" spans="1:17" ht="15" customHeight="1">
      <c r="A177" s="196">
        <v>892</v>
      </c>
      <c r="B177" s="71">
        <v>44418</v>
      </c>
      <c r="C177" s="2" t="s">
        <v>105</v>
      </c>
      <c r="D177" s="2" t="s">
        <v>117</v>
      </c>
      <c r="E177" s="2">
        <v>2</v>
      </c>
      <c r="F177" s="2">
        <v>7716</v>
      </c>
      <c r="G177" s="72"/>
      <c r="H177" s="72">
        <v>35</v>
      </c>
      <c r="I177" s="72"/>
      <c r="J177" s="72">
        <v>12.8</v>
      </c>
      <c r="K177" s="21">
        <v>184</v>
      </c>
      <c r="L177" s="21">
        <v>670</v>
      </c>
      <c r="M177" s="21">
        <v>190</v>
      </c>
      <c r="N177" s="21">
        <v>1000</v>
      </c>
      <c r="O177" s="2">
        <v>1</v>
      </c>
      <c r="P177" s="2" t="s">
        <v>1037</v>
      </c>
      <c r="Q177" s="2"/>
    </row>
    <row r="178" spans="1:17" ht="15" customHeight="1">
      <c r="A178" s="196">
        <v>891</v>
      </c>
      <c r="B178" s="71">
        <v>44418</v>
      </c>
      <c r="C178" s="2" t="s">
        <v>37</v>
      </c>
      <c r="D178" s="2" t="s">
        <v>117</v>
      </c>
      <c r="E178" s="2">
        <v>2</v>
      </c>
      <c r="F178" s="2">
        <v>7716</v>
      </c>
      <c r="G178" s="72"/>
      <c r="H178" s="72">
        <v>35</v>
      </c>
      <c r="I178" s="72"/>
      <c r="J178" s="72">
        <v>12.3</v>
      </c>
      <c r="K178" s="21">
        <v>185</v>
      </c>
      <c r="L178" s="21">
        <v>700</v>
      </c>
      <c r="M178" s="21">
        <v>190</v>
      </c>
      <c r="N178" s="21">
        <v>1020</v>
      </c>
      <c r="O178" s="2">
        <v>1</v>
      </c>
      <c r="P178" s="2" t="s">
        <v>1037</v>
      </c>
      <c r="Q178" s="2"/>
    </row>
    <row r="179" spans="1:17" ht="15" customHeight="1">
      <c r="A179" s="196">
        <v>890</v>
      </c>
      <c r="B179" s="71">
        <v>44417</v>
      </c>
      <c r="C179" s="2" t="s">
        <v>37</v>
      </c>
      <c r="D179" s="2" t="s">
        <v>203</v>
      </c>
      <c r="E179" s="2">
        <v>0</v>
      </c>
      <c r="F179" s="2">
        <v>7199</v>
      </c>
      <c r="G179" s="72">
        <v>28</v>
      </c>
      <c r="H179" s="72">
        <v>30</v>
      </c>
      <c r="I179" s="72"/>
      <c r="J179" s="72">
        <v>9.1999999999999993</v>
      </c>
      <c r="K179" s="21">
        <v>275</v>
      </c>
      <c r="L179" s="21">
        <v>1450</v>
      </c>
      <c r="M179" s="21">
        <v>285</v>
      </c>
      <c r="N179" s="21">
        <v>1950</v>
      </c>
      <c r="O179" s="2">
        <v>2</v>
      </c>
      <c r="P179" s="2" t="s">
        <v>1037</v>
      </c>
      <c r="Q179" s="2" t="s">
        <v>204</v>
      </c>
    </row>
    <row r="180" spans="1:17" ht="15" customHeight="1">
      <c r="A180" s="196">
        <v>889</v>
      </c>
      <c r="B180" s="71">
        <v>44417</v>
      </c>
      <c r="C180" s="2" t="s">
        <v>37</v>
      </c>
      <c r="D180" s="2" t="s">
        <v>203</v>
      </c>
      <c r="E180" s="2">
        <v>0</v>
      </c>
      <c r="F180" s="2">
        <v>7199</v>
      </c>
      <c r="G180" s="72">
        <v>28</v>
      </c>
      <c r="H180" s="72">
        <v>30</v>
      </c>
      <c r="I180" s="72"/>
      <c r="J180" s="72">
        <v>9.3000000000000007</v>
      </c>
      <c r="K180" s="21">
        <v>275</v>
      </c>
      <c r="L180" s="21">
        <v>1420</v>
      </c>
      <c r="M180" s="21">
        <v>285</v>
      </c>
      <c r="N180" s="21">
        <v>1970</v>
      </c>
      <c r="O180" s="2">
        <v>1</v>
      </c>
      <c r="P180" s="2" t="s">
        <v>1037</v>
      </c>
      <c r="Q180" s="2" t="s">
        <v>206</v>
      </c>
    </row>
    <row r="181" spans="1:17" ht="15" customHeight="1">
      <c r="A181" s="196">
        <v>888</v>
      </c>
      <c r="B181" s="71">
        <v>44417</v>
      </c>
      <c r="C181" s="2" t="s">
        <v>37</v>
      </c>
      <c r="D181" s="2" t="s">
        <v>201</v>
      </c>
      <c r="E181" s="2">
        <v>2</v>
      </c>
      <c r="F181" s="2">
        <v>7716</v>
      </c>
      <c r="G181" s="72"/>
      <c r="H181" s="72">
        <v>42.5</v>
      </c>
      <c r="I181" s="72"/>
      <c r="J181" s="72">
        <v>13.9</v>
      </c>
      <c r="K181" s="21">
        <v>220</v>
      </c>
      <c r="L181" s="21">
        <v>730</v>
      </c>
      <c r="M181" s="21">
        <v>225</v>
      </c>
      <c r="N181" s="21">
        <v>1160</v>
      </c>
      <c r="O181" s="2">
        <v>1</v>
      </c>
      <c r="P181" s="2" t="s">
        <v>1037</v>
      </c>
      <c r="Q181" s="2"/>
    </row>
    <row r="182" spans="1:17" ht="15" customHeight="1">
      <c r="A182" s="196">
        <v>887</v>
      </c>
      <c r="B182" s="71">
        <v>44417</v>
      </c>
      <c r="C182" s="2" t="s">
        <v>37</v>
      </c>
      <c r="D182" s="2" t="s">
        <v>110</v>
      </c>
      <c r="E182" s="2">
        <v>4</v>
      </c>
      <c r="F182" s="2">
        <v>7717</v>
      </c>
      <c r="G182" s="72"/>
      <c r="H182" s="72">
        <v>35</v>
      </c>
      <c r="I182" s="72"/>
      <c r="J182" s="72">
        <v>8.6</v>
      </c>
      <c r="K182" s="21">
        <v>204</v>
      </c>
      <c r="L182" s="21">
        <v>1150</v>
      </c>
      <c r="M182" s="21">
        <v>207</v>
      </c>
      <c r="N182" s="21">
        <v>1350</v>
      </c>
      <c r="O182" s="2">
        <v>2</v>
      </c>
      <c r="P182" s="2" t="s">
        <v>1037</v>
      </c>
      <c r="Q182" s="2"/>
    </row>
    <row r="183" spans="1:17" ht="15" customHeight="1">
      <c r="A183" s="196">
        <v>886</v>
      </c>
      <c r="B183" s="71">
        <v>44417</v>
      </c>
      <c r="C183" s="2" t="s">
        <v>37</v>
      </c>
      <c r="D183" s="2" t="s">
        <v>202</v>
      </c>
      <c r="E183" s="2">
        <v>5</v>
      </c>
      <c r="F183" s="2">
        <v>7716</v>
      </c>
      <c r="G183" s="72"/>
      <c r="H183" s="72">
        <v>42.5</v>
      </c>
      <c r="I183" s="72"/>
      <c r="J183" s="72">
        <v>7.7</v>
      </c>
      <c r="K183" s="21">
        <v>249</v>
      </c>
      <c r="L183" s="21">
        <v>1530</v>
      </c>
      <c r="M183" s="21">
        <v>245</v>
      </c>
      <c r="N183" s="21">
        <v>1980</v>
      </c>
      <c r="O183" s="2">
        <v>1</v>
      </c>
      <c r="P183" s="2" t="s">
        <v>1037</v>
      </c>
      <c r="Q183" s="2" t="s">
        <v>1449</v>
      </c>
    </row>
    <row r="184" spans="1:17" ht="15" customHeight="1">
      <c r="A184" s="196">
        <v>885</v>
      </c>
      <c r="B184" s="71">
        <v>44417</v>
      </c>
      <c r="C184" s="2" t="s">
        <v>37</v>
      </c>
      <c r="D184" s="2" t="s">
        <v>202</v>
      </c>
      <c r="E184" s="2">
        <v>5</v>
      </c>
      <c r="F184" s="2">
        <v>7716</v>
      </c>
      <c r="G184" s="72"/>
      <c r="H184" s="72">
        <v>42.5</v>
      </c>
      <c r="I184" s="72"/>
      <c r="J184" s="72">
        <v>7.6</v>
      </c>
      <c r="K184" s="21">
        <v>250</v>
      </c>
      <c r="L184" s="21">
        <v>1550</v>
      </c>
      <c r="M184" s="21">
        <v>245</v>
      </c>
      <c r="N184" s="21">
        <v>1999</v>
      </c>
      <c r="O184" s="2">
        <v>1</v>
      </c>
      <c r="P184" s="2" t="s">
        <v>1037</v>
      </c>
      <c r="Q184" s="2"/>
    </row>
    <row r="185" spans="1:17" ht="15" customHeight="1">
      <c r="A185" s="196">
        <v>884</v>
      </c>
      <c r="B185" s="71">
        <v>44417</v>
      </c>
      <c r="C185" s="2" t="s">
        <v>37</v>
      </c>
      <c r="D185" s="2" t="s">
        <v>200</v>
      </c>
      <c r="E185" s="2">
        <v>2</v>
      </c>
      <c r="F185" s="2">
        <v>7716</v>
      </c>
      <c r="G185" s="72"/>
      <c r="H185" s="72">
        <v>42.5</v>
      </c>
      <c r="I185" s="72"/>
      <c r="J185" s="72">
        <v>12.2</v>
      </c>
      <c r="K185" s="21">
        <v>209</v>
      </c>
      <c r="L185" s="21">
        <v>915</v>
      </c>
      <c r="M185" s="21">
        <v>215</v>
      </c>
      <c r="N185" s="21">
        <v>1190</v>
      </c>
      <c r="O185" s="2">
        <v>1</v>
      </c>
      <c r="P185" s="2" t="s">
        <v>1037</v>
      </c>
      <c r="Q185" s="2"/>
    </row>
    <row r="186" spans="1:17" ht="15" customHeight="1">
      <c r="A186" s="196">
        <v>883</v>
      </c>
      <c r="B186" s="71">
        <v>44417</v>
      </c>
      <c r="C186" s="2" t="s">
        <v>37</v>
      </c>
      <c r="D186" s="2" t="s">
        <v>198</v>
      </c>
      <c r="E186" s="2">
        <v>2</v>
      </c>
      <c r="F186" s="2" t="s">
        <v>68</v>
      </c>
      <c r="G186" s="72"/>
      <c r="H186" s="72">
        <v>42.5</v>
      </c>
      <c r="I186" s="72"/>
      <c r="J186" s="72">
        <v>11.7</v>
      </c>
      <c r="K186" s="21">
        <v>228</v>
      </c>
      <c r="L186" s="21">
        <v>900</v>
      </c>
      <c r="M186" s="21">
        <v>235</v>
      </c>
      <c r="N186" s="21">
        <v>1180</v>
      </c>
      <c r="O186" s="2">
        <v>1</v>
      </c>
      <c r="P186" s="2" t="s">
        <v>1037</v>
      </c>
      <c r="Q186" s="2"/>
    </row>
    <row r="187" spans="1:17" ht="15" customHeight="1">
      <c r="A187" s="196">
        <v>882</v>
      </c>
      <c r="B187" s="71">
        <v>44417</v>
      </c>
      <c r="C187" s="2" t="s">
        <v>37</v>
      </c>
      <c r="D187" s="2" t="s">
        <v>117</v>
      </c>
      <c r="E187" s="2">
        <v>2</v>
      </c>
      <c r="F187" s="2">
        <v>7716</v>
      </c>
      <c r="G187" s="72"/>
      <c r="H187" s="72">
        <v>35</v>
      </c>
      <c r="I187" s="72"/>
      <c r="J187" s="72">
        <v>14</v>
      </c>
      <c r="K187" s="21">
        <v>185</v>
      </c>
      <c r="L187" s="21">
        <v>630</v>
      </c>
      <c r="M187" s="21">
        <v>190</v>
      </c>
      <c r="N187" s="21">
        <v>1030</v>
      </c>
      <c r="O187" s="2">
        <v>1</v>
      </c>
      <c r="P187" s="2" t="s">
        <v>1037</v>
      </c>
      <c r="Q187" s="2"/>
    </row>
    <row r="188" spans="1:17" ht="15" customHeight="1">
      <c r="A188" s="196">
        <v>881</v>
      </c>
      <c r="B188" s="71">
        <v>44417</v>
      </c>
      <c r="C188" s="2" t="s">
        <v>37</v>
      </c>
      <c r="D188" s="2" t="s">
        <v>205</v>
      </c>
      <c r="E188" s="2">
        <v>0</v>
      </c>
      <c r="F188" s="2">
        <v>7199</v>
      </c>
      <c r="G188" s="72">
        <v>28</v>
      </c>
      <c r="H188" s="72">
        <v>30</v>
      </c>
      <c r="I188" s="72"/>
      <c r="J188" s="72">
        <v>15</v>
      </c>
      <c r="K188" s="21">
        <v>202</v>
      </c>
      <c r="L188" s="21">
        <v>810</v>
      </c>
      <c r="M188" s="21">
        <v>210</v>
      </c>
      <c r="N188" s="21">
        <v>1390</v>
      </c>
      <c r="O188" s="2">
        <v>2</v>
      </c>
      <c r="P188" s="2" t="s">
        <v>1037</v>
      </c>
      <c r="Q188" s="2" t="s">
        <v>204</v>
      </c>
    </row>
    <row r="189" spans="1:17" ht="15" customHeight="1">
      <c r="A189" s="196">
        <v>880</v>
      </c>
      <c r="B189" s="71">
        <v>44414</v>
      </c>
      <c r="C189" s="2" t="s">
        <v>105</v>
      </c>
      <c r="D189" s="2" t="s">
        <v>1450</v>
      </c>
      <c r="E189" s="2">
        <v>2</v>
      </c>
      <c r="F189" s="2">
        <v>7716</v>
      </c>
      <c r="G189" s="72"/>
      <c r="H189" s="72">
        <v>42.5</v>
      </c>
      <c r="I189" s="72"/>
      <c r="J189" s="72">
        <v>10.7</v>
      </c>
      <c r="K189" s="21">
        <v>207</v>
      </c>
      <c r="L189" s="21">
        <v>1040</v>
      </c>
      <c r="M189" s="21">
        <v>210</v>
      </c>
      <c r="N189" s="21">
        <v>1390</v>
      </c>
      <c r="O189" s="2">
        <v>2</v>
      </c>
      <c r="P189" s="2" t="s">
        <v>1037</v>
      </c>
      <c r="Q189" s="2"/>
    </row>
    <row r="190" spans="1:17" ht="15" customHeight="1">
      <c r="A190" s="196">
        <v>879</v>
      </c>
      <c r="B190" s="71">
        <v>44412</v>
      </c>
      <c r="C190" s="2" t="s">
        <v>105</v>
      </c>
      <c r="D190" s="2" t="s">
        <v>1452</v>
      </c>
      <c r="E190" s="2">
        <v>2</v>
      </c>
      <c r="F190" s="2">
        <v>7716</v>
      </c>
      <c r="G190" s="72"/>
      <c r="H190" s="72">
        <v>42.5</v>
      </c>
      <c r="I190" s="72"/>
      <c r="J190" s="72">
        <v>13.5</v>
      </c>
      <c r="K190" s="21">
        <v>220</v>
      </c>
      <c r="L190" s="21">
        <v>900</v>
      </c>
      <c r="M190" s="21">
        <v>225</v>
      </c>
      <c r="N190" s="21">
        <v>1300</v>
      </c>
      <c r="O190" s="2">
        <v>1</v>
      </c>
      <c r="P190" s="2" t="s">
        <v>197</v>
      </c>
      <c r="Q190" s="2"/>
    </row>
    <row r="191" spans="1:17" ht="15" customHeight="1">
      <c r="A191" s="196">
        <v>878</v>
      </c>
      <c r="B191" s="71">
        <v>44412</v>
      </c>
      <c r="C191" s="2" t="s">
        <v>105</v>
      </c>
      <c r="D191" s="2" t="s">
        <v>1451</v>
      </c>
      <c r="E191" s="2">
        <v>2</v>
      </c>
      <c r="F191" s="2">
        <v>7716</v>
      </c>
      <c r="G191" s="72"/>
      <c r="H191" s="72">
        <v>42.5</v>
      </c>
      <c r="I191" s="72"/>
      <c r="J191" s="72">
        <v>12</v>
      </c>
      <c r="K191" s="21">
        <v>227</v>
      </c>
      <c r="L191" s="21">
        <v>900</v>
      </c>
      <c r="M191" s="21">
        <v>235</v>
      </c>
      <c r="N191" s="21" t="s">
        <v>384</v>
      </c>
      <c r="O191" s="2">
        <v>1</v>
      </c>
      <c r="P191" s="2" t="s">
        <v>197</v>
      </c>
      <c r="Q191" s="2"/>
    </row>
    <row r="192" spans="1:17" ht="15" customHeight="1">
      <c r="A192" s="196">
        <v>877</v>
      </c>
      <c r="B192" s="71">
        <v>44410</v>
      </c>
      <c r="C192" s="2" t="s">
        <v>105</v>
      </c>
      <c r="D192" s="2" t="s">
        <v>1453</v>
      </c>
      <c r="E192" s="2">
        <v>4</v>
      </c>
      <c r="F192" s="2">
        <v>7716</v>
      </c>
      <c r="G192" s="72"/>
      <c r="H192" s="72">
        <v>42.5</v>
      </c>
      <c r="I192" s="72"/>
      <c r="J192" s="72">
        <v>9</v>
      </c>
      <c r="K192" s="21">
        <v>263</v>
      </c>
      <c r="L192" s="21">
        <v>1254</v>
      </c>
      <c r="M192" s="21">
        <v>270</v>
      </c>
      <c r="N192" s="21">
        <v>1790</v>
      </c>
      <c r="O192" s="2">
        <v>2</v>
      </c>
      <c r="P192" s="2" t="s">
        <v>197</v>
      </c>
      <c r="Q192" s="2"/>
    </row>
    <row r="193" spans="1:17" ht="15" customHeight="1">
      <c r="A193" s="196">
        <v>876</v>
      </c>
      <c r="B193" s="71">
        <v>44400</v>
      </c>
      <c r="C193" s="2" t="s">
        <v>105</v>
      </c>
      <c r="D193" s="2" t="s">
        <v>108</v>
      </c>
      <c r="E193" s="2">
        <v>2</v>
      </c>
      <c r="F193" s="2">
        <v>751</v>
      </c>
      <c r="G193" s="72"/>
      <c r="H193" s="72">
        <v>42.5</v>
      </c>
      <c r="I193" s="72"/>
      <c r="J193" s="72">
        <v>11</v>
      </c>
      <c r="K193" s="21">
        <v>216</v>
      </c>
      <c r="L193" s="21">
        <v>1100</v>
      </c>
      <c r="M193" s="21">
        <v>218</v>
      </c>
      <c r="N193" s="21">
        <v>1480</v>
      </c>
      <c r="O193" s="2">
        <v>1</v>
      </c>
      <c r="P193" s="2" t="s">
        <v>197</v>
      </c>
      <c r="Q193" s="2" t="s">
        <v>1454</v>
      </c>
    </row>
    <row r="194" spans="1:17" ht="15" customHeight="1">
      <c r="A194" s="196">
        <v>875</v>
      </c>
      <c r="B194" s="71">
        <v>44399</v>
      </c>
      <c r="C194" s="2" t="s">
        <v>105</v>
      </c>
      <c r="D194" s="2" t="s">
        <v>138</v>
      </c>
      <c r="E194" s="2">
        <v>2</v>
      </c>
      <c r="F194" s="2" t="s">
        <v>87</v>
      </c>
      <c r="G194" s="72"/>
      <c r="H194" s="72">
        <v>35</v>
      </c>
      <c r="I194" s="72"/>
      <c r="J194" s="72">
        <v>10.7</v>
      </c>
      <c r="K194" s="21">
        <v>224</v>
      </c>
      <c r="L194" s="21">
        <v>880</v>
      </c>
      <c r="M194" s="21">
        <v>225</v>
      </c>
      <c r="N194" s="21">
        <v>1170</v>
      </c>
      <c r="O194" s="2">
        <v>2</v>
      </c>
      <c r="P194" s="2" t="s">
        <v>197</v>
      </c>
      <c r="Q194" s="2"/>
    </row>
    <row r="195" spans="1:17" ht="15" customHeight="1">
      <c r="A195" s="196">
        <v>874</v>
      </c>
      <c r="B195" s="71">
        <v>44397</v>
      </c>
      <c r="C195" s="2" t="s">
        <v>105</v>
      </c>
      <c r="D195" s="2" t="s">
        <v>139</v>
      </c>
      <c r="E195" s="2">
        <v>2</v>
      </c>
      <c r="F195" s="2" t="s">
        <v>87</v>
      </c>
      <c r="G195" s="72"/>
      <c r="H195" s="72">
        <v>35</v>
      </c>
      <c r="I195" s="72"/>
      <c r="J195" s="72">
        <v>9.35</v>
      </c>
      <c r="K195" s="21">
        <v>232</v>
      </c>
      <c r="L195" s="21">
        <v>1000</v>
      </c>
      <c r="M195" s="21">
        <v>232</v>
      </c>
      <c r="N195" s="21">
        <v>1280</v>
      </c>
      <c r="O195" s="2">
        <v>2</v>
      </c>
      <c r="P195" s="2" t="s">
        <v>1037</v>
      </c>
      <c r="Q195" s="2"/>
    </row>
    <row r="196" spans="1:17" ht="15" customHeight="1">
      <c r="A196" s="196">
        <v>873</v>
      </c>
      <c r="B196" s="71">
        <v>44397</v>
      </c>
      <c r="C196" s="2" t="s">
        <v>105</v>
      </c>
      <c r="D196" s="2" t="s">
        <v>140</v>
      </c>
      <c r="E196" s="2">
        <v>2</v>
      </c>
      <c r="F196" s="2" t="s">
        <v>87</v>
      </c>
      <c r="G196" s="72"/>
      <c r="H196" s="72">
        <v>35</v>
      </c>
      <c r="I196" s="72"/>
      <c r="J196" s="72">
        <v>10.8</v>
      </c>
      <c r="K196" s="21">
        <v>222</v>
      </c>
      <c r="L196" s="21">
        <v>866</v>
      </c>
      <c r="M196" s="21">
        <v>225</v>
      </c>
      <c r="N196" s="21"/>
      <c r="O196" s="2">
        <v>2</v>
      </c>
      <c r="P196" s="2" t="s">
        <v>197</v>
      </c>
      <c r="Q196" s="2"/>
    </row>
    <row r="197" spans="1:17" ht="15" customHeight="1">
      <c r="A197" s="196">
        <v>872</v>
      </c>
      <c r="B197" s="71">
        <v>44389</v>
      </c>
      <c r="C197" s="2" t="s">
        <v>105</v>
      </c>
      <c r="D197" s="2" t="s">
        <v>139</v>
      </c>
      <c r="E197" s="2">
        <v>2</v>
      </c>
      <c r="F197" s="2" t="s">
        <v>87</v>
      </c>
      <c r="G197" s="72"/>
      <c r="H197" s="72">
        <v>35</v>
      </c>
      <c r="I197" s="72"/>
      <c r="J197" s="72">
        <v>10.199999999999999</v>
      </c>
      <c r="K197" s="21">
        <v>221</v>
      </c>
      <c r="L197" s="21">
        <v>980</v>
      </c>
      <c r="M197" s="21">
        <v>223</v>
      </c>
      <c r="N197" s="21"/>
      <c r="O197" s="2">
        <v>2</v>
      </c>
      <c r="P197" s="2" t="s">
        <v>1037</v>
      </c>
      <c r="Q197" s="2"/>
    </row>
    <row r="198" spans="1:17" ht="15" customHeight="1">
      <c r="A198" s="196">
        <v>871</v>
      </c>
      <c r="B198" s="71">
        <v>44389</v>
      </c>
      <c r="C198" s="2" t="s">
        <v>105</v>
      </c>
      <c r="D198" s="2" t="s">
        <v>140</v>
      </c>
      <c r="E198" s="2">
        <v>2</v>
      </c>
      <c r="F198" s="2" t="s">
        <v>87</v>
      </c>
      <c r="G198" s="72"/>
      <c r="H198" s="72">
        <v>35</v>
      </c>
      <c r="I198" s="72"/>
      <c r="J198" s="72"/>
      <c r="K198" s="21"/>
      <c r="L198" s="21"/>
      <c r="M198" s="21"/>
      <c r="N198" s="21"/>
      <c r="O198" s="2">
        <v>2</v>
      </c>
      <c r="P198" s="2" t="s">
        <v>1037</v>
      </c>
      <c r="Q198" s="2"/>
    </row>
    <row r="199" spans="1:17" ht="15" customHeight="1">
      <c r="A199" s="196">
        <v>870</v>
      </c>
      <c r="B199" s="74">
        <v>44389</v>
      </c>
      <c r="C199" s="73" t="s">
        <v>105</v>
      </c>
      <c r="D199" s="73" t="s">
        <v>138</v>
      </c>
      <c r="E199" s="73">
        <v>4</v>
      </c>
      <c r="F199" s="73" t="s">
        <v>87</v>
      </c>
      <c r="G199" s="75"/>
      <c r="H199" s="75">
        <v>42.5</v>
      </c>
      <c r="I199" s="75"/>
      <c r="J199" s="75">
        <v>11.5</v>
      </c>
      <c r="K199" s="76">
        <v>221</v>
      </c>
      <c r="L199" s="76">
        <v>800</v>
      </c>
      <c r="M199" s="76"/>
      <c r="N199" s="76"/>
      <c r="O199" s="73">
        <v>1</v>
      </c>
      <c r="P199" s="73" t="s">
        <v>1037</v>
      </c>
      <c r="Q199" s="73"/>
    </row>
    <row r="200" spans="1:17" ht="15" customHeight="1">
      <c r="A200" s="196">
        <v>869</v>
      </c>
      <c r="B200" s="71">
        <v>44389</v>
      </c>
      <c r="C200" s="2" t="s">
        <v>105</v>
      </c>
      <c r="D200" s="2" t="s">
        <v>138</v>
      </c>
      <c r="E200" s="2">
        <v>2</v>
      </c>
      <c r="F200" s="2" t="s">
        <v>87</v>
      </c>
      <c r="G200" s="72"/>
      <c r="H200" s="72">
        <v>35</v>
      </c>
      <c r="I200" s="72"/>
      <c r="J200" s="72">
        <v>10.83</v>
      </c>
      <c r="K200" s="21">
        <v>223</v>
      </c>
      <c r="L200" s="21">
        <v>820</v>
      </c>
      <c r="M200" s="21">
        <v>225</v>
      </c>
      <c r="N200" s="21"/>
      <c r="O200" s="2">
        <v>1</v>
      </c>
      <c r="P200" s="2" t="s">
        <v>1037</v>
      </c>
      <c r="Q200" s="2"/>
    </row>
    <row r="201" spans="1:17" ht="15" customHeight="1">
      <c r="A201" s="196">
        <v>868</v>
      </c>
      <c r="B201" s="71">
        <v>44389</v>
      </c>
      <c r="C201" s="2" t="s">
        <v>105</v>
      </c>
      <c r="D201" s="2" t="s">
        <v>137</v>
      </c>
      <c r="E201" s="2">
        <v>2</v>
      </c>
      <c r="F201" s="2" t="s">
        <v>87</v>
      </c>
      <c r="G201" s="72"/>
      <c r="H201" s="72">
        <v>35</v>
      </c>
      <c r="I201" s="72"/>
      <c r="J201" s="72">
        <v>11.25</v>
      </c>
      <c r="K201" s="21">
        <v>301</v>
      </c>
      <c r="L201" s="21">
        <v>790</v>
      </c>
      <c r="M201" s="21">
        <v>205</v>
      </c>
      <c r="N201" s="21">
        <v>1080</v>
      </c>
      <c r="O201" s="2">
        <v>1</v>
      </c>
      <c r="P201" s="2" t="s">
        <v>197</v>
      </c>
      <c r="Q201" s="2"/>
    </row>
    <row r="202" spans="1:17" ht="15" customHeight="1">
      <c r="A202" s="196">
        <v>867</v>
      </c>
      <c r="B202" s="71">
        <v>44389</v>
      </c>
      <c r="C202" s="2" t="s">
        <v>105</v>
      </c>
      <c r="D202" s="2" t="s">
        <v>136</v>
      </c>
      <c r="E202" s="2">
        <v>5</v>
      </c>
      <c r="F202" s="2" t="s">
        <v>87</v>
      </c>
      <c r="G202" s="72"/>
      <c r="H202" s="72"/>
      <c r="I202" s="72"/>
      <c r="J202" s="72">
        <v>5.7</v>
      </c>
      <c r="K202" s="21">
        <v>302</v>
      </c>
      <c r="L202" s="21">
        <v>1700</v>
      </c>
      <c r="M202" s="21">
        <v>300</v>
      </c>
      <c r="N202" s="21">
        <v>2100</v>
      </c>
      <c r="O202" s="2">
        <v>1</v>
      </c>
      <c r="P202" s="2" t="s">
        <v>197</v>
      </c>
      <c r="Q202" s="2"/>
    </row>
    <row r="203" spans="1:17" ht="15" customHeight="1">
      <c r="A203" s="196">
        <v>866</v>
      </c>
      <c r="B203" s="71">
        <v>44389</v>
      </c>
      <c r="C203" s="2" t="s">
        <v>105</v>
      </c>
      <c r="D203" s="2" t="s">
        <v>108</v>
      </c>
      <c r="E203" s="2">
        <v>2</v>
      </c>
      <c r="F203" s="2" t="s">
        <v>88</v>
      </c>
      <c r="G203" s="72"/>
      <c r="H203" s="72">
        <v>42.5</v>
      </c>
      <c r="I203" s="72"/>
      <c r="J203" s="72">
        <v>10.8</v>
      </c>
      <c r="K203" s="21"/>
      <c r="L203" s="21">
        <v>1063</v>
      </c>
      <c r="M203" s="21">
        <v>220</v>
      </c>
      <c r="N203" s="21">
        <v>1430</v>
      </c>
      <c r="O203" s="2">
        <v>1</v>
      </c>
      <c r="P203" s="2" t="s">
        <v>197</v>
      </c>
      <c r="Q203" s="2"/>
    </row>
    <row r="204" spans="1:17" ht="15" customHeight="1">
      <c r="A204" s="196">
        <v>865</v>
      </c>
      <c r="B204" s="71">
        <v>44389</v>
      </c>
      <c r="C204" s="2" t="s">
        <v>105</v>
      </c>
      <c r="D204" s="2" t="s">
        <v>127</v>
      </c>
      <c r="E204" s="2">
        <v>1</v>
      </c>
      <c r="F204" s="2" t="s">
        <v>82</v>
      </c>
      <c r="G204" s="72"/>
      <c r="H204" s="72">
        <v>42.5</v>
      </c>
      <c r="I204" s="72"/>
      <c r="J204" s="72">
        <v>10.6</v>
      </c>
      <c r="K204" s="21">
        <v>208</v>
      </c>
      <c r="L204" s="21">
        <v>1105</v>
      </c>
      <c r="M204" s="21">
        <v>210</v>
      </c>
      <c r="N204" s="21">
        <v>1480</v>
      </c>
      <c r="O204" s="2">
        <v>2</v>
      </c>
      <c r="P204" s="2" t="s">
        <v>1037</v>
      </c>
      <c r="Q204" s="2" t="s">
        <v>1455</v>
      </c>
    </row>
    <row r="205" spans="1:17" ht="15" customHeight="1">
      <c r="A205" s="196">
        <v>864</v>
      </c>
      <c r="B205" s="71">
        <v>44385</v>
      </c>
      <c r="C205" s="2" t="s">
        <v>105</v>
      </c>
      <c r="D205" s="2" t="s">
        <v>137</v>
      </c>
      <c r="E205" s="2">
        <v>2</v>
      </c>
      <c r="F205" s="2" t="s">
        <v>87</v>
      </c>
      <c r="G205" s="72"/>
      <c r="H205" s="72">
        <v>35</v>
      </c>
      <c r="I205" s="72"/>
      <c r="J205" s="72">
        <v>11.8</v>
      </c>
      <c r="K205" s="21">
        <v>201</v>
      </c>
      <c r="L205" s="21">
        <v>760</v>
      </c>
      <c r="M205" s="21">
        <v>204</v>
      </c>
      <c r="N205" s="21">
        <v>1050</v>
      </c>
      <c r="O205" s="2">
        <v>1</v>
      </c>
      <c r="P205" s="2" t="s">
        <v>1037</v>
      </c>
      <c r="Q205" s="2"/>
    </row>
    <row r="206" spans="1:17" ht="15" customHeight="1">
      <c r="A206" s="196">
        <v>863</v>
      </c>
      <c r="B206" s="71">
        <v>44385</v>
      </c>
      <c r="C206" s="2" t="s">
        <v>105</v>
      </c>
      <c r="D206" s="2" t="s">
        <v>135</v>
      </c>
      <c r="E206" s="2">
        <v>4</v>
      </c>
      <c r="F206" s="2" t="s">
        <v>87</v>
      </c>
      <c r="G206" s="72"/>
      <c r="H206" s="72">
        <v>42.5</v>
      </c>
      <c r="I206" s="72"/>
      <c r="J206" s="72">
        <v>9.1999999999999993</v>
      </c>
      <c r="K206" s="21">
        <v>272</v>
      </c>
      <c r="L206" s="21">
        <v>1250</v>
      </c>
      <c r="M206" s="21">
        <v>271</v>
      </c>
      <c r="N206" s="21">
        <v>1580</v>
      </c>
      <c r="O206" s="2">
        <v>1</v>
      </c>
      <c r="P206" s="2" t="s">
        <v>197</v>
      </c>
      <c r="Q206" s="2"/>
    </row>
    <row r="207" spans="1:17" ht="15" customHeight="1">
      <c r="A207" s="196">
        <v>862</v>
      </c>
      <c r="B207" s="71">
        <v>44384</v>
      </c>
      <c r="C207" s="2" t="s">
        <v>105</v>
      </c>
      <c r="D207" s="2" t="s">
        <v>137</v>
      </c>
      <c r="E207" s="2">
        <v>2</v>
      </c>
      <c r="F207" s="2" t="s">
        <v>87</v>
      </c>
      <c r="G207" s="72"/>
      <c r="H207" s="72">
        <v>35</v>
      </c>
      <c r="I207" s="72"/>
      <c r="J207" s="72">
        <v>11.9</v>
      </c>
      <c r="K207" s="21">
        <v>200</v>
      </c>
      <c r="L207" s="21">
        <v>70</v>
      </c>
      <c r="M207" s="21">
        <v>205</v>
      </c>
      <c r="N207" s="21">
        <v>1090</v>
      </c>
      <c r="O207" s="2">
        <v>2</v>
      </c>
      <c r="P207" s="2" t="s">
        <v>1037</v>
      </c>
      <c r="Q207" s="2"/>
    </row>
    <row r="208" spans="1:17" ht="15" customHeight="1">
      <c r="A208" s="196">
        <v>861</v>
      </c>
      <c r="B208" s="71">
        <v>44384</v>
      </c>
      <c r="C208" s="2" t="s">
        <v>105</v>
      </c>
      <c r="D208" s="2" t="s">
        <v>136</v>
      </c>
      <c r="E208" s="2">
        <v>5</v>
      </c>
      <c r="F208" s="2" t="s">
        <v>87</v>
      </c>
      <c r="G208" s="72"/>
      <c r="H208" s="72">
        <v>42.5</v>
      </c>
      <c r="I208" s="72"/>
      <c r="J208" s="72">
        <v>7.02</v>
      </c>
      <c r="K208" s="21">
        <v>300</v>
      </c>
      <c r="L208" s="21">
        <v>1680</v>
      </c>
      <c r="M208" s="21">
        <v>301</v>
      </c>
      <c r="N208" s="21">
        <v>2127</v>
      </c>
      <c r="O208" s="2">
        <v>2</v>
      </c>
      <c r="P208" s="2" t="s">
        <v>1037</v>
      </c>
      <c r="Q208" s="2"/>
    </row>
    <row r="209" spans="1:17" ht="15" customHeight="1">
      <c r="A209" s="196">
        <v>860</v>
      </c>
      <c r="B209" s="71">
        <v>44383</v>
      </c>
      <c r="C209" s="2" t="s">
        <v>105</v>
      </c>
      <c r="D209" s="2" t="s">
        <v>136</v>
      </c>
      <c r="E209" s="2">
        <v>5</v>
      </c>
      <c r="F209" s="2" t="s">
        <v>87</v>
      </c>
      <c r="G209" s="72"/>
      <c r="H209" s="72">
        <v>42.5</v>
      </c>
      <c r="I209" s="72"/>
      <c r="J209" s="72">
        <v>7.25</v>
      </c>
      <c r="K209" s="21">
        <v>300</v>
      </c>
      <c r="L209" s="21">
        <v>1630</v>
      </c>
      <c r="M209" s="21"/>
      <c r="N209" s="21"/>
      <c r="O209" s="2">
        <v>2</v>
      </c>
      <c r="P209" s="2" t="s">
        <v>1037</v>
      </c>
      <c r="Q209" s="2"/>
    </row>
    <row r="210" spans="1:17" ht="15" customHeight="1">
      <c r="A210" s="196">
        <v>859</v>
      </c>
      <c r="B210" s="71">
        <v>44383</v>
      </c>
      <c r="C210" s="2" t="s">
        <v>105</v>
      </c>
      <c r="D210" s="2" t="s">
        <v>135</v>
      </c>
      <c r="E210" s="2">
        <v>4</v>
      </c>
      <c r="F210" s="2" t="s">
        <v>87</v>
      </c>
      <c r="G210" s="72"/>
      <c r="H210" s="72">
        <v>42.5</v>
      </c>
      <c r="I210" s="72"/>
      <c r="J210" s="72">
        <v>9.4499999999999993</v>
      </c>
      <c r="K210" s="21">
        <v>271</v>
      </c>
      <c r="L210" s="21">
        <v>1220</v>
      </c>
      <c r="M210" s="21"/>
      <c r="N210" s="21"/>
      <c r="O210" s="2">
        <v>2</v>
      </c>
      <c r="P210" s="2" t="s">
        <v>1037</v>
      </c>
      <c r="Q210" s="2"/>
    </row>
    <row r="211" spans="1:17" ht="15" customHeight="1">
      <c r="A211" s="196">
        <v>858</v>
      </c>
      <c r="B211" s="71">
        <v>44383</v>
      </c>
      <c r="C211" s="2" t="s">
        <v>105</v>
      </c>
      <c r="D211" s="2" t="s">
        <v>123</v>
      </c>
      <c r="E211" s="2">
        <v>4</v>
      </c>
      <c r="F211" s="2" t="s">
        <v>87</v>
      </c>
      <c r="G211" s="72"/>
      <c r="H211" s="72">
        <v>42.5</v>
      </c>
      <c r="I211" s="72"/>
      <c r="J211" s="72">
        <v>8.5</v>
      </c>
      <c r="K211" s="21">
        <v>251</v>
      </c>
      <c r="L211" s="21">
        <v>1385</v>
      </c>
      <c r="M211" s="21"/>
      <c r="N211" s="21"/>
      <c r="O211" s="2">
        <v>2</v>
      </c>
      <c r="P211" s="2" t="s">
        <v>1037</v>
      </c>
      <c r="Q211" s="2"/>
    </row>
    <row r="212" spans="1:17" ht="15" customHeight="1">
      <c r="A212" s="196">
        <v>857</v>
      </c>
      <c r="B212" s="71">
        <v>44383</v>
      </c>
      <c r="C212" s="2" t="s">
        <v>105</v>
      </c>
      <c r="D212" s="2" t="s">
        <v>123</v>
      </c>
      <c r="E212" s="2">
        <v>4</v>
      </c>
      <c r="F212" s="2" t="s">
        <v>87</v>
      </c>
      <c r="G212" s="72"/>
      <c r="H212" s="72">
        <v>42.5</v>
      </c>
      <c r="I212" s="72"/>
      <c r="J212" s="72">
        <v>8.5</v>
      </c>
      <c r="K212" s="21">
        <v>252</v>
      </c>
      <c r="L212" s="21">
        <v>1400</v>
      </c>
      <c r="M212" s="21"/>
      <c r="N212" s="21"/>
      <c r="O212" s="2">
        <v>2</v>
      </c>
      <c r="P212" s="2" t="s">
        <v>197</v>
      </c>
      <c r="Q212" s="2"/>
    </row>
    <row r="213" spans="1:17" ht="15" customHeight="1">
      <c r="A213" s="196">
        <v>856</v>
      </c>
      <c r="B213" s="71">
        <v>44382</v>
      </c>
      <c r="C213" s="2" t="s">
        <v>37</v>
      </c>
      <c r="D213" s="2" t="s">
        <v>136</v>
      </c>
      <c r="E213" s="2">
        <v>5</v>
      </c>
      <c r="F213" s="2" t="s">
        <v>87</v>
      </c>
      <c r="G213" s="72"/>
      <c r="H213" s="72">
        <v>42.5</v>
      </c>
      <c r="I213" s="72"/>
      <c r="J213" s="72">
        <v>7.9</v>
      </c>
      <c r="K213" s="21">
        <v>295</v>
      </c>
      <c r="L213" s="21">
        <v>1450</v>
      </c>
      <c r="M213" s="21"/>
      <c r="N213" s="21"/>
      <c r="O213" s="2">
        <v>1</v>
      </c>
      <c r="P213" s="2" t="s">
        <v>1037</v>
      </c>
      <c r="Q213" s="2"/>
    </row>
    <row r="214" spans="1:17" ht="15" customHeight="1">
      <c r="A214" s="196">
        <v>855</v>
      </c>
      <c r="B214" s="71">
        <v>44382</v>
      </c>
      <c r="C214" s="2" t="s">
        <v>37</v>
      </c>
      <c r="D214" s="2" t="s">
        <v>135</v>
      </c>
      <c r="E214" s="2">
        <v>4</v>
      </c>
      <c r="F214" s="2" t="s">
        <v>87</v>
      </c>
      <c r="G214" s="72"/>
      <c r="H214" s="72">
        <v>42.5</v>
      </c>
      <c r="I214" s="72"/>
      <c r="J214" s="72">
        <v>9.6</v>
      </c>
      <c r="K214" s="21">
        <v>270</v>
      </c>
      <c r="L214" s="21">
        <v>1145</v>
      </c>
      <c r="M214" s="21">
        <v>220</v>
      </c>
      <c r="N214" s="21"/>
      <c r="O214" s="2">
        <v>1</v>
      </c>
      <c r="P214" s="2" t="s">
        <v>1037</v>
      </c>
      <c r="Q214" s="2"/>
    </row>
    <row r="215" spans="1:17" ht="15" customHeight="1">
      <c r="A215" s="196">
        <v>854</v>
      </c>
      <c r="B215" s="71">
        <v>44382</v>
      </c>
      <c r="C215" s="2" t="s">
        <v>37</v>
      </c>
      <c r="D215" s="2" t="s">
        <v>123</v>
      </c>
      <c r="E215" s="2">
        <v>4</v>
      </c>
      <c r="F215" s="2" t="s">
        <v>87</v>
      </c>
      <c r="G215" s="72"/>
      <c r="H215" s="72">
        <v>42.5</v>
      </c>
      <c r="I215" s="72"/>
      <c r="J215" s="72">
        <v>8.5</v>
      </c>
      <c r="K215" s="21">
        <v>252</v>
      </c>
      <c r="L215" s="21">
        <v>1340</v>
      </c>
      <c r="M215" s="21"/>
      <c r="N215" s="21"/>
      <c r="O215" s="2">
        <v>1</v>
      </c>
      <c r="P215" s="2" t="s">
        <v>1037</v>
      </c>
      <c r="Q215" s="2"/>
    </row>
    <row r="216" spans="1:17" ht="15" customHeight="1">
      <c r="A216" s="196">
        <v>853</v>
      </c>
      <c r="B216" s="71">
        <v>44376</v>
      </c>
      <c r="C216" s="2"/>
      <c r="D216" s="2" t="s">
        <v>135</v>
      </c>
      <c r="E216" s="2">
        <v>4</v>
      </c>
      <c r="F216" s="2" t="s">
        <v>87</v>
      </c>
      <c r="G216" s="72"/>
      <c r="H216" s="72">
        <v>42.5</v>
      </c>
      <c r="I216" s="72"/>
      <c r="J216" s="72">
        <v>10.45</v>
      </c>
      <c r="K216" s="21">
        <v>265</v>
      </c>
      <c r="L216" s="21">
        <v>1130</v>
      </c>
      <c r="M216" s="21"/>
      <c r="N216" s="21"/>
      <c r="O216" s="2"/>
      <c r="P216" s="2" t="s">
        <v>1037</v>
      </c>
      <c r="Q216" s="2"/>
    </row>
    <row r="217" spans="1:17" ht="15" customHeight="1">
      <c r="A217" s="196">
        <v>852</v>
      </c>
      <c r="B217" s="71">
        <v>44376</v>
      </c>
      <c r="C217" s="2" t="s">
        <v>38</v>
      </c>
      <c r="D217" s="2" t="s">
        <v>135</v>
      </c>
      <c r="E217" s="2">
        <v>4</v>
      </c>
      <c r="F217" s="2" t="s">
        <v>87</v>
      </c>
      <c r="G217" s="72"/>
      <c r="H217" s="72">
        <v>42.5</v>
      </c>
      <c r="I217" s="72"/>
      <c r="J217" s="72">
        <v>10.199999999999999</v>
      </c>
      <c r="K217" s="21">
        <v>267</v>
      </c>
      <c r="L217" s="21">
        <v>180</v>
      </c>
      <c r="M217" s="21">
        <v>269</v>
      </c>
      <c r="N217" s="21">
        <v>1450</v>
      </c>
      <c r="O217" s="2">
        <v>1</v>
      </c>
      <c r="P217" s="2" t="s">
        <v>1037</v>
      </c>
      <c r="Q217" s="2"/>
    </row>
    <row r="218" spans="1:17" ht="15" customHeight="1">
      <c r="A218" s="196">
        <v>851</v>
      </c>
      <c r="B218" s="71">
        <v>44376</v>
      </c>
      <c r="C218" s="2"/>
      <c r="D218" s="2" t="s">
        <v>133</v>
      </c>
      <c r="E218" s="2">
        <v>5</v>
      </c>
      <c r="F218" s="2" t="s">
        <v>84</v>
      </c>
      <c r="G218" s="72"/>
      <c r="H218" s="72">
        <v>42.5</v>
      </c>
      <c r="I218" s="72"/>
      <c r="J218" s="72">
        <v>8</v>
      </c>
      <c r="K218" s="21">
        <v>279</v>
      </c>
      <c r="L218" s="21">
        <v>1400</v>
      </c>
      <c r="M218" s="21">
        <v>286</v>
      </c>
      <c r="N218" s="21"/>
      <c r="O218" s="2"/>
      <c r="P218" s="2" t="s">
        <v>1037</v>
      </c>
      <c r="Q218" s="2" t="s">
        <v>196</v>
      </c>
    </row>
    <row r="219" spans="1:17" ht="15" customHeight="1">
      <c r="A219" s="196">
        <v>850</v>
      </c>
      <c r="B219" s="71">
        <v>44376</v>
      </c>
      <c r="C219" s="2" t="s">
        <v>37</v>
      </c>
      <c r="D219" s="2" t="s">
        <v>133</v>
      </c>
      <c r="E219" s="2">
        <v>5</v>
      </c>
      <c r="F219" s="2" t="s">
        <v>84</v>
      </c>
      <c r="G219" s="72"/>
      <c r="H219" s="72">
        <v>42.5</v>
      </c>
      <c r="I219" s="72"/>
      <c r="J219" s="72">
        <v>7.8</v>
      </c>
      <c r="K219" s="21">
        <v>279</v>
      </c>
      <c r="L219" s="21">
        <v>1400</v>
      </c>
      <c r="M219" s="21">
        <v>285</v>
      </c>
      <c r="N219" s="21"/>
      <c r="O219" s="2">
        <v>1</v>
      </c>
      <c r="P219" s="2" t="s">
        <v>1456</v>
      </c>
      <c r="Q219" s="2"/>
    </row>
    <row r="220" spans="1:17" ht="15" customHeight="1">
      <c r="A220" s="196">
        <v>849</v>
      </c>
      <c r="B220" s="71">
        <v>44376</v>
      </c>
      <c r="C220" s="2"/>
      <c r="D220" s="2" t="s">
        <v>134</v>
      </c>
      <c r="E220" s="2">
        <v>2</v>
      </c>
      <c r="F220" s="2" t="s">
        <v>84</v>
      </c>
      <c r="G220" s="72"/>
      <c r="H220" s="72">
        <v>35</v>
      </c>
      <c r="I220" s="72"/>
      <c r="J220" s="72">
        <v>10.3</v>
      </c>
      <c r="K220" s="21">
        <v>199</v>
      </c>
      <c r="L220" s="21">
        <v>815</v>
      </c>
      <c r="M220" s="21">
        <v>209</v>
      </c>
      <c r="N220" s="21">
        <v>1315</v>
      </c>
      <c r="O220" s="2"/>
      <c r="P220" s="2" t="s">
        <v>1037</v>
      </c>
      <c r="Q220" s="2" t="s">
        <v>196</v>
      </c>
    </row>
    <row r="221" spans="1:17" ht="15" customHeight="1">
      <c r="A221" s="196">
        <v>848</v>
      </c>
      <c r="B221" s="71">
        <v>44376</v>
      </c>
      <c r="C221" s="2" t="s">
        <v>37</v>
      </c>
      <c r="D221" s="2" t="s">
        <v>134</v>
      </c>
      <c r="E221" s="2">
        <v>2</v>
      </c>
      <c r="F221" s="2" t="s">
        <v>84</v>
      </c>
      <c r="G221" s="72"/>
      <c r="H221" s="72">
        <v>35</v>
      </c>
      <c r="I221" s="72"/>
      <c r="J221" s="72">
        <v>9.8000000000000007</v>
      </c>
      <c r="K221" s="21">
        <v>200</v>
      </c>
      <c r="L221" s="21">
        <v>840</v>
      </c>
      <c r="M221" s="21">
        <v>210</v>
      </c>
      <c r="N221" s="21">
        <v>1375</v>
      </c>
      <c r="O221" s="2">
        <v>1</v>
      </c>
      <c r="P221" s="2" t="s">
        <v>1456</v>
      </c>
      <c r="Q221" s="2"/>
    </row>
    <row r="222" spans="1:17" ht="15" customHeight="1">
      <c r="A222" s="196">
        <v>847</v>
      </c>
      <c r="B222" s="71">
        <v>44375</v>
      </c>
      <c r="C222" s="2" t="s">
        <v>37</v>
      </c>
      <c r="D222" s="2" t="s">
        <v>133</v>
      </c>
      <c r="E222" s="2">
        <v>5</v>
      </c>
      <c r="F222" s="2" t="s">
        <v>84</v>
      </c>
      <c r="G222" s="72"/>
      <c r="H222" s="72">
        <v>42.5</v>
      </c>
      <c r="I222" s="72"/>
      <c r="J222" s="72">
        <v>8.1</v>
      </c>
      <c r="K222" s="21">
        <v>279</v>
      </c>
      <c r="L222" s="21">
        <v>1380</v>
      </c>
      <c r="M222" s="21">
        <v>285</v>
      </c>
      <c r="N222" s="21"/>
      <c r="O222" s="2">
        <v>1</v>
      </c>
      <c r="P222" s="2" t="s">
        <v>1037</v>
      </c>
      <c r="Q222" s="2"/>
    </row>
    <row r="223" spans="1:17" ht="15" customHeight="1">
      <c r="A223" s="196">
        <v>846</v>
      </c>
      <c r="B223" s="71">
        <v>44375</v>
      </c>
      <c r="C223" s="2" t="s">
        <v>37</v>
      </c>
      <c r="D223" s="2" t="s">
        <v>134</v>
      </c>
      <c r="E223" s="2">
        <v>2</v>
      </c>
      <c r="F223" s="2" t="s">
        <v>84</v>
      </c>
      <c r="G223" s="72"/>
      <c r="H223" s="72">
        <v>35</v>
      </c>
      <c r="I223" s="72"/>
      <c r="J223" s="72">
        <v>10.65</v>
      </c>
      <c r="K223" s="21">
        <v>200</v>
      </c>
      <c r="L223" s="21">
        <v>760</v>
      </c>
      <c r="M223" s="21">
        <v>210</v>
      </c>
      <c r="N223" s="21"/>
      <c r="O223" s="2">
        <v>1</v>
      </c>
      <c r="P223" s="2" t="s">
        <v>1037</v>
      </c>
      <c r="Q223" s="2"/>
    </row>
    <row r="224" spans="1:17" ht="15" customHeight="1">
      <c r="A224" s="196">
        <v>845</v>
      </c>
      <c r="B224" s="71">
        <v>44375</v>
      </c>
      <c r="C224" s="2" t="s">
        <v>105</v>
      </c>
      <c r="D224" s="2" t="s">
        <v>131</v>
      </c>
      <c r="E224" s="2">
        <v>5</v>
      </c>
      <c r="F224" s="2" t="s">
        <v>84</v>
      </c>
      <c r="G224" s="72"/>
      <c r="H224" s="72">
        <v>42.5</v>
      </c>
      <c r="I224" s="72"/>
      <c r="J224" s="72">
        <v>8.35</v>
      </c>
      <c r="K224" s="21">
        <v>280</v>
      </c>
      <c r="L224" s="21">
        <v>1335</v>
      </c>
      <c r="M224" s="21">
        <v>285</v>
      </c>
      <c r="N224" s="21"/>
      <c r="O224" s="2">
        <v>2</v>
      </c>
      <c r="P224" s="2" t="s">
        <v>1037</v>
      </c>
      <c r="Q224" s="2" t="s">
        <v>194</v>
      </c>
    </row>
    <row r="225" spans="1:17" ht="15" customHeight="1">
      <c r="A225" s="196">
        <v>844</v>
      </c>
      <c r="B225" s="71">
        <v>44375</v>
      </c>
      <c r="C225" s="2" t="s">
        <v>37</v>
      </c>
      <c r="D225" s="2" t="s">
        <v>131</v>
      </c>
      <c r="E225" s="2">
        <v>5</v>
      </c>
      <c r="F225" s="2" t="s">
        <v>84</v>
      </c>
      <c r="G225" s="72"/>
      <c r="H225" s="72">
        <v>42.5</v>
      </c>
      <c r="I225" s="72"/>
      <c r="J225" s="72">
        <v>8.1</v>
      </c>
      <c r="K225" s="21">
        <v>280</v>
      </c>
      <c r="L225" s="21">
        <v>1330</v>
      </c>
      <c r="M225" s="21">
        <v>286</v>
      </c>
      <c r="N225" s="21">
        <v>1830</v>
      </c>
      <c r="O225" s="2">
        <v>1</v>
      </c>
      <c r="P225" s="2" t="s">
        <v>1037</v>
      </c>
      <c r="Q225" s="2"/>
    </row>
    <row r="226" spans="1:17" ht="15" customHeight="1">
      <c r="A226" s="196">
        <v>843</v>
      </c>
      <c r="B226" s="71">
        <v>44375</v>
      </c>
      <c r="C226" s="2" t="s">
        <v>37</v>
      </c>
      <c r="D226" s="2" t="s">
        <v>131</v>
      </c>
      <c r="E226" s="2">
        <v>5</v>
      </c>
      <c r="F226" s="2" t="s">
        <v>84</v>
      </c>
      <c r="G226" s="72"/>
      <c r="H226" s="72">
        <v>42.5</v>
      </c>
      <c r="I226" s="72"/>
      <c r="J226" s="72">
        <v>8.15</v>
      </c>
      <c r="K226" s="21">
        <v>280</v>
      </c>
      <c r="L226" s="21">
        <v>1350</v>
      </c>
      <c r="M226" s="21">
        <v>286</v>
      </c>
      <c r="N226" s="21">
        <v>1900</v>
      </c>
      <c r="O226" s="2"/>
      <c r="P226" s="2" t="s">
        <v>1037</v>
      </c>
      <c r="Q226" s="2" t="s">
        <v>195</v>
      </c>
    </row>
    <row r="227" spans="1:17" ht="15" customHeight="1">
      <c r="A227" s="196">
        <v>842</v>
      </c>
      <c r="B227" s="71">
        <v>44375</v>
      </c>
      <c r="C227" s="2" t="s">
        <v>105</v>
      </c>
      <c r="D227" s="2" t="s">
        <v>132</v>
      </c>
      <c r="E227" s="2">
        <v>2</v>
      </c>
      <c r="F227" s="2" t="s">
        <v>84</v>
      </c>
      <c r="G227" s="72"/>
      <c r="H227" s="72">
        <v>35</v>
      </c>
      <c r="I227" s="72"/>
      <c r="J227" s="72">
        <v>10.45</v>
      </c>
      <c r="K227" s="21">
        <v>200</v>
      </c>
      <c r="L227" s="21"/>
      <c r="M227" s="21">
        <v>210</v>
      </c>
      <c r="N227" s="21"/>
      <c r="O227" s="2">
        <v>2</v>
      </c>
      <c r="P227" s="2" t="s">
        <v>197</v>
      </c>
      <c r="Q227" s="2"/>
    </row>
    <row r="228" spans="1:17" ht="15" customHeight="1">
      <c r="A228" s="196">
        <v>841</v>
      </c>
      <c r="B228" s="71">
        <v>44373</v>
      </c>
      <c r="C228" s="2" t="s">
        <v>37</v>
      </c>
      <c r="D228" s="2" t="s">
        <v>131</v>
      </c>
      <c r="E228" s="2">
        <v>5</v>
      </c>
      <c r="F228" s="2" t="s">
        <v>84</v>
      </c>
      <c r="G228" s="72"/>
      <c r="H228" s="72">
        <v>44</v>
      </c>
      <c r="I228" s="72"/>
      <c r="J228" s="72">
        <v>7.5</v>
      </c>
      <c r="K228" s="21">
        <v>280</v>
      </c>
      <c r="L228" s="21">
        <v>1540</v>
      </c>
      <c r="M228" s="21">
        <v>285</v>
      </c>
      <c r="N228" s="21"/>
      <c r="O228" s="2">
        <v>2</v>
      </c>
      <c r="P228" s="2" t="s">
        <v>1037</v>
      </c>
      <c r="Q228" s="2"/>
    </row>
    <row r="229" spans="1:17" ht="15" customHeight="1">
      <c r="A229" s="196">
        <v>840</v>
      </c>
      <c r="B229" s="71">
        <v>44373</v>
      </c>
      <c r="C229" s="2" t="s">
        <v>37</v>
      </c>
      <c r="D229" s="2" t="s">
        <v>132</v>
      </c>
      <c r="E229" s="2">
        <v>2</v>
      </c>
      <c r="F229" s="2" t="s">
        <v>84</v>
      </c>
      <c r="G229" s="72"/>
      <c r="H229" s="72">
        <v>35</v>
      </c>
      <c r="I229" s="72"/>
      <c r="J229" s="72">
        <v>9.5</v>
      </c>
      <c r="K229" s="21">
        <v>201</v>
      </c>
      <c r="L229" s="21">
        <v>900</v>
      </c>
      <c r="M229" s="21">
        <v>210</v>
      </c>
      <c r="N229" s="21"/>
      <c r="O229" s="2">
        <v>2</v>
      </c>
      <c r="P229" s="2" t="s">
        <v>1037</v>
      </c>
      <c r="Q229" s="2"/>
    </row>
    <row r="230" spans="1:17" ht="15" customHeight="1">
      <c r="A230" s="196">
        <v>839</v>
      </c>
      <c r="B230" s="71">
        <v>44371</v>
      </c>
      <c r="C230" s="2" t="s">
        <v>105</v>
      </c>
      <c r="D230" s="2" t="s">
        <v>129</v>
      </c>
      <c r="E230" s="2">
        <v>5</v>
      </c>
      <c r="F230" s="2" t="s">
        <v>87</v>
      </c>
      <c r="G230" s="72"/>
      <c r="H230" s="72">
        <v>42.5</v>
      </c>
      <c r="I230" s="72"/>
      <c r="J230" s="72">
        <v>8.6999999999999993</v>
      </c>
      <c r="K230" s="21">
        <v>262</v>
      </c>
      <c r="L230" s="21">
        <v>1360</v>
      </c>
      <c r="M230" s="21">
        <v>262</v>
      </c>
      <c r="N230" s="21">
        <v>1655</v>
      </c>
      <c r="O230" s="2">
        <v>2</v>
      </c>
      <c r="P230" s="2" t="s">
        <v>197</v>
      </c>
      <c r="Q230" s="2"/>
    </row>
    <row r="231" spans="1:17" ht="15" customHeight="1">
      <c r="A231" s="196">
        <v>838</v>
      </c>
      <c r="B231" s="71">
        <v>44370</v>
      </c>
      <c r="C231" s="2" t="s">
        <v>105</v>
      </c>
      <c r="D231" s="2" t="s">
        <v>130</v>
      </c>
      <c r="E231" s="2">
        <v>5</v>
      </c>
      <c r="F231" s="2" t="s">
        <v>87</v>
      </c>
      <c r="G231" s="72"/>
      <c r="H231" s="72">
        <v>42.5</v>
      </c>
      <c r="I231" s="72"/>
      <c r="J231" s="72">
        <v>9.25</v>
      </c>
      <c r="K231" s="21">
        <v>260</v>
      </c>
      <c r="L231" s="21">
        <v>1340</v>
      </c>
      <c r="M231" s="21">
        <v>260</v>
      </c>
      <c r="N231" s="21">
        <v>1600</v>
      </c>
      <c r="O231" s="2">
        <v>2</v>
      </c>
      <c r="P231" s="2" t="s">
        <v>1037</v>
      </c>
      <c r="Q231" s="2"/>
    </row>
    <row r="232" spans="1:17" ht="15" customHeight="1">
      <c r="A232" s="196">
        <v>837</v>
      </c>
      <c r="B232" s="71">
        <v>44370</v>
      </c>
      <c r="C232" s="2" t="s">
        <v>38</v>
      </c>
      <c r="D232" s="2" t="s">
        <v>129</v>
      </c>
      <c r="E232" s="2">
        <v>5</v>
      </c>
      <c r="F232" s="2" t="s">
        <v>87</v>
      </c>
      <c r="G232" s="72"/>
      <c r="H232" s="72">
        <v>42.5</v>
      </c>
      <c r="I232" s="72"/>
      <c r="J232" s="72">
        <v>8.85</v>
      </c>
      <c r="K232" s="21" t="s">
        <v>192</v>
      </c>
      <c r="L232" s="21">
        <v>1355</v>
      </c>
      <c r="M232" s="21">
        <v>261</v>
      </c>
      <c r="N232" s="21">
        <v>1655</v>
      </c>
      <c r="O232" s="2">
        <v>1</v>
      </c>
      <c r="P232" s="2" t="s">
        <v>1037</v>
      </c>
      <c r="Q232" s="2" t="s">
        <v>193</v>
      </c>
    </row>
    <row r="233" spans="1:17" ht="15" customHeight="1">
      <c r="A233" s="196">
        <v>836</v>
      </c>
      <c r="B233" s="71">
        <v>44369</v>
      </c>
      <c r="C233" s="2" t="s">
        <v>105</v>
      </c>
      <c r="D233" s="2" t="s">
        <v>128</v>
      </c>
      <c r="E233" s="2">
        <v>4</v>
      </c>
      <c r="F233" s="2" t="s">
        <v>84</v>
      </c>
      <c r="G233" s="72"/>
      <c r="H233" s="72">
        <v>35</v>
      </c>
      <c r="I233" s="72"/>
      <c r="J233" s="72">
        <v>963</v>
      </c>
      <c r="K233" s="21">
        <v>226</v>
      </c>
      <c r="L233" s="21">
        <v>890</v>
      </c>
      <c r="M233" s="21">
        <v>237</v>
      </c>
      <c r="N233" s="21">
        <v>1410</v>
      </c>
      <c r="O233" s="2">
        <v>1</v>
      </c>
      <c r="P233" s="2" t="s">
        <v>197</v>
      </c>
      <c r="Q233" s="2"/>
    </row>
    <row r="234" spans="1:17" ht="15" customHeight="1">
      <c r="A234" s="196">
        <v>835</v>
      </c>
      <c r="B234" s="71">
        <v>44369</v>
      </c>
      <c r="C234" s="2" t="s">
        <v>105</v>
      </c>
      <c r="D234" s="2" t="s">
        <v>129</v>
      </c>
      <c r="E234" s="2">
        <v>5</v>
      </c>
      <c r="F234" s="2" t="s">
        <v>87</v>
      </c>
      <c r="G234" s="72"/>
      <c r="H234" s="72">
        <v>42.5</v>
      </c>
      <c r="I234" s="72"/>
      <c r="J234" s="72">
        <v>9.3000000000000007</v>
      </c>
      <c r="K234" s="21">
        <v>259</v>
      </c>
      <c r="L234" s="21">
        <v>1330</v>
      </c>
      <c r="M234" s="21">
        <v>261</v>
      </c>
      <c r="N234" s="21">
        <v>1620</v>
      </c>
      <c r="O234" s="2">
        <v>1</v>
      </c>
      <c r="P234" s="2" t="s">
        <v>1037</v>
      </c>
      <c r="Q234" s="2"/>
    </row>
    <row r="235" spans="1:17" ht="15" customHeight="1">
      <c r="A235" s="196">
        <v>834</v>
      </c>
      <c r="B235" s="71">
        <v>44368</v>
      </c>
      <c r="C235" s="2" t="s">
        <v>105</v>
      </c>
      <c r="D235" s="2" t="s">
        <v>115</v>
      </c>
      <c r="E235" s="2">
        <v>5</v>
      </c>
      <c r="F235" s="2" t="s">
        <v>84</v>
      </c>
      <c r="G235" s="72"/>
      <c r="H235" s="72">
        <v>42.5</v>
      </c>
      <c r="I235" s="72"/>
      <c r="J235" s="72">
        <v>7.9</v>
      </c>
      <c r="K235" s="21">
        <v>288</v>
      </c>
      <c r="L235" s="21">
        <v>1410</v>
      </c>
      <c r="M235" s="21">
        <v>191</v>
      </c>
      <c r="N235" s="21">
        <v>2040</v>
      </c>
      <c r="O235" s="2">
        <v>1</v>
      </c>
      <c r="P235" s="2" t="s">
        <v>197</v>
      </c>
      <c r="Q235" s="2"/>
    </row>
    <row r="236" spans="1:17" ht="15" customHeight="1">
      <c r="A236" s="196">
        <v>833</v>
      </c>
      <c r="B236" s="71">
        <v>44366</v>
      </c>
      <c r="C236" s="2" t="s">
        <v>105</v>
      </c>
      <c r="D236" s="2" t="s">
        <v>128</v>
      </c>
      <c r="E236" s="2">
        <v>4</v>
      </c>
      <c r="F236" s="2" t="s">
        <v>84</v>
      </c>
      <c r="G236" s="72"/>
      <c r="H236" s="72">
        <v>35</v>
      </c>
      <c r="I236" s="72"/>
      <c r="J236" s="72"/>
      <c r="K236" s="21"/>
      <c r="L236" s="21"/>
      <c r="M236" s="21"/>
      <c r="N236" s="21"/>
      <c r="O236" s="2">
        <v>2</v>
      </c>
      <c r="P236" s="2" t="s">
        <v>1037</v>
      </c>
      <c r="Q236" s="2"/>
    </row>
    <row r="237" spans="1:17" ht="15" customHeight="1">
      <c r="A237" s="196">
        <v>832</v>
      </c>
      <c r="B237" s="71">
        <v>44365</v>
      </c>
      <c r="C237" s="2" t="s">
        <v>105</v>
      </c>
      <c r="D237" s="2" t="s">
        <v>128</v>
      </c>
      <c r="E237" s="2">
        <v>4</v>
      </c>
      <c r="F237" s="2" t="s">
        <v>84</v>
      </c>
      <c r="G237" s="72"/>
      <c r="H237" s="72">
        <v>35</v>
      </c>
      <c r="I237" s="72"/>
      <c r="J237" s="72">
        <v>10.25</v>
      </c>
      <c r="K237" s="21" t="s">
        <v>162</v>
      </c>
      <c r="L237" s="21">
        <v>835</v>
      </c>
      <c r="M237" s="21">
        <v>236</v>
      </c>
      <c r="N237" s="21">
        <v>1330</v>
      </c>
      <c r="O237" s="2">
        <v>2</v>
      </c>
      <c r="P237" s="2" t="s">
        <v>1037</v>
      </c>
      <c r="Q237" s="2"/>
    </row>
    <row r="238" spans="1:17" ht="15" customHeight="1">
      <c r="A238" s="196">
        <v>831</v>
      </c>
      <c r="B238" s="71">
        <v>44362</v>
      </c>
      <c r="C238" s="2" t="s">
        <v>105</v>
      </c>
      <c r="D238" s="2" t="s">
        <v>126</v>
      </c>
      <c r="E238" s="2">
        <v>4</v>
      </c>
      <c r="F238" s="2" t="s">
        <v>87</v>
      </c>
      <c r="G238" s="72"/>
      <c r="H238" s="72">
        <v>35</v>
      </c>
      <c r="I238" s="72"/>
      <c r="J238" s="72">
        <v>11</v>
      </c>
      <c r="K238" s="21">
        <v>194</v>
      </c>
      <c r="L238" s="21">
        <v>885</v>
      </c>
      <c r="M238" s="21">
        <v>195</v>
      </c>
      <c r="N238" s="21">
        <v>1075</v>
      </c>
      <c r="O238" s="2">
        <v>2</v>
      </c>
      <c r="P238" s="2" t="s">
        <v>197</v>
      </c>
      <c r="Q238" s="2"/>
    </row>
    <row r="239" spans="1:17" ht="15" customHeight="1">
      <c r="A239" s="196">
        <v>830</v>
      </c>
      <c r="B239" s="71">
        <v>44362</v>
      </c>
      <c r="C239" s="2" t="s">
        <v>105</v>
      </c>
      <c r="D239" s="2" t="s">
        <v>127</v>
      </c>
      <c r="E239" s="2">
        <v>1</v>
      </c>
      <c r="F239" s="2" t="s">
        <v>82</v>
      </c>
      <c r="G239" s="72"/>
      <c r="H239" s="72">
        <v>42.5</v>
      </c>
      <c r="I239" s="72"/>
      <c r="J239" s="72">
        <v>10.8</v>
      </c>
      <c r="K239" s="21">
        <v>208</v>
      </c>
      <c r="L239" s="21">
        <v>1030</v>
      </c>
      <c r="M239" s="21">
        <v>212</v>
      </c>
      <c r="N239" s="21">
        <v>1410</v>
      </c>
      <c r="O239" s="2">
        <v>1</v>
      </c>
      <c r="P239" s="2" t="s">
        <v>197</v>
      </c>
      <c r="Q239" s="2" t="s">
        <v>189</v>
      </c>
    </row>
    <row r="240" spans="1:17" ht="15" customHeight="1">
      <c r="A240" s="196">
        <v>829</v>
      </c>
      <c r="B240" s="71">
        <v>44361</v>
      </c>
      <c r="C240" s="2" t="s">
        <v>38</v>
      </c>
      <c r="D240" s="2" t="s">
        <v>126</v>
      </c>
      <c r="E240" s="2">
        <v>4</v>
      </c>
      <c r="F240" s="2" t="s">
        <v>87</v>
      </c>
      <c r="G240" s="72"/>
      <c r="H240" s="72">
        <v>35</v>
      </c>
      <c r="I240" s="72"/>
      <c r="J240" s="72">
        <v>11.9</v>
      </c>
      <c r="K240" s="21">
        <v>193</v>
      </c>
      <c r="L240" s="21">
        <v>860</v>
      </c>
      <c r="M240" s="21">
        <v>193</v>
      </c>
      <c r="N240" s="21">
        <v>1030</v>
      </c>
      <c r="O240" s="2">
        <v>1</v>
      </c>
      <c r="P240" s="2" t="s">
        <v>1037</v>
      </c>
      <c r="Q240" s="2"/>
    </row>
    <row r="241" spans="1:17" ht="15" customHeight="1">
      <c r="A241" s="196">
        <v>828</v>
      </c>
      <c r="B241" s="71">
        <v>44361</v>
      </c>
      <c r="C241" s="2" t="s">
        <v>105</v>
      </c>
      <c r="D241" s="2" t="s">
        <v>127</v>
      </c>
      <c r="E241" s="2">
        <v>1</v>
      </c>
      <c r="F241" s="2" t="s">
        <v>82</v>
      </c>
      <c r="G241" s="72"/>
      <c r="H241" s="72">
        <v>42.5</v>
      </c>
      <c r="I241" s="72"/>
      <c r="J241" s="72">
        <v>11</v>
      </c>
      <c r="K241" s="21">
        <v>208</v>
      </c>
      <c r="L241" s="21">
        <v>1010</v>
      </c>
      <c r="M241" s="21">
        <v>212</v>
      </c>
      <c r="N241" s="21">
        <v>1375</v>
      </c>
      <c r="O241" s="2">
        <v>1</v>
      </c>
      <c r="P241" s="2" t="s">
        <v>1037</v>
      </c>
      <c r="Q241" s="2" t="s">
        <v>188</v>
      </c>
    </row>
    <row r="242" spans="1:17" ht="15" customHeight="1">
      <c r="A242" s="196">
        <v>827</v>
      </c>
      <c r="B242" s="71">
        <v>44356</v>
      </c>
      <c r="C242" s="2" t="s">
        <v>105</v>
      </c>
      <c r="D242" s="2" t="s">
        <v>126</v>
      </c>
      <c r="E242" s="2">
        <v>4</v>
      </c>
      <c r="F242" s="2" t="s">
        <v>87</v>
      </c>
      <c r="G242" s="72"/>
      <c r="H242" s="72">
        <v>35</v>
      </c>
      <c r="I242" s="72"/>
      <c r="J242" s="72">
        <v>11.5</v>
      </c>
      <c r="K242" s="21">
        <v>192</v>
      </c>
      <c r="L242" s="21">
        <v>850</v>
      </c>
      <c r="M242" s="21">
        <v>195</v>
      </c>
      <c r="N242" s="21">
        <v>1010</v>
      </c>
      <c r="O242" s="2">
        <v>2</v>
      </c>
      <c r="P242" s="2" t="s">
        <v>1037</v>
      </c>
      <c r="Q242" s="2"/>
    </row>
    <row r="243" spans="1:17" ht="15" customHeight="1">
      <c r="A243" s="196">
        <v>826</v>
      </c>
      <c r="B243" s="71">
        <v>44354</v>
      </c>
      <c r="C243" s="2" t="s">
        <v>37</v>
      </c>
      <c r="D243" s="2" t="s">
        <v>106</v>
      </c>
      <c r="E243" s="2">
        <v>4</v>
      </c>
      <c r="F243" s="2" t="s">
        <v>87</v>
      </c>
      <c r="G243" s="72"/>
      <c r="H243" s="72">
        <v>42.5</v>
      </c>
      <c r="I243" s="72"/>
      <c r="J243" s="72">
        <v>9</v>
      </c>
      <c r="K243" s="21"/>
      <c r="L243" s="21">
        <v>1390</v>
      </c>
      <c r="M243" s="21">
        <v>240</v>
      </c>
      <c r="N243" s="21"/>
      <c r="O243" s="2"/>
      <c r="P243" s="2" t="s">
        <v>197</v>
      </c>
      <c r="Q243" s="2"/>
    </row>
    <row r="244" spans="1:17" ht="15" customHeight="1">
      <c r="A244" s="196">
        <v>825</v>
      </c>
      <c r="B244" s="71">
        <v>44338</v>
      </c>
      <c r="C244" s="2" t="s">
        <v>37</v>
      </c>
      <c r="D244" s="2" t="s">
        <v>125</v>
      </c>
      <c r="E244" s="2">
        <v>4</v>
      </c>
      <c r="F244" s="2" t="s">
        <v>82</v>
      </c>
      <c r="G244" s="72"/>
      <c r="H244" s="72">
        <v>35</v>
      </c>
      <c r="I244" s="72"/>
      <c r="J244" s="72">
        <v>10.1</v>
      </c>
      <c r="K244" s="21" t="s">
        <v>185</v>
      </c>
      <c r="L244" s="21" t="s">
        <v>186</v>
      </c>
      <c r="M244" s="21">
        <v>196</v>
      </c>
      <c r="N244" s="21" t="s">
        <v>187</v>
      </c>
      <c r="O244" s="2"/>
      <c r="P244" s="2" t="s">
        <v>197</v>
      </c>
      <c r="Q244" s="2"/>
    </row>
    <row r="245" spans="1:17" ht="15" customHeight="1">
      <c r="A245" s="196">
        <v>824</v>
      </c>
      <c r="B245" s="71">
        <v>44337</v>
      </c>
      <c r="C245" s="2" t="s">
        <v>37</v>
      </c>
      <c r="D245" s="2" t="s">
        <v>124</v>
      </c>
      <c r="E245" s="2">
        <v>4</v>
      </c>
      <c r="F245" s="2" t="s">
        <v>82</v>
      </c>
      <c r="G245" s="72"/>
      <c r="H245" s="72">
        <v>42.5</v>
      </c>
      <c r="I245" s="72"/>
      <c r="J245" s="72">
        <v>7.6</v>
      </c>
      <c r="K245" s="21">
        <v>262</v>
      </c>
      <c r="L245" s="21">
        <v>1565</v>
      </c>
      <c r="M245" s="21">
        <v>261</v>
      </c>
      <c r="N245" s="21">
        <v>1960</v>
      </c>
      <c r="O245" s="2"/>
      <c r="P245" s="2" t="s">
        <v>197</v>
      </c>
      <c r="Q245" s="2"/>
    </row>
    <row r="246" spans="1:17" ht="15" customHeight="1">
      <c r="A246" s="196">
        <v>823</v>
      </c>
      <c r="B246" s="71">
        <v>44336</v>
      </c>
      <c r="C246" s="2" t="s">
        <v>37</v>
      </c>
      <c r="D246" s="2" t="s">
        <v>125</v>
      </c>
      <c r="E246" s="2">
        <v>4</v>
      </c>
      <c r="F246" s="2" t="s">
        <v>82</v>
      </c>
      <c r="G246" s="72"/>
      <c r="H246" s="72">
        <v>35</v>
      </c>
      <c r="I246" s="72"/>
      <c r="J246" s="72">
        <v>10.6</v>
      </c>
      <c r="K246" s="21"/>
      <c r="L246" s="21">
        <v>840</v>
      </c>
      <c r="M246" s="21">
        <v>1140</v>
      </c>
      <c r="N246" s="21">
        <v>195</v>
      </c>
      <c r="O246" s="2"/>
      <c r="P246" s="2" t="s">
        <v>1037</v>
      </c>
      <c r="Q246" s="2" t="s">
        <v>184</v>
      </c>
    </row>
    <row r="247" spans="1:17" ht="15" customHeight="1">
      <c r="A247" s="196">
        <v>822</v>
      </c>
      <c r="B247" s="71">
        <v>44336</v>
      </c>
      <c r="C247" s="2" t="s">
        <v>105</v>
      </c>
      <c r="D247" s="2" t="s">
        <v>124</v>
      </c>
      <c r="E247" s="2">
        <v>4</v>
      </c>
      <c r="F247" s="2" t="s">
        <v>82</v>
      </c>
      <c r="G247" s="72"/>
      <c r="H247" s="72">
        <v>42.5</v>
      </c>
      <c r="I247" s="72"/>
      <c r="J247" s="72">
        <v>8</v>
      </c>
      <c r="K247" s="21">
        <v>258</v>
      </c>
      <c r="L247" s="21"/>
      <c r="M247" s="21">
        <v>260</v>
      </c>
      <c r="N247" s="21"/>
      <c r="O247" s="2">
        <v>1</v>
      </c>
      <c r="P247" s="2" t="s">
        <v>1037</v>
      </c>
      <c r="Q247" s="2"/>
    </row>
    <row r="248" spans="1:17" ht="15" customHeight="1">
      <c r="A248" s="196">
        <v>821</v>
      </c>
      <c r="B248" s="71">
        <v>44336</v>
      </c>
      <c r="C248" s="2" t="s">
        <v>37</v>
      </c>
      <c r="D248" s="2" t="s">
        <v>124</v>
      </c>
      <c r="E248" s="2">
        <v>4</v>
      </c>
      <c r="F248" s="2" t="s">
        <v>82</v>
      </c>
      <c r="G248" s="72"/>
      <c r="H248" s="72">
        <v>42.5</v>
      </c>
      <c r="I248" s="72"/>
      <c r="J248" s="72">
        <v>8.15</v>
      </c>
      <c r="K248" s="21">
        <v>258</v>
      </c>
      <c r="L248" s="21">
        <v>1440</v>
      </c>
      <c r="M248" s="21">
        <v>260</v>
      </c>
      <c r="N248" s="21">
        <v>1850</v>
      </c>
      <c r="O248" s="2"/>
      <c r="P248" s="2" t="s">
        <v>1037</v>
      </c>
      <c r="Q248" s="2"/>
    </row>
    <row r="249" spans="1:17" ht="15" customHeight="1">
      <c r="A249" s="196">
        <v>820</v>
      </c>
      <c r="B249" s="71">
        <v>44336</v>
      </c>
      <c r="C249" s="2" t="s">
        <v>105</v>
      </c>
      <c r="D249" s="2" t="s">
        <v>110</v>
      </c>
      <c r="E249" s="2">
        <v>4</v>
      </c>
      <c r="F249" s="2" t="s">
        <v>83</v>
      </c>
      <c r="G249" s="72"/>
      <c r="H249" s="72">
        <v>35</v>
      </c>
      <c r="I249" s="72"/>
      <c r="J249" s="72">
        <v>8.6</v>
      </c>
      <c r="K249" s="21">
        <v>204</v>
      </c>
      <c r="L249" s="21">
        <v>1150</v>
      </c>
      <c r="M249" s="21">
        <v>207</v>
      </c>
      <c r="N249" s="21">
        <v>1360</v>
      </c>
      <c r="O249" s="2"/>
      <c r="P249" s="2" t="s">
        <v>197</v>
      </c>
      <c r="Q249" s="2" t="s">
        <v>183</v>
      </c>
    </row>
    <row r="250" spans="1:17" ht="15" customHeight="1">
      <c r="A250" s="196">
        <v>819</v>
      </c>
      <c r="B250" s="71">
        <v>44305</v>
      </c>
      <c r="C250" s="2" t="s">
        <v>37</v>
      </c>
      <c r="D250" s="2" t="s">
        <v>123</v>
      </c>
      <c r="E250" s="2">
        <v>4</v>
      </c>
      <c r="F250" s="2" t="s">
        <v>87</v>
      </c>
      <c r="G250" s="72"/>
      <c r="H250" s="72">
        <v>42.5</v>
      </c>
      <c r="I250" s="72"/>
      <c r="J250" s="72">
        <v>8.75</v>
      </c>
      <c r="K250" s="21">
        <v>252</v>
      </c>
      <c r="L250" s="21">
        <v>1420</v>
      </c>
      <c r="M250" s="21">
        <v>251</v>
      </c>
      <c r="N250" s="21">
        <v>1740</v>
      </c>
      <c r="O250" s="2">
        <v>2</v>
      </c>
      <c r="P250" s="2" t="s">
        <v>197</v>
      </c>
      <c r="Q250" s="2"/>
    </row>
    <row r="251" spans="1:17" ht="15" customHeight="1">
      <c r="A251" s="196">
        <v>818</v>
      </c>
      <c r="B251" s="71">
        <v>44301</v>
      </c>
      <c r="C251" s="2" t="s">
        <v>37</v>
      </c>
      <c r="D251" s="2" t="s">
        <v>123</v>
      </c>
      <c r="E251" s="2">
        <v>4</v>
      </c>
      <c r="F251" s="2" t="s">
        <v>87</v>
      </c>
      <c r="G251" s="72"/>
      <c r="H251" s="72">
        <v>42.5</v>
      </c>
      <c r="I251" s="72"/>
      <c r="J251" s="72">
        <v>8.6999999999999993</v>
      </c>
      <c r="K251" s="21">
        <v>252</v>
      </c>
      <c r="L251" s="21">
        <v>1390</v>
      </c>
      <c r="M251" s="21">
        <v>250</v>
      </c>
      <c r="N251" s="21">
        <v>1700</v>
      </c>
      <c r="O251" s="2"/>
      <c r="P251" s="2"/>
      <c r="Q251" s="2"/>
    </row>
    <row r="252" spans="1:17" ht="15" customHeight="1">
      <c r="A252" s="196">
        <v>817</v>
      </c>
      <c r="B252" s="71">
        <v>44298</v>
      </c>
      <c r="C252" s="2" t="s">
        <v>105</v>
      </c>
      <c r="D252" s="2" t="s">
        <v>122</v>
      </c>
      <c r="E252" s="2">
        <v>4</v>
      </c>
      <c r="F252" s="2" t="s">
        <v>87</v>
      </c>
      <c r="G252" s="72"/>
      <c r="H252" s="72">
        <v>35</v>
      </c>
      <c r="I252" s="72"/>
      <c r="J252" s="72">
        <v>9.1</v>
      </c>
      <c r="K252" s="21">
        <v>222</v>
      </c>
      <c r="L252" s="21">
        <v>1000</v>
      </c>
      <c r="M252" s="21" t="s">
        <v>153</v>
      </c>
      <c r="N252" s="21" t="s">
        <v>182</v>
      </c>
      <c r="O252" s="2">
        <v>1</v>
      </c>
      <c r="P252" s="2" t="s">
        <v>197</v>
      </c>
      <c r="Q252" s="2"/>
    </row>
    <row r="253" spans="1:17" ht="15" customHeight="1">
      <c r="A253" s="196">
        <v>816</v>
      </c>
      <c r="B253" s="71">
        <v>44296</v>
      </c>
      <c r="C253" s="2" t="s">
        <v>105</v>
      </c>
      <c r="D253" s="2" t="s">
        <v>123</v>
      </c>
      <c r="E253" s="2">
        <v>4</v>
      </c>
      <c r="F253" s="2" t="s">
        <v>87</v>
      </c>
      <c r="G253" s="72"/>
      <c r="H253" s="72">
        <v>42.8</v>
      </c>
      <c r="I253" s="72"/>
      <c r="J253" s="72">
        <v>8.9</v>
      </c>
      <c r="K253" s="21">
        <v>249</v>
      </c>
      <c r="L253" s="21">
        <v>1300</v>
      </c>
      <c r="M253" s="21">
        <v>250</v>
      </c>
      <c r="N253" s="21"/>
      <c r="O253" s="2"/>
      <c r="P253" s="2" t="s">
        <v>1037</v>
      </c>
      <c r="Q253" s="2"/>
    </row>
    <row r="254" spans="1:17" ht="15" customHeight="1">
      <c r="A254" s="196">
        <v>815</v>
      </c>
      <c r="B254" s="71">
        <v>44296</v>
      </c>
      <c r="C254" s="2" t="s">
        <v>38</v>
      </c>
      <c r="D254" s="2" t="s">
        <v>123</v>
      </c>
      <c r="E254" s="2">
        <v>4</v>
      </c>
      <c r="F254" s="2" t="s">
        <v>87</v>
      </c>
      <c r="G254" s="72"/>
      <c r="H254" s="72">
        <v>42.5</v>
      </c>
      <c r="I254" s="72"/>
      <c r="J254" s="72">
        <v>8.8000000000000007</v>
      </c>
      <c r="K254" s="21">
        <v>250</v>
      </c>
      <c r="L254" s="21">
        <v>249</v>
      </c>
      <c r="M254" s="21">
        <v>1350</v>
      </c>
      <c r="N254" s="21">
        <v>1650</v>
      </c>
      <c r="O254" s="2">
        <v>1</v>
      </c>
      <c r="P254" s="2" t="s">
        <v>1037</v>
      </c>
      <c r="Q254" s="2"/>
    </row>
    <row r="255" spans="1:17" ht="15" customHeight="1">
      <c r="A255" s="196">
        <v>814</v>
      </c>
      <c r="B255" s="71">
        <v>44295</v>
      </c>
      <c r="C255" s="2" t="s">
        <v>38</v>
      </c>
      <c r="D255" s="2" t="s">
        <v>122</v>
      </c>
      <c r="E255" s="2">
        <v>4</v>
      </c>
      <c r="F255" s="2" t="s">
        <v>87</v>
      </c>
      <c r="G255" s="72"/>
      <c r="H255" s="72">
        <v>35</v>
      </c>
      <c r="I255" s="72"/>
      <c r="J255" s="72">
        <v>9.3000000000000007</v>
      </c>
      <c r="K255" s="21" t="s">
        <v>146</v>
      </c>
      <c r="L255" s="21">
        <v>980</v>
      </c>
      <c r="M255" s="21">
        <v>225</v>
      </c>
      <c r="N255" s="21">
        <v>1410</v>
      </c>
      <c r="O255" s="2">
        <v>1</v>
      </c>
      <c r="P255" s="2" t="s">
        <v>1037</v>
      </c>
      <c r="Q255" s="2"/>
    </row>
    <row r="256" spans="1:17" ht="15" customHeight="1">
      <c r="A256" s="196">
        <v>813</v>
      </c>
      <c r="B256" s="71">
        <v>44295</v>
      </c>
      <c r="C256" s="2" t="s">
        <v>38</v>
      </c>
      <c r="D256" s="2" t="s">
        <v>123</v>
      </c>
      <c r="E256" s="2">
        <v>4</v>
      </c>
      <c r="F256" s="2" t="s">
        <v>87</v>
      </c>
      <c r="G256" s="72"/>
      <c r="H256" s="72">
        <v>42.5</v>
      </c>
      <c r="I256" s="72"/>
      <c r="J256" s="72">
        <v>8.1999999999999993</v>
      </c>
      <c r="K256" s="21">
        <v>248</v>
      </c>
      <c r="L256" s="21">
        <v>1470</v>
      </c>
      <c r="M256" s="21">
        <v>248</v>
      </c>
      <c r="N256" s="21">
        <v>1770</v>
      </c>
      <c r="O256" s="2">
        <v>1</v>
      </c>
      <c r="P256" s="2" t="s">
        <v>1037</v>
      </c>
      <c r="Q256" s="2"/>
    </row>
    <row r="257" spans="1:17" ht="15" customHeight="1">
      <c r="A257" s="196">
        <v>812</v>
      </c>
      <c r="B257" s="71">
        <v>44294</v>
      </c>
      <c r="C257" s="2" t="s">
        <v>38</v>
      </c>
      <c r="D257" s="2" t="s">
        <v>122</v>
      </c>
      <c r="E257" s="2">
        <v>4</v>
      </c>
      <c r="F257" s="2" t="s">
        <v>87</v>
      </c>
      <c r="G257" s="72"/>
      <c r="H257" s="72">
        <v>35</v>
      </c>
      <c r="I257" s="72"/>
      <c r="J257" s="72">
        <v>9.5</v>
      </c>
      <c r="K257" s="21">
        <v>221</v>
      </c>
      <c r="L257" s="21">
        <v>940</v>
      </c>
      <c r="M257" s="21">
        <v>225</v>
      </c>
      <c r="N257" s="21">
        <v>1380</v>
      </c>
      <c r="O257" s="2">
        <v>1</v>
      </c>
      <c r="P257" s="2" t="s">
        <v>197</v>
      </c>
      <c r="Q257" s="2"/>
    </row>
    <row r="258" spans="1:17" ht="15" customHeight="1">
      <c r="A258" s="196">
        <v>811</v>
      </c>
      <c r="B258" s="71">
        <v>44294</v>
      </c>
      <c r="C258" s="2" t="s">
        <v>38</v>
      </c>
      <c r="D258" s="2" t="s">
        <v>123</v>
      </c>
      <c r="E258" s="2">
        <v>4</v>
      </c>
      <c r="F258" s="2" t="s">
        <v>87</v>
      </c>
      <c r="G258" s="72"/>
      <c r="H258" s="72">
        <v>42.5</v>
      </c>
      <c r="I258" s="72"/>
      <c r="J258" s="72">
        <v>7.95</v>
      </c>
      <c r="K258" s="21" t="s">
        <v>181</v>
      </c>
      <c r="L258" s="21">
        <v>1510</v>
      </c>
      <c r="M258" s="21">
        <v>247</v>
      </c>
      <c r="N258" s="21">
        <v>1880</v>
      </c>
      <c r="O258" s="2">
        <v>1</v>
      </c>
      <c r="P258" s="2" t="s">
        <v>197</v>
      </c>
      <c r="Q258" s="2"/>
    </row>
    <row r="259" spans="1:17" ht="15" customHeight="1">
      <c r="A259" s="196">
        <v>810</v>
      </c>
      <c r="B259" s="71">
        <v>44291</v>
      </c>
      <c r="C259" s="2" t="s">
        <v>105</v>
      </c>
      <c r="D259" s="2" t="s">
        <v>122</v>
      </c>
      <c r="E259" s="2">
        <v>4</v>
      </c>
      <c r="F259" s="2" t="s">
        <v>87</v>
      </c>
      <c r="G259" s="72"/>
      <c r="H259" s="72">
        <v>35</v>
      </c>
      <c r="I259" s="72"/>
      <c r="J259" s="72">
        <v>10.4</v>
      </c>
      <c r="K259" s="21">
        <v>218</v>
      </c>
      <c r="L259" s="21">
        <v>840</v>
      </c>
      <c r="M259" s="21">
        <v>225</v>
      </c>
      <c r="N259" s="21"/>
      <c r="O259" s="2">
        <v>1</v>
      </c>
      <c r="P259" s="2" t="s">
        <v>1037</v>
      </c>
      <c r="Q259" s="2"/>
    </row>
    <row r="260" spans="1:17" ht="15" customHeight="1">
      <c r="A260" s="196">
        <v>809</v>
      </c>
      <c r="B260" s="71">
        <v>44291</v>
      </c>
      <c r="C260" s="2" t="s">
        <v>105</v>
      </c>
      <c r="D260" s="2" t="s">
        <v>122</v>
      </c>
      <c r="E260" s="2">
        <v>4</v>
      </c>
      <c r="F260" s="2" t="s">
        <v>87</v>
      </c>
      <c r="G260" s="72"/>
      <c r="H260" s="72">
        <v>35</v>
      </c>
      <c r="I260" s="72"/>
      <c r="J260" s="72">
        <v>9.6</v>
      </c>
      <c r="K260" s="21">
        <v>220</v>
      </c>
      <c r="L260" s="21">
        <v>900</v>
      </c>
      <c r="M260" s="21">
        <v>225</v>
      </c>
      <c r="N260" s="21">
        <v>1320</v>
      </c>
      <c r="O260" s="2">
        <v>1</v>
      </c>
      <c r="P260" s="2" t="s">
        <v>1037</v>
      </c>
      <c r="Q260" s="2"/>
    </row>
    <row r="261" spans="1:17" ht="15" customHeight="1">
      <c r="A261" s="196">
        <v>808</v>
      </c>
      <c r="B261" s="71">
        <v>44273</v>
      </c>
      <c r="C261" s="2" t="s">
        <v>37</v>
      </c>
      <c r="D261" s="2" t="s">
        <v>121</v>
      </c>
      <c r="E261" s="2">
        <v>2</v>
      </c>
      <c r="F261" s="2" t="s">
        <v>85</v>
      </c>
      <c r="G261" s="72"/>
      <c r="H261" s="72">
        <v>35</v>
      </c>
      <c r="I261" s="72"/>
      <c r="J261" s="72">
        <v>7.15</v>
      </c>
      <c r="K261" s="21">
        <v>238</v>
      </c>
      <c r="L261" s="21">
        <v>1174</v>
      </c>
      <c r="M261" s="21">
        <v>240</v>
      </c>
      <c r="N261" s="21">
        <v>1740</v>
      </c>
      <c r="O261" s="2">
        <v>2</v>
      </c>
      <c r="P261" s="2" t="s">
        <v>1037</v>
      </c>
      <c r="Q261" s="2"/>
    </row>
    <row r="262" spans="1:17" ht="15" customHeight="1">
      <c r="A262" s="196">
        <v>807</v>
      </c>
      <c r="B262" s="71">
        <v>44271</v>
      </c>
      <c r="C262" s="2" t="s">
        <v>37</v>
      </c>
      <c r="D262" s="2" t="s">
        <v>118</v>
      </c>
      <c r="E262" s="2">
        <v>2</v>
      </c>
      <c r="F262" s="2" t="s">
        <v>86</v>
      </c>
      <c r="G262" s="72"/>
      <c r="H262" s="72">
        <v>35</v>
      </c>
      <c r="I262" s="72"/>
      <c r="J262" s="72">
        <v>7.6</v>
      </c>
      <c r="K262" s="21">
        <v>190</v>
      </c>
      <c r="L262" s="21">
        <v>920</v>
      </c>
      <c r="M262" s="21">
        <v>192</v>
      </c>
      <c r="N262" s="21">
        <v>1320</v>
      </c>
      <c r="O262" s="2">
        <v>2</v>
      </c>
      <c r="P262" s="2" t="s">
        <v>197</v>
      </c>
      <c r="Q262" s="2"/>
    </row>
    <row r="263" spans="1:17" ht="15" customHeight="1">
      <c r="A263" s="196">
        <v>806</v>
      </c>
      <c r="B263" s="71">
        <v>44271</v>
      </c>
      <c r="C263" s="2" t="s">
        <v>37</v>
      </c>
      <c r="D263" s="2" t="s">
        <v>119</v>
      </c>
      <c r="E263" s="2">
        <v>0</v>
      </c>
      <c r="F263" s="2" t="s">
        <v>120</v>
      </c>
      <c r="G263" s="72">
        <v>8</v>
      </c>
      <c r="H263" s="72">
        <v>35</v>
      </c>
      <c r="I263" s="72"/>
      <c r="J263" s="72">
        <v>5.45</v>
      </c>
      <c r="K263" s="21">
        <v>291</v>
      </c>
      <c r="L263" s="21">
        <v>1640</v>
      </c>
      <c r="M263" s="21">
        <v>295</v>
      </c>
      <c r="N263" s="21"/>
      <c r="O263" s="2"/>
      <c r="P263" s="2" t="s">
        <v>1037</v>
      </c>
      <c r="Q263" s="2"/>
    </row>
    <row r="264" spans="1:17" ht="15" customHeight="1">
      <c r="A264" s="196">
        <v>805</v>
      </c>
      <c r="B264" s="71">
        <v>44270</v>
      </c>
      <c r="C264" s="2" t="s">
        <v>37</v>
      </c>
      <c r="D264" s="2" t="s">
        <v>110</v>
      </c>
      <c r="E264" s="2">
        <v>4</v>
      </c>
      <c r="F264" s="2" t="s">
        <v>83</v>
      </c>
      <c r="G264" s="72"/>
      <c r="H264" s="72">
        <v>35</v>
      </c>
      <c r="I264" s="72"/>
      <c r="J264" s="72">
        <v>8.75</v>
      </c>
      <c r="K264" s="21">
        <v>204</v>
      </c>
      <c r="L264" s="21">
        <v>1120</v>
      </c>
      <c r="M264" s="21">
        <v>206</v>
      </c>
      <c r="N264" s="21">
        <v>1340</v>
      </c>
      <c r="O264" s="2">
        <v>1</v>
      </c>
      <c r="P264" s="2" t="s">
        <v>197</v>
      </c>
      <c r="Q264" s="2"/>
    </row>
    <row r="265" spans="1:17" ht="15" customHeight="1">
      <c r="A265" s="196">
        <v>804</v>
      </c>
      <c r="B265" s="71">
        <v>44269</v>
      </c>
      <c r="C265" s="2" t="s">
        <v>37</v>
      </c>
      <c r="D265" s="2" t="s">
        <v>117</v>
      </c>
      <c r="E265" s="2">
        <v>2</v>
      </c>
      <c r="F265" s="2" t="s">
        <v>82</v>
      </c>
      <c r="G265" s="72"/>
      <c r="H265" s="72">
        <v>35</v>
      </c>
      <c r="I265" s="72"/>
      <c r="J265" s="72">
        <v>13.45</v>
      </c>
      <c r="K265" s="21">
        <v>186</v>
      </c>
      <c r="L265" s="21">
        <v>640</v>
      </c>
      <c r="M265" s="21" t="s">
        <v>177</v>
      </c>
      <c r="N265" s="21" t="s">
        <v>178</v>
      </c>
      <c r="O265" s="2">
        <v>1</v>
      </c>
      <c r="P265" s="2" t="s">
        <v>1037</v>
      </c>
      <c r="Q265" s="2"/>
    </row>
    <row r="266" spans="1:17" ht="15" customHeight="1">
      <c r="A266" s="196">
        <v>803</v>
      </c>
      <c r="B266" s="71">
        <v>44269</v>
      </c>
      <c r="C266" s="2" t="s">
        <v>37</v>
      </c>
      <c r="D266" s="2" t="s">
        <v>117</v>
      </c>
      <c r="E266" s="2">
        <v>2</v>
      </c>
      <c r="F266" s="2" t="s">
        <v>82</v>
      </c>
      <c r="G266" s="72"/>
      <c r="H266" s="72">
        <v>35</v>
      </c>
      <c r="I266" s="72"/>
      <c r="J266" s="72">
        <v>12.85</v>
      </c>
      <c r="K266" s="21">
        <v>186</v>
      </c>
      <c r="L266" s="21">
        <v>650</v>
      </c>
      <c r="M266" s="21" t="s">
        <v>179</v>
      </c>
      <c r="N266" s="21">
        <v>1000</v>
      </c>
      <c r="O266" s="2">
        <v>1</v>
      </c>
      <c r="P266" s="2" t="s">
        <v>1037</v>
      </c>
      <c r="Q266" s="2"/>
    </row>
    <row r="267" spans="1:17" ht="15" customHeight="1">
      <c r="A267" s="196">
        <v>802</v>
      </c>
      <c r="B267" s="71">
        <v>44269</v>
      </c>
      <c r="C267" s="2" t="s">
        <v>37</v>
      </c>
      <c r="D267" s="2" t="s">
        <v>117</v>
      </c>
      <c r="E267" s="2">
        <v>2</v>
      </c>
      <c r="F267" s="2" t="s">
        <v>82</v>
      </c>
      <c r="G267" s="72"/>
      <c r="H267" s="72">
        <v>35</v>
      </c>
      <c r="I267" s="72"/>
      <c r="J267" s="72">
        <v>12.5</v>
      </c>
      <c r="K267" s="21">
        <v>186</v>
      </c>
      <c r="L267" s="21">
        <v>675</v>
      </c>
      <c r="M267" s="21" t="s">
        <v>179</v>
      </c>
      <c r="N267" s="21">
        <v>1050</v>
      </c>
      <c r="O267" s="2">
        <v>1</v>
      </c>
      <c r="P267" s="2" t="s">
        <v>1037</v>
      </c>
      <c r="Q267" s="2"/>
    </row>
    <row r="268" spans="1:17" ht="15" customHeight="1">
      <c r="A268" s="196">
        <v>801</v>
      </c>
      <c r="B268" s="71">
        <v>44269</v>
      </c>
      <c r="C268" s="2" t="s">
        <v>37</v>
      </c>
      <c r="D268" s="2" t="s">
        <v>117</v>
      </c>
      <c r="E268" s="2">
        <v>2</v>
      </c>
      <c r="F268" s="2" t="s">
        <v>82</v>
      </c>
      <c r="G268" s="72"/>
      <c r="H268" s="72">
        <v>20</v>
      </c>
      <c r="I268" s="72"/>
      <c r="J268" s="72">
        <v>7.15</v>
      </c>
      <c r="K268" s="21">
        <v>184</v>
      </c>
      <c r="L268" s="21">
        <v>680</v>
      </c>
      <c r="M268" s="21">
        <v>190</v>
      </c>
      <c r="N268" s="21" t="s">
        <v>180</v>
      </c>
      <c r="O268" s="2">
        <v>1</v>
      </c>
      <c r="P268" s="2" t="s">
        <v>1037</v>
      </c>
      <c r="Q268" s="2"/>
    </row>
    <row r="269" spans="1:17" ht="15" customHeight="1">
      <c r="A269" s="196">
        <v>800</v>
      </c>
      <c r="B269" s="71">
        <v>44265</v>
      </c>
      <c r="C269" s="2" t="s">
        <v>38</v>
      </c>
      <c r="D269" s="2" t="s">
        <v>117</v>
      </c>
      <c r="E269" s="2">
        <v>2</v>
      </c>
      <c r="F269" s="2" t="s">
        <v>82</v>
      </c>
      <c r="G269" s="72"/>
      <c r="H269" s="72">
        <v>35</v>
      </c>
      <c r="I269" s="72"/>
      <c r="J269" s="72">
        <v>12.12</v>
      </c>
      <c r="K269" s="21">
        <v>185</v>
      </c>
      <c r="L269" s="21">
        <v>710</v>
      </c>
      <c r="M269" s="21">
        <v>190</v>
      </c>
      <c r="N269" s="21">
        <v>1065</v>
      </c>
      <c r="O269" s="2">
        <v>1</v>
      </c>
      <c r="P269" s="2" t="s">
        <v>1037</v>
      </c>
      <c r="Q269" s="2"/>
    </row>
    <row r="270" spans="1:17" ht="15" customHeight="1">
      <c r="A270" s="196">
        <v>799</v>
      </c>
      <c r="B270" s="71">
        <v>44264</v>
      </c>
      <c r="C270" s="2" t="s">
        <v>38</v>
      </c>
      <c r="D270" s="2" t="s">
        <v>116</v>
      </c>
      <c r="E270" s="2">
        <v>5</v>
      </c>
      <c r="F270" s="2" t="s">
        <v>84</v>
      </c>
      <c r="G270" s="72"/>
      <c r="H270" s="72">
        <v>42.5</v>
      </c>
      <c r="I270" s="72"/>
      <c r="J270" s="72">
        <v>7.65</v>
      </c>
      <c r="K270" s="21">
        <v>294</v>
      </c>
      <c r="L270" s="21">
        <v>1564</v>
      </c>
      <c r="M270" s="21">
        <v>295</v>
      </c>
      <c r="N270" s="21">
        <v>2020</v>
      </c>
      <c r="O270" s="2">
        <v>2</v>
      </c>
      <c r="P270" s="2" t="s">
        <v>197</v>
      </c>
      <c r="Q270" s="2"/>
    </row>
    <row r="271" spans="1:17" ht="15" customHeight="1">
      <c r="A271" s="196">
        <v>798</v>
      </c>
      <c r="B271" s="71">
        <v>44263</v>
      </c>
      <c r="C271" s="2" t="s">
        <v>105</v>
      </c>
      <c r="D271" s="2" t="s">
        <v>114</v>
      </c>
      <c r="E271" s="2">
        <v>5</v>
      </c>
      <c r="F271" s="2" t="s">
        <v>84</v>
      </c>
      <c r="G271" s="72"/>
      <c r="H271" s="72">
        <v>42.5</v>
      </c>
      <c r="I271" s="72"/>
      <c r="J271" s="72">
        <v>7.55</v>
      </c>
      <c r="K271" s="21">
        <v>292</v>
      </c>
      <c r="L271" s="21">
        <v>1530</v>
      </c>
      <c r="M271" s="21">
        <v>295</v>
      </c>
      <c r="N271" s="21"/>
      <c r="O271" s="2">
        <v>2</v>
      </c>
      <c r="P271" s="2" t="s">
        <v>197</v>
      </c>
      <c r="Q271" s="2"/>
    </row>
    <row r="272" spans="1:17" ht="15" customHeight="1">
      <c r="A272" s="196">
        <v>797</v>
      </c>
      <c r="B272" s="71">
        <v>44263</v>
      </c>
      <c r="C272" s="2" t="s">
        <v>105</v>
      </c>
      <c r="D272" s="2" t="s">
        <v>115</v>
      </c>
      <c r="E272" s="2">
        <v>5</v>
      </c>
      <c r="F272" s="2" t="s">
        <v>84</v>
      </c>
      <c r="G272" s="72"/>
      <c r="H272" s="72">
        <v>42.5</v>
      </c>
      <c r="I272" s="72"/>
      <c r="J272" s="72">
        <v>8.0500000000000007</v>
      </c>
      <c r="K272" s="21">
        <v>286</v>
      </c>
      <c r="L272" s="21">
        <v>1450</v>
      </c>
      <c r="M272" s="21">
        <v>290</v>
      </c>
      <c r="N272" s="21"/>
      <c r="O272" s="2">
        <v>2</v>
      </c>
      <c r="P272" s="2" t="s">
        <v>197</v>
      </c>
      <c r="Q272" s="2"/>
    </row>
    <row r="273" spans="1:17" ht="15" customHeight="1">
      <c r="A273" s="196">
        <v>796</v>
      </c>
      <c r="B273" s="71">
        <v>44259</v>
      </c>
      <c r="C273" s="2" t="s">
        <v>38</v>
      </c>
      <c r="D273" s="2" t="s">
        <v>116</v>
      </c>
      <c r="E273" s="2">
        <v>5</v>
      </c>
      <c r="F273" s="2" t="s">
        <v>84</v>
      </c>
      <c r="G273" s="72"/>
      <c r="H273" s="72">
        <v>42.5</v>
      </c>
      <c r="I273" s="72"/>
      <c r="J273" s="72">
        <v>7.6</v>
      </c>
      <c r="K273" s="21" t="s">
        <v>166</v>
      </c>
      <c r="L273" s="21" t="s">
        <v>173</v>
      </c>
      <c r="M273" s="21" t="s">
        <v>174</v>
      </c>
      <c r="N273" s="21"/>
      <c r="O273" s="2">
        <v>2</v>
      </c>
      <c r="P273" s="2" t="s">
        <v>1037</v>
      </c>
      <c r="Q273" s="2"/>
    </row>
    <row r="274" spans="1:17" ht="15" customHeight="1">
      <c r="A274" s="196">
        <v>795</v>
      </c>
      <c r="B274" s="71">
        <v>44259</v>
      </c>
      <c r="C274" s="2" t="s">
        <v>38</v>
      </c>
      <c r="D274" s="2" t="s">
        <v>115</v>
      </c>
      <c r="E274" s="2">
        <v>5</v>
      </c>
      <c r="F274" s="2" t="s">
        <v>84</v>
      </c>
      <c r="G274" s="72"/>
      <c r="H274" s="72">
        <v>42.5</v>
      </c>
      <c r="I274" s="72"/>
      <c r="J274" s="72">
        <v>8.1999999999999993</v>
      </c>
      <c r="K274" s="21" t="s">
        <v>170</v>
      </c>
      <c r="L274" s="21" t="s">
        <v>171</v>
      </c>
      <c r="M274" s="21" t="s">
        <v>172</v>
      </c>
      <c r="N274" s="21"/>
      <c r="O274" s="2">
        <v>2</v>
      </c>
      <c r="P274" s="2" t="s">
        <v>1037</v>
      </c>
      <c r="Q274" s="2"/>
    </row>
    <row r="275" spans="1:17" ht="15" customHeight="1">
      <c r="A275" s="196">
        <v>794</v>
      </c>
      <c r="B275" s="71">
        <v>44259</v>
      </c>
      <c r="C275" s="2" t="s">
        <v>38</v>
      </c>
      <c r="D275" s="2" t="s">
        <v>112</v>
      </c>
      <c r="E275" s="2">
        <v>4</v>
      </c>
      <c r="F275" s="2" t="s">
        <v>84</v>
      </c>
      <c r="G275" s="72"/>
      <c r="H275" s="72">
        <v>35</v>
      </c>
      <c r="I275" s="72"/>
      <c r="J275" s="72">
        <v>10.65</v>
      </c>
      <c r="K275" s="21" t="s">
        <v>162</v>
      </c>
      <c r="L275" s="21" t="s">
        <v>168</v>
      </c>
      <c r="M275" s="21" t="s">
        <v>169</v>
      </c>
      <c r="N275" s="21"/>
      <c r="O275" s="2">
        <v>2</v>
      </c>
      <c r="P275" s="2" t="s">
        <v>1037</v>
      </c>
      <c r="Q275" s="2"/>
    </row>
    <row r="276" spans="1:17" ht="15" customHeight="1">
      <c r="A276" s="196">
        <v>793</v>
      </c>
      <c r="B276" s="71">
        <v>44258</v>
      </c>
      <c r="C276" s="2" t="s">
        <v>38</v>
      </c>
      <c r="D276" s="2" t="s">
        <v>114</v>
      </c>
      <c r="E276" s="2">
        <v>5</v>
      </c>
      <c r="F276" s="2" t="s">
        <v>84</v>
      </c>
      <c r="G276" s="72"/>
      <c r="H276" s="72">
        <v>42.5</v>
      </c>
      <c r="I276" s="72"/>
      <c r="J276" s="72">
        <v>7.6</v>
      </c>
      <c r="K276" s="21" t="s">
        <v>166</v>
      </c>
      <c r="L276" s="21">
        <v>1530</v>
      </c>
      <c r="M276" s="21" t="s">
        <v>167</v>
      </c>
      <c r="N276" s="21">
        <v>2000</v>
      </c>
      <c r="O276" s="2">
        <v>2</v>
      </c>
      <c r="P276" s="2" t="s">
        <v>1037</v>
      </c>
      <c r="Q276" s="2"/>
    </row>
    <row r="277" spans="1:17" ht="15" customHeight="1">
      <c r="A277" s="196">
        <v>792</v>
      </c>
      <c r="B277" s="71">
        <v>44258</v>
      </c>
      <c r="C277" s="2" t="s">
        <v>37</v>
      </c>
      <c r="D277" s="2" t="s">
        <v>116</v>
      </c>
      <c r="E277" s="2">
        <v>5</v>
      </c>
      <c r="F277" s="2" t="s">
        <v>84</v>
      </c>
      <c r="G277" s="72"/>
      <c r="H277" s="72">
        <v>42.5</v>
      </c>
      <c r="I277" s="72"/>
      <c r="J277" s="72">
        <v>7.6</v>
      </c>
      <c r="K277" s="21">
        <v>292</v>
      </c>
      <c r="L277" s="21">
        <v>1540</v>
      </c>
      <c r="M277" s="21">
        <v>295</v>
      </c>
      <c r="N277" s="21">
        <v>2008</v>
      </c>
      <c r="O277" s="2">
        <v>2</v>
      </c>
      <c r="P277" s="2" t="s">
        <v>1037</v>
      </c>
      <c r="Q277" s="2"/>
    </row>
    <row r="278" spans="1:17" ht="15" customHeight="1">
      <c r="A278" s="196">
        <v>791</v>
      </c>
      <c r="B278" s="71">
        <v>44258</v>
      </c>
      <c r="C278" s="2" t="s">
        <v>37</v>
      </c>
      <c r="D278" s="2" t="s">
        <v>115</v>
      </c>
      <c r="E278" s="2">
        <v>5</v>
      </c>
      <c r="F278" s="2" t="s">
        <v>84</v>
      </c>
      <c r="G278" s="72"/>
      <c r="H278" s="72">
        <v>42.5</v>
      </c>
      <c r="I278" s="72"/>
      <c r="J278" s="72">
        <v>8.1</v>
      </c>
      <c r="K278" s="21">
        <v>1440</v>
      </c>
      <c r="L278" s="21">
        <v>285</v>
      </c>
      <c r="M278" s="21"/>
      <c r="N278" s="21">
        <v>1930</v>
      </c>
      <c r="O278" s="2">
        <v>2</v>
      </c>
      <c r="P278" s="2" t="s">
        <v>1037</v>
      </c>
      <c r="Q278" s="2"/>
    </row>
    <row r="279" spans="1:17" ht="15" customHeight="1">
      <c r="A279" s="196">
        <v>790</v>
      </c>
      <c r="B279" s="71">
        <v>44258</v>
      </c>
      <c r="C279" s="2" t="s">
        <v>37</v>
      </c>
      <c r="D279" s="2" t="s">
        <v>112</v>
      </c>
      <c r="E279" s="2">
        <v>4</v>
      </c>
      <c r="F279" s="2" t="s">
        <v>84</v>
      </c>
      <c r="G279" s="72"/>
      <c r="H279" s="72">
        <v>35</v>
      </c>
      <c r="I279" s="72"/>
      <c r="J279" s="72">
        <v>10.6</v>
      </c>
      <c r="K279" s="21">
        <v>840</v>
      </c>
      <c r="L279" s="21" t="s">
        <v>162</v>
      </c>
      <c r="M279" s="21" t="s">
        <v>164</v>
      </c>
      <c r="N279" s="21"/>
      <c r="O279" s="2">
        <v>2</v>
      </c>
      <c r="P279" s="2" t="s">
        <v>1037</v>
      </c>
      <c r="Q279" s="2"/>
    </row>
    <row r="280" spans="1:17" ht="15" customHeight="1">
      <c r="A280" s="196">
        <v>789</v>
      </c>
      <c r="B280" s="71">
        <v>44257</v>
      </c>
      <c r="C280" s="2" t="s">
        <v>105</v>
      </c>
      <c r="D280" s="2" t="s">
        <v>114</v>
      </c>
      <c r="E280" s="2">
        <v>5</v>
      </c>
      <c r="F280" s="2" t="s">
        <v>84</v>
      </c>
      <c r="G280" s="72"/>
      <c r="H280" s="72">
        <v>42.5</v>
      </c>
      <c r="I280" s="72"/>
      <c r="J280" s="72">
        <v>7.7</v>
      </c>
      <c r="K280" s="21">
        <v>292</v>
      </c>
      <c r="L280" s="21">
        <v>1500</v>
      </c>
      <c r="M280" s="21">
        <v>295</v>
      </c>
      <c r="N280" s="21">
        <v>2000</v>
      </c>
      <c r="O280" s="2">
        <v>2</v>
      </c>
      <c r="P280" s="2" t="s">
        <v>1037</v>
      </c>
      <c r="Q280" s="2"/>
    </row>
    <row r="281" spans="1:17" ht="15" customHeight="1">
      <c r="A281" s="196">
        <v>788</v>
      </c>
      <c r="B281" s="71">
        <v>44257</v>
      </c>
      <c r="C281" s="2" t="s">
        <v>105</v>
      </c>
      <c r="D281" s="2" t="s">
        <v>116</v>
      </c>
      <c r="E281" s="2">
        <v>5</v>
      </c>
      <c r="F281" s="2" t="s">
        <v>84</v>
      </c>
      <c r="G281" s="72"/>
      <c r="H281" s="72">
        <v>42.5</v>
      </c>
      <c r="I281" s="72"/>
      <c r="J281" s="72">
        <v>7.66</v>
      </c>
      <c r="K281" s="21">
        <v>291</v>
      </c>
      <c r="L281" s="21"/>
      <c r="M281" s="21">
        <v>294</v>
      </c>
      <c r="N281" s="21"/>
      <c r="O281" s="2">
        <v>2</v>
      </c>
      <c r="P281" s="2" t="s">
        <v>1037</v>
      </c>
      <c r="Q281" s="2"/>
    </row>
    <row r="282" spans="1:17" ht="15" customHeight="1">
      <c r="A282" s="196">
        <v>787</v>
      </c>
      <c r="B282" s="71">
        <v>44257</v>
      </c>
      <c r="C282" s="2" t="s">
        <v>105</v>
      </c>
      <c r="D282" s="2" t="s">
        <v>115</v>
      </c>
      <c r="E282" s="2">
        <v>5</v>
      </c>
      <c r="F282" s="2" t="s">
        <v>84</v>
      </c>
      <c r="G282" s="72"/>
      <c r="H282" s="72">
        <v>42.5</v>
      </c>
      <c r="I282" s="72"/>
      <c r="J282" s="72">
        <v>8.4</v>
      </c>
      <c r="K282" s="21">
        <v>285</v>
      </c>
      <c r="L282" s="21">
        <v>1420</v>
      </c>
      <c r="M282" s="21">
        <v>290</v>
      </c>
      <c r="N282" s="21">
        <v>1910</v>
      </c>
      <c r="O282" s="2">
        <v>2</v>
      </c>
      <c r="P282" s="2" t="s">
        <v>1037</v>
      </c>
      <c r="Q282" s="2"/>
    </row>
    <row r="283" spans="1:17" ht="15" customHeight="1">
      <c r="A283" s="196">
        <v>786</v>
      </c>
      <c r="B283" s="71">
        <v>44257</v>
      </c>
      <c r="C283" s="2" t="s">
        <v>38</v>
      </c>
      <c r="D283" s="2" t="s">
        <v>115</v>
      </c>
      <c r="E283" s="2">
        <v>5</v>
      </c>
      <c r="F283" s="2" t="s">
        <v>84</v>
      </c>
      <c r="G283" s="72"/>
      <c r="H283" s="72">
        <v>42.5</v>
      </c>
      <c r="I283" s="72"/>
      <c r="J283" s="72">
        <v>8.3000000000000007</v>
      </c>
      <c r="K283" s="21">
        <v>1395</v>
      </c>
      <c r="L283" s="21">
        <v>285</v>
      </c>
      <c r="M283" s="21">
        <v>289</v>
      </c>
      <c r="N283" s="21">
        <v>1920</v>
      </c>
      <c r="O283" s="2">
        <v>2</v>
      </c>
      <c r="P283" s="2" t="s">
        <v>1037</v>
      </c>
      <c r="Q283" s="2"/>
    </row>
    <row r="284" spans="1:17" ht="15" customHeight="1">
      <c r="A284" s="196">
        <v>785</v>
      </c>
      <c r="B284" s="71">
        <v>44257</v>
      </c>
      <c r="C284" s="2" t="s">
        <v>105</v>
      </c>
      <c r="D284" s="2" t="s">
        <v>112</v>
      </c>
      <c r="E284" s="2">
        <v>4</v>
      </c>
      <c r="F284" s="2" t="s">
        <v>84</v>
      </c>
      <c r="G284" s="72"/>
      <c r="H284" s="72">
        <v>35</v>
      </c>
      <c r="I284" s="72"/>
      <c r="J284" s="72">
        <v>11</v>
      </c>
      <c r="K284" s="21">
        <v>225</v>
      </c>
      <c r="L284" s="21">
        <v>790</v>
      </c>
      <c r="M284" s="21">
        <v>234</v>
      </c>
      <c r="N284" s="21"/>
      <c r="O284" s="2">
        <v>2</v>
      </c>
      <c r="P284" s="2" t="s">
        <v>1037</v>
      </c>
      <c r="Q284" s="2"/>
    </row>
    <row r="285" spans="1:17" ht="15" customHeight="1">
      <c r="A285" s="196">
        <v>784</v>
      </c>
      <c r="B285" s="71">
        <v>44257</v>
      </c>
      <c r="C285" s="2" t="s">
        <v>38</v>
      </c>
      <c r="D285" s="2" t="s">
        <v>112</v>
      </c>
      <c r="E285" s="2">
        <v>4</v>
      </c>
      <c r="F285" s="2" t="s">
        <v>84</v>
      </c>
      <c r="G285" s="72"/>
      <c r="H285" s="72">
        <v>35</v>
      </c>
      <c r="I285" s="72"/>
      <c r="J285" s="72">
        <v>10.7</v>
      </c>
      <c r="K285" s="21" t="s">
        <v>162</v>
      </c>
      <c r="L285" s="21" t="s">
        <v>163</v>
      </c>
      <c r="M285" s="21" t="s">
        <v>164</v>
      </c>
      <c r="N285" s="21" t="s">
        <v>165</v>
      </c>
      <c r="O285" s="2">
        <v>2</v>
      </c>
      <c r="P285" s="2" t="s">
        <v>1037</v>
      </c>
      <c r="Q285" s="2"/>
    </row>
    <row r="286" spans="1:17" ht="15" customHeight="1">
      <c r="A286" s="196">
        <v>783</v>
      </c>
      <c r="B286" s="71">
        <v>44244</v>
      </c>
      <c r="C286" s="2" t="s">
        <v>38</v>
      </c>
      <c r="D286" s="2" t="s">
        <v>114</v>
      </c>
      <c r="E286" s="2">
        <v>5</v>
      </c>
      <c r="F286" s="2" t="s">
        <v>84</v>
      </c>
      <c r="G286" s="72"/>
      <c r="H286" s="72">
        <v>42.5</v>
      </c>
      <c r="I286" s="72"/>
      <c r="J286" s="72">
        <v>7.8</v>
      </c>
      <c r="K286" s="21">
        <v>293</v>
      </c>
      <c r="L286" s="21">
        <v>1530</v>
      </c>
      <c r="M286" s="21">
        <v>295</v>
      </c>
      <c r="N286" s="21">
        <v>2050</v>
      </c>
      <c r="O286" s="2">
        <v>2</v>
      </c>
      <c r="P286" s="2" t="s">
        <v>197</v>
      </c>
      <c r="Q286" s="2" t="s">
        <v>1458</v>
      </c>
    </row>
    <row r="287" spans="1:17" ht="15" customHeight="1">
      <c r="A287" s="196">
        <v>782</v>
      </c>
      <c r="B287" s="71">
        <v>44244</v>
      </c>
      <c r="C287" s="2" t="s">
        <v>38</v>
      </c>
      <c r="D287" s="2" t="s">
        <v>115</v>
      </c>
      <c r="E287" s="2">
        <v>5</v>
      </c>
      <c r="F287" s="2" t="s">
        <v>84</v>
      </c>
      <c r="G287" s="72"/>
      <c r="H287" s="72">
        <v>42.5</v>
      </c>
      <c r="I287" s="72"/>
      <c r="J287" s="72">
        <v>8.1999999999999993</v>
      </c>
      <c r="K287" s="21">
        <v>287</v>
      </c>
      <c r="L287" s="21">
        <v>1470</v>
      </c>
      <c r="M287" s="21">
        <v>292</v>
      </c>
      <c r="N287" s="21">
        <v>2020</v>
      </c>
      <c r="O287" s="2">
        <v>2</v>
      </c>
      <c r="P287" s="2" t="s">
        <v>197</v>
      </c>
      <c r="Q287" s="2" t="s">
        <v>1459</v>
      </c>
    </row>
    <row r="288" spans="1:17" ht="15" customHeight="1">
      <c r="A288" s="196">
        <v>781</v>
      </c>
      <c r="B288" s="71">
        <v>44242</v>
      </c>
      <c r="C288" s="2" t="s">
        <v>105</v>
      </c>
      <c r="D288" s="2" t="s">
        <v>114</v>
      </c>
      <c r="E288" s="2">
        <v>5</v>
      </c>
      <c r="F288" s="2" t="s">
        <v>84</v>
      </c>
      <c r="G288" s="72"/>
      <c r="H288" s="72">
        <v>42.5</v>
      </c>
      <c r="I288" s="72"/>
      <c r="J288" s="72">
        <v>7.7</v>
      </c>
      <c r="K288" s="21">
        <v>292</v>
      </c>
      <c r="L288" s="21">
        <v>1510</v>
      </c>
      <c r="M288" s="21">
        <v>295</v>
      </c>
      <c r="N288" s="21"/>
      <c r="O288" s="2">
        <v>2</v>
      </c>
      <c r="P288" s="2" t="s">
        <v>1037</v>
      </c>
      <c r="Q288" s="2"/>
    </row>
    <row r="289" spans="1:17" ht="15" customHeight="1">
      <c r="A289" s="196">
        <v>780</v>
      </c>
      <c r="B289" s="71">
        <v>44242</v>
      </c>
      <c r="C289" s="2" t="s">
        <v>38</v>
      </c>
      <c r="D289" s="2" t="s">
        <v>115</v>
      </c>
      <c r="E289" s="2">
        <v>5</v>
      </c>
      <c r="F289" s="2" t="s">
        <v>84</v>
      </c>
      <c r="G289" s="72"/>
      <c r="H289" s="72">
        <v>42.5</v>
      </c>
      <c r="I289" s="72"/>
      <c r="J289" s="72">
        <v>8.4</v>
      </c>
      <c r="K289" s="21">
        <v>286</v>
      </c>
      <c r="L289" s="21">
        <v>1400</v>
      </c>
      <c r="M289" s="21">
        <v>290</v>
      </c>
      <c r="N289" s="21"/>
      <c r="O289" s="2">
        <v>2</v>
      </c>
      <c r="P289" s="2" t="s">
        <v>1037</v>
      </c>
      <c r="Q289" s="2"/>
    </row>
    <row r="290" spans="1:17" ht="15" customHeight="1">
      <c r="A290" s="196">
        <v>779</v>
      </c>
      <c r="B290" s="71">
        <v>44240</v>
      </c>
      <c r="C290" s="2" t="s">
        <v>105</v>
      </c>
      <c r="D290" s="2" t="s">
        <v>114</v>
      </c>
      <c r="E290" s="2">
        <v>5</v>
      </c>
      <c r="F290" s="2" t="s">
        <v>84</v>
      </c>
      <c r="G290" s="72"/>
      <c r="H290" s="72">
        <v>42.5</v>
      </c>
      <c r="I290" s="72"/>
      <c r="J290" s="72">
        <v>7.9</v>
      </c>
      <c r="K290" s="21">
        <v>292</v>
      </c>
      <c r="L290" s="21">
        <v>1460</v>
      </c>
      <c r="M290" s="21">
        <v>295</v>
      </c>
      <c r="N290" s="21">
        <v>1980</v>
      </c>
      <c r="O290" s="2">
        <v>2</v>
      </c>
      <c r="P290" s="2" t="s">
        <v>1037</v>
      </c>
      <c r="Q290" s="2"/>
    </row>
    <row r="291" spans="1:17" ht="15" customHeight="1">
      <c r="A291" s="196">
        <v>778</v>
      </c>
      <c r="B291" s="71">
        <v>44240</v>
      </c>
      <c r="C291" s="2" t="s">
        <v>105</v>
      </c>
      <c r="D291" s="2" t="s">
        <v>116</v>
      </c>
      <c r="E291" s="2">
        <v>5</v>
      </c>
      <c r="F291" s="2" t="s">
        <v>84</v>
      </c>
      <c r="G291" s="72"/>
      <c r="H291" s="72">
        <v>42.5</v>
      </c>
      <c r="I291" s="72"/>
      <c r="J291" s="72">
        <v>8</v>
      </c>
      <c r="K291" s="21">
        <v>292</v>
      </c>
      <c r="L291" s="21">
        <v>1478</v>
      </c>
      <c r="M291" s="21">
        <v>295</v>
      </c>
      <c r="N291" s="21">
        <v>1940</v>
      </c>
      <c r="O291" s="2">
        <v>2</v>
      </c>
      <c r="P291" s="2" t="s">
        <v>1037</v>
      </c>
      <c r="Q291" s="2"/>
    </row>
    <row r="292" spans="1:17" ht="15" customHeight="1">
      <c r="A292" s="196">
        <v>777</v>
      </c>
      <c r="B292" s="71">
        <v>44240</v>
      </c>
      <c r="C292" s="2" t="s">
        <v>105</v>
      </c>
      <c r="D292" s="2" t="s">
        <v>115</v>
      </c>
      <c r="E292" s="2">
        <v>5</v>
      </c>
      <c r="F292" s="2" t="s">
        <v>84</v>
      </c>
      <c r="G292" s="72"/>
      <c r="H292" s="72">
        <v>42.5</v>
      </c>
      <c r="I292" s="72"/>
      <c r="J292" s="72">
        <v>8.4</v>
      </c>
      <c r="K292" s="21">
        <v>286</v>
      </c>
      <c r="L292" s="21">
        <v>1372</v>
      </c>
      <c r="M292" s="21">
        <v>290</v>
      </c>
      <c r="N292" s="21">
        <v>1930</v>
      </c>
      <c r="O292" s="2">
        <v>2</v>
      </c>
      <c r="P292" s="2" t="s">
        <v>1037</v>
      </c>
      <c r="Q292" s="2"/>
    </row>
    <row r="293" spans="1:17" ht="15" customHeight="1">
      <c r="A293" s="196">
        <v>776</v>
      </c>
      <c r="B293" s="71">
        <v>44239</v>
      </c>
      <c r="C293" s="2" t="s">
        <v>105</v>
      </c>
      <c r="D293" s="2" t="s">
        <v>112</v>
      </c>
      <c r="E293" s="2">
        <v>4</v>
      </c>
      <c r="F293" s="2" t="s">
        <v>84</v>
      </c>
      <c r="G293" s="72"/>
      <c r="H293" s="72">
        <v>35</v>
      </c>
      <c r="I293" s="72"/>
      <c r="J293" s="72">
        <v>11</v>
      </c>
      <c r="K293" s="21">
        <v>225</v>
      </c>
      <c r="L293" s="21">
        <v>840</v>
      </c>
      <c r="M293" s="21">
        <v>236</v>
      </c>
      <c r="N293" s="21">
        <v>1300</v>
      </c>
      <c r="O293" s="2"/>
      <c r="P293" s="2" t="s">
        <v>1037</v>
      </c>
      <c r="Q293" s="2"/>
    </row>
    <row r="294" spans="1:17" ht="15" customHeight="1">
      <c r="A294" s="196">
        <v>775</v>
      </c>
      <c r="B294" s="71">
        <v>44239</v>
      </c>
      <c r="C294" s="2" t="s">
        <v>105</v>
      </c>
      <c r="D294" s="2" t="s">
        <v>116</v>
      </c>
      <c r="E294" s="2">
        <v>5</v>
      </c>
      <c r="F294" s="2" t="s">
        <v>84</v>
      </c>
      <c r="G294" s="72"/>
      <c r="H294" s="72">
        <v>42.5</v>
      </c>
      <c r="I294" s="72"/>
      <c r="J294" s="72">
        <v>7.85</v>
      </c>
      <c r="K294" s="21">
        <v>291</v>
      </c>
      <c r="L294" s="21">
        <v>1540</v>
      </c>
      <c r="M294" s="21">
        <v>295</v>
      </c>
      <c r="N294" s="21">
        <v>2020</v>
      </c>
      <c r="O294" s="2"/>
      <c r="P294" s="2" t="s">
        <v>1037</v>
      </c>
      <c r="Q294" s="2"/>
    </row>
    <row r="295" spans="1:17" ht="15" customHeight="1">
      <c r="A295" s="196">
        <v>774</v>
      </c>
      <c r="B295" s="71">
        <v>44239</v>
      </c>
      <c r="C295" s="2" t="s">
        <v>38</v>
      </c>
      <c r="D295" s="2" t="s">
        <v>116</v>
      </c>
      <c r="E295" s="2">
        <v>5</v>
      </c>
      <c r="F295" s="2" t="s">
        <v>84</v>
      </c>
      <c r="G295" s="72"/>
      <c r="H295" s="72">
        <v>42.5</v>
      </c>
      <c r="I295" s="72"/>
      <c r="J295" s="72">
        <v>8</v>
      </c>
      <c r="K295" s="21">
        <v>292</v>
      </c>
      <c r="L295" s="21">
        <v>1445</v>
      </c>
      <c r="M295" s="21">
        <v>295</v>
      </c>
      <c r="N295" s="21">
        <v>2000</v>
      </c>
      <c r="O295" s="2">
        <v>2</v>
      </c>
      <c r="P295" s="2" t="s">
        <v>1037</v>
      </c>
      <c r="Q295" s="2"/>
    </row>
    <row r="296" spans="1:17" ht="15" customHeight="1">
      <c r="A296" s="196">
        <v>773</v>
      </c>
      <c r="B296" s="71">
        <v>44239</v>
      </c>
      <c r="C296" s="2" t="s">
        <v>105</v>
      </c>
      <c r="D296" s="2" t="s">
        <v>115</v>
      </c>
      <c r="E296" s="2">
        <v>5</v>
      </c>
      <c r="F296" s="2" t="s">
        <v>84</v>
      </c>
      <c r="G296" s="72"/>
      <c r="H296" s="72">
        <v>42.5</v>
      </c>
      <c r="I296" s="72"/>
      <c r="J296" s="72">
        <v>8</v>
      </c>
      <c r="K296" s="21">
        <v>286</v>
      </c>
      <c r="L296" s="21">
        <v>1500</v>
      </c>
      <c r="M296" s="21">
        <v>290</v>
      </c>
      <c r="N296" s="21">
        <v>2030</v>
      </c>
      <c r="O296" s="2"/>
      <c r="P296" s="2" t="s">
        <v>1037</v>
      </c>
      <c r="Q296" s="2"/>
    </row>
    <row r="297" spans="1:17" ht="15" customHeight="1">
      <c r="A297" s="196">
        <v>772</v>
      </c>
      <c r="B297" s="71">
        <v>44239</v>
      </c>
      <c r="C297" s="2" t="s">
        <v>38</v>
      </c>
      <c r="D297" s="2" t="s">
        <v>115</v>
      </c>
      <c r="E297" s="2">
        <v>5</v>
      </c>
      <c r="F297" s="2" t="s">
        <v>84</v>
      </c>
      <c r="G297" s="72"/>
      <c r="H297" s="72">
        <v>42.5</v>
      </c>
      <c r="I297" s="72"/>
      <c r="J297" s="72">
        <v>8.4</v>
      </c>
      <c r="K297" s="21">
        <v>287</v>
      </c>
      <c r="L297" s="21">
        <v>1410</v>
      </c>
      <c r="M297" s="21">
        <v>291</v>
      </c>
      <c r="N297" s="21">
        <v>1985</v>
      </c>
      <c r="O297" s="2">
        <v>2</v>
      </c>
      <c r="P297" s="2" t="s">
        <v>1037</v>
      </c>
      <c r="Q297" s="2"/>
    </row>
    <row r="298" spans="1:17" ht="15" customHeight="1">
      <c r="A298" s="196">
        <v>771</v>
      </c>
      <c r="B298" s="71">
        <v>44238</v>
      </c>
      <c r="C298" s="2" t="s">
        <v>38</v>
      </c>
      <c r="D298" s="2" t="s">
        <v>114</v>
      </c>
      <c r="E298" s="2">
        <v>5</v>
      </c>
      <c r="F298" s="2" t="s">
        <v>84</v>
      </c>
      <c r="G298" s="72"/>
      <c r="H298" s="72">
        <v>42.5</v>
      </c>
      <c r="I298" s="72"/>
      <c r="J298" s="72">
        <v>7.5</v>
      </c>
      <c r="K298" s="21" t="s">
        <v>159</v>
      </c>
      <c r="L298" s="21" t="s">
        <v>160</v>
      </c>
      <c r="M298" s="21">
        <v>295</v>
      </c>
      <c r="N298" s="21" t="s">
        <v>161</v>
      </c>
      <c r="O298" s="2">
        <v>2</v>
      </c>
      <c r="P298" s="2" t="s">
        <v>1037</v>
      </c>
      <c r="Q298" s="2"/>
    </row>
    <row r="299" spans="1:17" ht="15" customHeight="1">
      <c r="A299" s="196">
        <v>770</v>
      </c>
      <c r="B299" s="71">
        <v>44238</v>
      </c>
      <c r="C299" s="2" t="s">
        <v>38</v>
      </c>
      <c r="D299" s="2" t="s">
        <v>112</v>
      </c>
      <c r="E299" s="2">
        <v>4</v>
      </c>
      <c r="F299" s="2" t="s">
        <v>84</v>
      </c>
      <c r="G299" s="72"/>
      <c r="H299" s="72">
        <v>35</v>
      </c>
      <c r="I299" s="72"/>
      <c r="J299" s="72">
        <v>11.1</v>
      </c>
      <c r="K299" s="21" t="s">
        <v>158</v>
      </c>
      <c r="L299" s="21">
        <v>850</v>
      </c>
      <c r="M299" s="21" t="s">
        <v>155</v>
      </c>
      <c r="N299" s="21">
        <v>1300</v>
      </c>
      <c r="O299" s="2">
        <v>2</v>
      </c>
      <c r="P299" s="2" t="s">
        <v>1037</v>
      </c>
      <c r="Q299" s="2"/>
    </row>
    <row r="300" spans="1:17" ht="15" customHeight="1">
      <c r="A300" s="196">
        <v>769</v>
      </c>
      <c r="B300" s="71">
        <v>44238</v>
      </c>
      <c r="C300" s="2" t="s">
        <v>38</v>
      </c>
      <c r="D300" s="2" t="s">
        <v>113</v>
      </c>
      <c r="E300" s="2">
        <v>5</v>
      </c>
      <c r="F300" s="2" t="s">
        <v>85</v>
      </c>
      <c r="G300" s="72"/>
      <c r="H300" s="72">
        <v>35</v>
      </c>
      <c r="I300" s="72"/>
      <c r="J300" s="72">
        <v>6.2</v>
      </c>
      <c r="K300" s="21">
        <v>287</v>
      </c>
      <c r="L300" s="21">
        <v>1530</v>
      </c>
      <c r="M300" s="21">
        <v>285</v>
      </c>
      <c r="N300" s="21">
        <v>1950</v>
      </c>
      <c r="O300" s="2">
        <v>2</v>
      </c>
      <c r="P300" s="2" t="s">
        <v>1037</v>
      </c>
      <c r="Q300" s="2"/>
    </row>
    <row r="301" spans="1:17" ht="15" customHeight="1">
      <c r="A301" s="196">
        <v>768</v>
      </c>
      <c r="B301" s="71">
        <v>44236</v>
      </c>
      <c r="C301" s="2" t="s">
        <v>38</v>
      </c>
      <c r="D301" s="2" t="s">
        <v>112</v>
      </c>
      <c r="E301" s="2">
        <v>4</v>
      </c>
      <c r="F301" s="2" t="s">
        <v>84</v>
      </c>
      <c r="G301" s="72"/>
      <c r="H301" s="72">
        <v>35</v>
      </c>
      <c r="I301" s="72"/>
      <c r="J301" s="72">
        <v>10.95</v>
      </c>
      <c r="K301" s="21" t="s">
        <v>153</v>
      </c>
      <c r="L301" s="21" t="s">
        <v>154</v>
      </c>
      <c r="M301" s="21" t="s">
        <v>155</v>
      </c>
      <c r="N301" s="21" t="s">
        <v>156</v>
      </c>
      <c r="O301" s="2">
        <v>2</v>
      </c>
      <c r="P301" s="2" t="s">
        <v>197</v>
      </c>
      <c r="Q301" s="2" t="s">
        <v>1457</v>
      </c>
    </row>
    <row r="302" spans="1:17" ht="15" customHeight="1">
      <c r="A302" s="196">
        <v>767</v>
      </c>
      <c r="B302" s="71">
        <v>44226</v>
      </c>
      <c r="C302" s="2" t="s">
        <v>38</v>
      </c>
      <c r="D302" s="2" t="s">
        <v>111</v>
      </c>
      <c r="E302" s="2">
        <v>2</v>
      </c>
      <c r="F302" s="2" t="s">
        <v>82</v>
      </c>
      <c r="G302" s="72"/>
      <c r="H302" s="72">
        <v>35</v>
      </c>
      <c r="I302" s="72"/>
      <c r="J302" s="72">
        <v>12.05</v>
      </c>
      <c r="K302" s="21" t="s">
        <v>150</v>
      </c>
      <c r="L302" s="21" t="s">
        <v>151</v>
      </c>
      <c r="M302" s="21">
        <v>190</v>
      </c>
      <c r="N302" s="21" t="s">
        <v>152</v>
      </c>
      <c r="O302" s="2">
        <v>2</v>
      </c>
      <c r="P302" s="2" t="s">
        <v>1037</v>
      </c>
      <c r="Q302" s="2"/>
    </row>
    <row r="303" spans="1:17" ht="15" customHeight="1">
      <c r="A303" s="196">
        <v>766</v>
      </c>
      <c r="B303" s="71">
        <v>44215</v>
      </c>
      <c r="C303" s="2" t="s">
        <v>105</v>
      </c>
      <c r="D303" s="2" t="s">
        <v>110</v>
      </c>
      <c r="E303" s="2">
        <v>4</v>
      </c>
      <c r="F303" s="2" t="s">
        <v>83</v>
      </c>
      <c r="G303" s="72"/>
      <c r="H303" s="72">
        <v>35</v>
      </c>
      <c r="I303" s="72"/>
      <c r="J303" s="72">
        <v>9.4499999999999993</v>
      </c>
      <c r="K303" s="21">
        <v>204</v>
      </c>
      <c r="L303" s="21">
        <v>1100</v>
      </c>
      <c r="M303" s="21">
        <v>205</v>
      </c>
      <c r="N303" s="21">
        <v>1370</v>
      </c>
      <c r="O303" s="2">
        <v>2</v>
      </c>
      <c r="P303" s="2" t="s">
        <v>1037</v>
      </c>
      <c r="Q303" s="2"/>
    </row>
    <row r="304" spans="1:17" ht="15" customHeight="1">
      <c r="A304" s="196">
        <v>765</v>
      </c>
      <c r="B304" s="71">
        <v>44215</v>
      </c>
      <c r="C304" s="2" t="s">
        <v>38</v>
      </c>
      <c r="D304" s="2" t="s">
        <v>110</v>
      </c>
      <c r="E304" s="2">
        <v>4</v>
      </c>
      <c r="F304" s="2" t="s">
        <v>83</v>
      </c>
      <c r="G304" s="72"/>
      <c r="H304" s="72">
        <v>35</v>
      </c>
      <c r="I304" s="72"/>
      <c r="J304" s="72">
        <v>9.4499999999999993</v>
      </c>
      <c r="K304" s="21">
        <v>204</v>
      </c>
      <c r="L304" s="21">
        <v>1100</v>
      </c>
      <c r="M304" s="21">
        <v>206</v>
      </c>
      <c r="N304" s="21">
        <v>1370</v>
      </c>
      <c r="O304" s="2">
        <v>2</v>
      </c>
      <c r="P304" s="2" t="s">
        <v>197</v>
      </c>
      <c r="Q304" s="2"/>
    </row>
    <row r="305" spans="1:17" ht="15" customHeight="1">
      <c r="A305" s="196">
        <v>764</v>
      </c>
      <c r="B305" s="71">
        <v>44214</v>
      </c>
      <c r="C305" s="2" t="s">
        <v>105</v>
      </c>
      <c r="D305" s="2" t="s">
        <v>106</v>
      </c>
      <c r="E305" s="2">
        <v>4</v>
      </c>
      <c r="F305" s="2" t="s">
        <v>87</v>
      </c>
      <c r="G305" s="72"/>
      <c r="H305" s="72">
        <v>42.5</v>
      </c>
      <c r="I305" s="72"/>
      <c r="J305" s="72">
        <v>9.4</v>
      </c>
      <c r="K305" s="21">
        <v>242</v>
      </c>
      <c r="L305" s="21">
        <v>1300</v>
      </c>
      <c r="M305" s="21">
        <v>240</v>
      </c>
      <c r="N305" s="21">
        <v>1600</v>
      </c>
      <c r="O305" s="2">
        <v>1</v>
      </c>
      <c r="P305" s="2" t="s">
        <v>197</v>
      </c>
      <c r="Q305" s="2"/>
    </row>
    <row r="306" spans="1:17" ht="15" customHeight="1">
      <c r="A306" s="196">
        <v>763</v>
      </c>
      <c r="B306" s="71">
        <v>44214</v>
      </c>
      <c r="C306" s="2" t="s">
        <v>105</v>
      </c>
      <c r="D306" s="2" t="s">
        <v>109</v>
      </c>
      <c r="E306" s="2">
        <v>4</v>
      </c>
      <c r="F306" s="2" t="s">
        <v>82</v>
      </c>
      <c r="G306" s="72"/>
      <c r="H306" s="72">
        <v>35</v>
      </c>
      <c r="I306" s="72"/>
      <c r="J306" s="72">
        <v>10.95</v>
      </c>
      <c r="K306" s="21">
        <v>197</v>
      </c>
      <c r="L306" s="21">
        <v>890</v>
      </c>
      <c r="M306" s="21">
        <v>195</v>
      </c>
      <c r="N306" s="21">
        <v>1160</v>
      </c>
      <c r="O306" s="2">
        <v>1</v>
      </c>
      <c r="P306" s="2" t="s">
        <v>1037</v>
      </c>
      <c r="Q306" s="2" t="s">
        <v>148</v>
      </c>
    </row>
    <row r="307" spans="1:17" ht="15" customHeight="1">
      <c r="A307" s="196">
        <v>762</v>
      </c>
      <c r="B307" s="71">
        <v>44212</v>
      </c>
      <c r="C307" s="2" t="s">
        <v>105</v>
      </c>
      <c r="D307" s="2" t="s">
        <v>108</v>
      </c>
      <c r="E307" s="2">
        <v>2</v>
      </c>
      <c r="F307" s="2" t="s">
        <v>88</v>
      </c>
      <c r="G307" s="72"/>
      <c r="H307" s="72">
        <v>35</v>
      </c>
      <c r="I307" s="72"/>
      <c r="J307" s="72">
        <v>9.1999999999999993</v>
      </c>
      <c r="K307" s="21" t="s">
        <v>144</v>
      </c>
      <c r="L307" s="21" t="s">
        <v>145</v>
      </c>
      <c r="M307" s="21" t="s">
        <v>146</v>
      </c>
      <c r="N307" s="21" t="s">
        <v>147</v>
      </c>
      <c r="O307" s="2">
        <v>2</v>
      </c>
      <c r="P307" s="2" t="s">
        <v>197</v>
      </c>
      <c r="Q307" s="2"/>
    </row>
    <row r="308" spans="1:17" ht="15" customHeight="1">
      <c r="A308" s="196">
        <v>761</v>
      </c>
      <c r="B308" s="71">
        <v>44212</v>
      </c>
      <c r="C308" s="2" t="s">
        <v>105</v>
      </c>
      <c r="D308" s="2" t="s">
        <v>107</v>
      </c>
      <c r="E308" s="2">
        <v>2</v>
      </c>
      <c r="F308" s="2" t="s">
        <v>88</v>
      </c>
      <c r="G308" s="72"/>
      <c r="H308" s="72">
        <v>35</v>
      </c>
      <c r="I308" s="72"/>
      <c r="J308" s="72">
        <v>8</v>
      </c>
      <c r="K308" s="21" t="s">
        <v>141</v>
      </c>
      <c r="L308" s="21" t="s">
        <v>142</v>
      </c>
      <c r="M308" s="21" t="s">
        <v>143</v>
      </c>
      <c r="N308" s="21">
        <v>1605</v>
      </c>
      <c r="O308" s="2">
        <v>2</v>
      </c>
      <c r="P308" s="2" t="s">
        <v>197</v>
      </c>
      <c r="Q308" s="2"/>
    </row>
    <row r="309" spans="1:17" ht="15" customHeight="1">
      <c r="A309" s="196">
        <v>760</v>
      </c>
      <c r="B309" s="71">
        <v>44209</v>
      </c>
      <c r="C309" s="2" t="s">
        <v>105</v>
      </c>
      <c r="D309" s="2" t="s">
        <v>108</v>
      </c>
      <c r="E309" s="2">
        <v>2</v>
      </c>
      <c r="F309" s="2" t="s">
        <v>88</v>
      </c>
      <c r="G309" s="72"/>
      <c r="H309" s="72">
        <v>35</v>
      </c>
      <c r="I309" s="72"/>
      <c r="J309" s="72">
        <v>9.4</v>
      </c>
      <c r="K309" s="21">
        <v>218</v>
      </c>
      <c r="L309" s="21">
        <v>1055</v>
      </c>
      <c r="M309" s="21">
        <v>220</v>
      </c>
      <c r="N309" s="21">
        <v>1380</v>
      </c>
      <c r="O309" s="2">
        <v>2</v>
      </c>
      <c r="P309" s="2" t="s">
        <v>1037</v>
      </c>
      <c r="Q309" s="2"/>
    </row>
    <row r="310" spans="1:17" ht="15" customHeight="1">
      <c r="A310" s="196">
        <v>759</v>
      </c>
      <c r="B310" s="71">
        <v>44209</v>
      </c>
      <c r="C310" s="2" t="s">
        <v>105</v>
      </c>
      <c r="D310" s="2" t="s">
        <v>107</v>
      </c>
      <c r="E310" s="2">
        <v>2</v>
      </c>
      <c r="F310" s="2" t="s">
        <v>88</v>
      </c>
      <c r="G310" s="72"/>
      <c r="H310" s="72">
        <v>35</v>
      </c>
      <c r="I310" s="72"/>
      <c r="J310" s="72">
        <v>7.9</v>
      </c>
      <c r="K310" s="21">
        <v>239</v>
      </c>
      <c r="L310" s="21">
        <v>1320</v>
      </c>
      <c r="M310" s="21">
        <v>240</v>
      </c>
      <c r="N310" s="21">
        <v>1600</v>
      </c>
      <c r="O310" s="2">
        <v>2</v>
      </c>
      <c r="P310" s="2" t="s">
        <v>1037</v>
      </c>
      <c r="Q310" s="2"/>
    </row>
    <row r="311" spans="1:17" ht="15" customHeight="1">
      <c r="A311" s="196">
        <v>758</v>
      </c>
      <c r="B311" s="71">
        <v>44209</v>
      </c>
      <c r="C311" s="2" t="s">
        <v>105</v>
      </c>
      <c r="D311" s="2" t="s">
        <v>106</v>
      </c>
      <c r="E311" s="2">
        <v>4</v>
      </c>
      <c r="F311" s="2" t="s">
        <v>87</v>
      </c>
      <c r="G311" s="72"/>
      <c r="H311" s="72">
        <v>42.5</v>
      </c>
      <c r="I311" s="72"/>
      <c r="J311" s="72">
        <v>9.85</v>
      </c>
      <c r="K311" s="21">
        <v>242</v>
      </c>
      <c r="L311" s="21">
        <v>1300</v>
      </c>
      <c r="M311" s="21">
        <v>240</v>
      </c>
      <c r="N311" s="21">
        <v>1585</v>
      </c>
      <c r="O311" s="2">
        <v>2</v>
      </c>
      <c r="P311" s="2" t="s">
        <v>1037</v>
      </c>
      <c r="Q311" s="2"/>
    </row>
    <row r="312" spans="1:17" ht="15" customHeight="1">
      <c r="A312" s="196">
        <v>757</v>
      </c>
      <c r="B312" s="71">
        <v>44208</v>
      </c>
      <c r="C312" s="2" t="s">
        <v>105</v>
      </c>
      <c r="D312" s="2" t="s">
        <v>106</v>
      </c>
      <c r="E312" s="2">
        <v>4</v>
      </c>
      <c r="F312" s="2" t="s">
        <v>87</v>
      </c>
      <c r="G312" s="72"/>
      <c r="H312" s="72">
        <v>42.5</v>
      </c>
      <c r="I312" s="72"/>
      <c r="J312" s="72">
        <v>9.65</v>
      </c>
      <c r="K312" s="21">
        <v>239</v>
      </c>
      <c r="L312" s="21">
        <v>1265</v>
      </c>
      <c r="M312" s="21">
        <v>240</v>
      </c>
      <c r="N312" s="21">
        <v>1570</v>
      </c>
      <c r="O312" s="2">
        <v>1</v>
      </c>
      <c r="P312" s="2" t="s">
        <v>1037</v>
      </c>
      <c r="Q312" s="2"/>
    </row>
    <row r="313" spans="1:17" ht="15" customHeight="1">
      <c r="A313" s="196">
        <v>756</v>
      </c>
      <c r="B313" s="71">
        <v>44188</v>
      </c>
      <c r="C313" s="2" t="s">
        <v>105</v>
      </c>
      <c r="D313" s="2" t="s">
        <v>1436</v>
      </c>
      <c r="E313" s="2"/>
      <c r="F313" s="2"/>
      <c r="G313" s="72"/>
      <c r="H313" s="72">
        <v>42.5</v>
      </c>
      <c r="I313" s="72"/>
      <c r="J313" s="72">
        <v>9.9499999999999993</v>
      </c>
      <c r="K313" s="21" t="s">
        <v>1437</v>
      </c>
      <c r="L313" s="21">
        <v>1210</v>
      </c>
      <c r="M313" s="21">
        <v>226</v>
      </c>
      <c r="N313" s="21">
        <v>1595</v>
      </c>
      <c r="O313" s="2"/>
      <c r="P313" s="2"/>
      <c r="Q313" s="197"/>
    </row>
    <row r="314" spans="1:17" ht="15" customHeight="1">
      <c r="A314" s="196">
        <v>755</v>
      </c>
      <c r="B314" s="71">
        <v>44175</v>
      </c>
      <c r="C314" s="2" t="s">
        <v>105</v>
      </c>
      <c r="D314" s="2" t="s">
        <v>1418</v>
      </c>
      <c r="E314" s="2"/>
      <c r="F314" s="2">
        <v>7199</v>
      </c>
      <c r="G314" s="72"/>
      <c r="H314" s="72" t="s">
        <v>1432</v>
      </c>
      <c r="I314" s="72"/>
      <c r="J314" s="72">
        <v>13.8</v>
      </c>
      <c r="K314" s="21">
        <v>204</v>
      </c>
      <c r="L314" s="21">
        <v>920</v>
      </c>
      <c r="M314" s="21">
        <v>212</v>
      </c>
      <c r="N314" s="21">
        <v>1400</v>
      </c>
      <c r="O314" s="2"/>
      <c r="P314" s="2"/>
      <c r="Q314" s="197"/>
    </row>
    <row r="315" spans="1:17" ht="15" customHeight="1">
      <c r="A315" s="196">
        <v>754</v>
      </c>
      <c r="B315" s="71">
        <v>44175</v>
      </c>
      <c r="C315" s="2" t="s">
        <v>105</v>
      </c>
      <c r="D315" s="2" t="s">
        <v>1426</v>
      </c>
      <c r="E315" s="2"/>
      <c r="F315" s="2">
        <v>7199</v>
      </c>
      <c r="G315" s="72"/>
      <c r="H315" s="72" t="s">
        <v>1432</v>
      </c>
      <c r="I315" s="72"/>
      <c r="J315" s="72">
        <v>15.2</v>
      </c>
      <c r="K315" s="21">
        <v>204</v>
      </c>
      <c r="L315" s="21">
        <v>810</v>
      </c>
      <c r="M315" s="21">
        <v>210</v>
      </c>
      <c r="N315" s="21">
        <v>1260</v>
      </c>
      <c r="O315" s="2"/>
      <c r="P315" s="2"/>
      <c r="Q315" s="197"/>
    </row>
    <row r="316" spans="1:17" ht="15" customHeight="1">
      <c r="A316" s="196">
        <v>753</v>
      </c>
      <c r="B316" s="71">
        <v>44175</v>
      </c>
      <c r="C316" s="2" t="s">
        <v>105</v>
      </c>
      <c r="D316" s="2" t="s">
        <v>1431</v>
      </c>
      <c r="E316" s="2"/>
      <c r="F316" s="2">
        <v>7199</v>
      </c>
      <c r="G316" s="72"/>
      <c r="H316" s="72" t="s">
        <v>1433</v>
      </c>
      <c r="I316" s="72"/>
      <c r="J316" s="72">
        <v>10.4</v>
      </c>
      <c r="K316" s="21">
        <v>279</v>
      </c>
      <c r="L316" s="21">
        <v>1300</v>
      </c>
      <c r="M316" s="21">
        <v>285</v>
      </c>
      <c r="N316" s="21">
        <v>1900</v>
      </c>
      <c r="O316" s="2"/>
      <c r="P316" s="2"/>
      <c r="Q316" s="197"/>
    </row>
    <row r="317" spans="1:17" ht="15" customHeight="1">
      <c r="A317" s="196">
        <v>752</v>
      </c>
      <c r="B317" s="71">
        <v>44174</v>
      </c>
      <c r="C317" s="2" t="s">
        <v>105</v>
      </c>
      <c r="D317" s="2" t="s">
        <v>357</v>
      </c>
      <c r="E317" s="2"/>
      <c r="F317" s="2">
        <v>7717</v>
      </c>
      <c r="G317" s="72"/>
      <c r="H317" s="72">
        <v>35</v>
      </c>
      <c r="I317" s="72"/>
      <c r="J317" s="72">
        <v>9.1</v>
      </c>
      <c r="K317" s="21" t="s">
        <v>1326</v>
      </c>
      <c r="L317" s="21">
        <v>1110</v>
      </c>
      <c r="M317" s="21">
        <v>2056</v>
      </c>
      <c r="N317" s="21">
        <v>1360</v>
      </c>
      <c r="O317" s="2"/>
      <c r="P317" s="2"/>
      <c r="Q317" s="197"/>
    </row>
    <row r="318" spans="1:17" ht="15" customHeight="1">
      <c r="A318" s="196">
        <v>751</v>
      </c>
      <c r="B318" s="71">
        <v>44174</v>
      </c>
      <c r="C318" s="2" t="s">
        <v>105</v>
      </c>
      <c r="D318" s="2" t="s">
        <v>359</v>
      </c>
      <c r="E318" s="2"/>
      <c r="F318" s="2">
        <v>7716</v>
      </c>
      <c r="G318" s="72"/>
      <c r="H318" s="72">
        <v>30</v>
      </c>
      <c r="I318" s="72"/>
      <c r="J318" s="72">
        <v>10.4</v>
      </c>
      <c r="K318" s="21" t="s">
        <v>1434</v>
      </c>
      <c r="L318" s="21">
        <v>730</v>
      </c>
      <c r="M318" s="21" t="s">
        <v>1435</v>
      </c>
      <c r="N318" s="21">
        <v>1025</v>
      </c>
      <c r="O318" s="2"/>
      <c r="P318" s="2"/>
      <c r="Q318" s="197"/>
    </row>
    <row r="319" spans="1:17" ht="15" customHeight="1">
      <c r="A319" s="196">
        <v>750</v>
      </c>
      <c r="B319" s="71">
        <v>44173</v>
      </c>
      <c r="C319" s="2" t="s">
        <v>105</v>
      </c>
      <c r="D319" s="2" t="s">
        <v>357</v>
      </c>
      <c r="E319" s="2"/>
      <c r="F319" s="2">
        <v>7717</v>
      </c>
      <c r="G319" s="72"/>
      <c r="H319" s="72">
        <v>35</v>
      </c>
      <c r="I319" s="72"/>
      <c r="J319" s="72">
        <v>9.1999999999999993</v>
      </c>
      <c r="K319" s="21">
        <v>204</v>
      </c>
      <c r="L319" s="21">
        <v>10700</v>
      </c>
      <c r="M319" s="21">
        <v>205</v>
      </c>
      <c r="N319" s="21">
        <v>1330</v>
      </c>
      <c r="O319" s="2"/>
      <c r="P319" s="2"/>
      <c r="Q319" s="197"/>
    </row>
    <row r="320" spans="1:17" ht="15" customHeight="1">
      <c r="A320" s="196">
        <v>749</v>
      </c>
      <c r="B320" s="71">
        <v>44173</v>
      </c>
      <c r="C320" s="2" t="s">
        <v>105</v>
      </c>
      <c r="D320" s="2" t="s">
        <v>1418</v>
      </c>
      <c r="E320" s="2"/>
      <c r="F320" s="2">
        <v>7199</v>
      </c>
      <c r="G320" s="72"/>
      <c r="H320" s="72" t="s">
        <v>1432</v>
      </c>
      <c r="I320" s="72"/>
      <c r="J320" s="72">
        <v>14</v>
      </c>
      <c r="K320" s="21">
        <v>204</v>
      </c>
      <c r="L320" s="21">
        <v>900</v>
      </c>
      <c r="M320" s="21">
        <v>210</v>
      </c>
      <c r="N320" s="21">
        <v>1380</v>
      </c>
      <c r="O320" s="2"/>
      <c r="P320" s="2"/>
      <c r="Q320" s="197"/>
    </row>
    <row r="321" spans="1:17" ht="15" customHeight="1">
      <c r="A321" s="196">
        <v>748</v>
      </c>
      <c r="B321" s="71">
        <v>44172</v>
      </c>
      <c r="C321" s="2" t="s">
        <v>105</v>
      </c>
      <c r="D321" s="2" t="s">
        <v>410</v>
      </c>
      <c r="E321" s="2"/>
      <c r="F321" s="2">
        <v>751</v>
      </c>
      <c r="G321" s="72"/>
      <c r="H321" s="72">
        <v>35</v>
      </c>
      <c r="I321" s="72"/>
      <c r="J321" s="72">
        <v>8.9499999999999993</v>
      </c>
      <c r="K321" s="21">
        <v>237</v>
      </c>
      <c r="L321" s="21">
        <v>1125</v>
      </c>
      <c r="M321" s="21" t="s">
        <v>1355</v>
      </c>
      <c r="N321" s="21">
        <v>1440</v>
      </c>
      <c r="O321" s="2"/>
      <c r="P321" s="2"/>
      <c r="Q321" s="197"/>
    </row>
    <row r="322" spans="1:17" ht="15" customHeight="1">
      <c r="A322" s="196">
        <v>747</v>
      </c>
      <c r="B322" s="71">
        <v>44172</v>
      </c>
      <c r="C322" s="2" t="s">
        <v>105</v>
      </c>
      <c r="D322" s="2" t="s">
        <v>359</v>
      </c>
      <c r="E322" s="2"/>
      <c r="F322" s="2">
        <v>7716</v>
      </c>
      <c r="G322" s="72"/>
      <c r="H322" s="72">
        <v>30</v>
      </c>
      <c r="I322" s="72"/>
      <c r="J322" s="72">
        <v>10.8</v>
      </c>
      <c r="K322" s="21">
        <v>720</v>
      </c>
      <c r="L322" s="21" t="s">
        <v>1429</v>
      </c>
      <c r="M322" s="21">
        <v>190</v>
      </c>
      <c r="N322" s="21">
        <v>1005</v>
      </c>
      <c r="O322" s="2"/>
      <c r="P322" s="2"/>
      <c r="Q322" s="197"/>
    </row>
    <row r="323" spans="1:17" ht="15" customHeight="1">
      <c r="A323" s="196">
        <v>746</v>
      </c>
      <c r="B323" s="71">
        <v>44172</v>
      </c>
      <c r="C323" s="2" t="s">
        <v>105</v>
      </c>
      <c r="D323" s="2" t="s">
        <v>1274</v>
      </c>
      <c r="E323" s="2"/>
      <c r="F323" s="2">
        <v>7717</v>
      </c>
      <c r="G323" s="72"/>
      <c r="H323" s="72">
        <v>35</v>
      </c>
      <c r="I323" s="72"/>
      <c r="J323" s="72">
        <v>9.3000000000000007</v>
      </c>
      <c r="K323" s="21">
        <v>1075</v>
      </c>
      <c r="L323" s="21">
        <v>204</v>
      </c>
      <c r="M323" s="21"/>
      <c r="N323" s="21"/>
      <c r="O323" s="2"/>
      <c r="P323" s="2"/>
      <c r="Q323" s="197"/>
    </row>
    <row r="324" spans="1:17" ht="15" customHeight="1">
      <c r="A324" s="196">
        <v>745</v>
      </c>
      <c r="B324" s="71">
        <v>44172</v>
      </c>
      <c r="C324" s="2" t="s">
        <v>38</v>
      </c>
      <c r="D324" s="2" t="s">
        <v>357</v>
      </c>
      <c r="E324" s="2"/>
      <c r="F324" s="2">
        <v>7717</v>
      </c>
      <c r="G324" s="72"/>
      <c r="H324" s="72">
        <v>35</v>
      </c>
      <c r="I324" s="72"/>
      <c r="J324" s="72">
        <v>9.15</v>
      </c>
      <c r="K324" s="21">
        <v>205</v>
      </c>
      <c r="L324" s="21">
        <v>1090</v>
      </c>
      <c r="M324" s="21">
        <v>205</v>
      </c>
      <c r="N324" s="21">
        <v>1350</v>
      </c>
      <c r="O324" s="2"/>
      <c r="P324" s="2"/>
      <c r="Q324" s="197"/>
    </row>
    <row r="325" spans="1:17" ht="15" customHeight="1">
      <c r="A325" s="196">
        <v>744</v>
      </c>
      <c r="B325" s="71">
        <v>44172</v>
      </c>
      <c r="C325" s="2" t="s">
        <v>38</v>
      </c>
      <c r="D325" s="2" t="s">
        <v>1418</v>
      </c>
      <c r="E325" s="2"/>
      <c r="F325" s="2">
        <v>7199</v>
      </c>
      <c r="G325" s="72"/>
      <c r="H325" s="72" t="s">
        <v>1430</v>
      </c>
      <c r="I325" s="72"/>
      <c r="J325" s="72"/>
      <c r="K325" s="21"/>
      <c r="L325" s="21"/>
      <c r="M325" s="21"/>
      <c r="N325" s="21"/>
      <c r="O325" s="2"/>
      <c r="P325" s="2"/>
      <c r="Q325" s="197"/>
    </row>
    <row r="326" spans="1:17" ht="15" customHeight="1">
      <c r="A326" s="196">
        <v>743</v>
      </c>
      <c r="B326" s="71">
        <v>44170</v>
      </c>
      <c r="C326" s="2" t="s">
        <v>105</v>
      </c>
      <c r="D326" s="2" t="s">
        <v>410</v>
      </c>
      <c r="E326" s="2"/>
      <c r="F326" s="2">
        <v>751</v>
      </c>
      <c r="G326" s="72"/>
      <c r="H326" s="72">
        <v>35</v>
      </c>
      <c r="I326" s="72"/>
      <c r="J326" s="72">
        <v>8.8000000000000007</v>
      </c>
      <c r="K326" s="21">
        <v>239</v>
      </c>
      <c r="L326" s="21">
        <v>1140</v>
      </c>
      <c r="M326" s="21">
        <v>240</v>
      </c>
      <c r="N326" s="21">
        <v>1440</v>
      </c>
      <c r="O326" s="2"/>
      <c r="P326" s="2"/>
      <c r="Q326" s="197"/>
    </row>
    <row r="327" spans="1:17" ht="15" customHeight="1">
      <c r="A327" s="196">
        <v>742</v>
      </c>
      <c r="B327" s="71">
        <v>44170</v>
      </c>
      <c r="C327" s="2" t="s">
        <v>38</v>
      </c>
      <c r="D327" s="2" t="s">
        <v>359</v>
      </c>
      <c r="E327" s="2"/>
      <c r="F327" s="2">
        <v>7716</v>
      </c>
      <c r="G327" s="72"/>
      <c r="H327" s="72">
        <v>35</v>
      </c>
      <c r="I327" s="72"/>
      <c r="J327" s="72">
        <v>14</v>
      </c>
      <c r="K327" s="21">
        <v>184</v>
      </c>
      <c r="L327" s="21">
        <v>620</v>
      </c>
      <c r="M327" s="21">
        <v>190</v>
      </c>
      <c r="N327" s="21"/>
      <c r="O327" s="2"/>
      <c r="P327" s="2"/>
      <c r="Q327" s="197"/>
    </row>
    <row r="328" spans="1:17" ht="15" customHeight="1">
      <c r="A328" s="196">
        <v>741</v>
      </c>
      <c r="B328" s="71">
        <v>44169</v>
      </c>
      <c r="C328" s="2" t="s">
        <v>105</v>
      </c>
      <c r="D328" s="2" t="s">
        <v>365</v>
      </c>
      <c r="E328" s="2"/>
      <c r="F328" s="2">
        <v>736</v>
      </c>
      <c r="G328" s="72"/>
      <c r="H328" s="72">
        <v>42.5</v>
      </c>
      <c r="I328" s="72"/>
      <c r="J328" s="72">
        <v>6.25</v>
      </c>
      <c r="K328" s="21">
        <v>294</v>
      </c>
      <c r="L328" s="21">
        <v>200</v>
      </c>
      <c r="M328" s="21">
        <v>290</v>
      </c>
      <c r="N328" s="21">
        <v>2550</v>
      </c>
      <c r="O328" s="2"/>
      <c r="P328" s="2"/>
      <c r="Q328" s="197"/>
    </row>
    <row r="329" spans="1:17" ht="15" customHeight="1">
      <c r="A329" s="196">
        <v>740</v>
      </c>
      <c r="B329" s="71">
        <v>44169</v>
      </c>
      <c r="C329" s="2" t="s">
        <v>105</v>
      </c>
      <c r="D329" s="2" t="s">
        <v>360</v>
      </c>
      <c r="E329" s="2"/>
      <c r="F329" s="2">
        <v>736</v>
      </c>
      <c r="G329" s="72"/>
      <c r="H329" s="72">
        <v>42.5</v>
      </c>
      <c r="I329" s="72"/>
      <c r="J329" s="72">
        <v>9.65</v>
      </c>
      <c r="K329" s="21">
        <v>247</v>
      </c>
      <c r="L329" s="21"/>
      <c r="M329" s="21">
        <v>245</v>
      </c>
      <c r="N329" s="21"/>
      <c r="O329" s="2"/>
      <c r="P329" s="2"/>
      <c r="Q329" s="197"/>
    </row>
    <row r="330" spans="1:17" ht="15" customHeight="1">
      <c r="A330" s="196">
        <v>739</v>
      </c>
      <c r="B330" s="71">
        <v>44169</v>
      </c>
      <c r="C330" s="2" t="s">
        <v>105</v>
      </c>
      <c r="D330" s="2" t="s">
        <v>1088</v>
      </c>
      <c r="E330" s="2"/>
      <c r="F330" s="2">
        <v>7716</v>
      </c>
      <c r="G330" s="72"/>
      <c r="H330" s="72">
        <v>30</v>
      </c>
      <c r="I330" s="72"/>
      <c r="J330" s="72">
        <v>10.54</v>
      </c>
      <c r="K330" s="21" t="s">
        <v>1416</v>
      </c>
      <c r="L330" s="21">
        <v>730</v>
      </c>
      <c r="M330" s="21">
        <v>190</v>
      </c>
      <c r="N330" s="21" t="s">
        <v>1427</v>
      </c>
      <c r="O330" s="2"/>
      <c r="P330" s="2"/>
      <c r="Q330" s="197"/>
    </row>
    <row r="331" spans="1:17" ht="15" customHeight="1">
      <c r="A331" s="196">
        <v>738</v>
      </c>
      <c r="B331" s="71">
        <v>44169</v>
      </c>
      <c r="C331" s="2" t="s">
        <v>105</v>
      </c>
      <c r="D331" s="2" t="s">
        <v>1089</v>
      </c>
      <c r="E331" s="2"/>
      <c r="F331" s="2">
        <v>7716</v>
      </c>
      <c r="G331" s="72"/>
      <c r="H331" s="72">
        <v>35</v>
      </c>
      <c r="I331" s="72"/>
      <c r="J331" s="72">
        <v>9.57</v>
      </c>
      <c r="K331" s="21" t="s">
        <v>1428</v>
      </c>
      <c r="L331" s="21">
        <v>958</v>
      </c>
      <c r="M331" s="21">
        <v>206</v>
      </c>
      <c r="N331" s="21">
        <v>1385</v>
      </c>
      <c r="O331" s="2"/>
      <c r="P331" s="2"/>
      <c r="Q331" s="197"/>
    </row>
    <row r="332" spans="1:17" ht="15" customHeight="1">
      <c r="A332" s="196">
        <v>737</v>
      </c>
      <c r="B332" s="71">
        <v>44169</v>
      </c>
      <c r="C332" s="2" t="s">
        <v>105</v>
      </c>
      <c r="D332" s="2" t="s">
        <v>1394</v>
      </c>
      <c r="E332" s="2"/>
      <c r="F332" s="2">
        <v>7716</v>
      </c>
      <c r="G332" s="72"/>
      <c r="H332" s="72">
        <v>42.5</v>
      </c>
      <c r="I332" s="72"/>
      <c r="J332" s="72">
        <v>11</v>
      </c>
      <c r="K332" s="21" t="s">
        <v>1428</v>
      </c>
      <c r="L332" s="21">
        <v>1055</v>
      </c>
      <c r="M332" s="21">
        <v>200</v>
      </c>
      <c r="N332" s="21">
        <v>1425</v>
      </c>
      <c r="O332" s="2"/>
      <c r="P332" s="2"/>
      <c r="Q332" s="197"/>
    </row>
    <row r="333" spans="1:17" ht="15" customHeight="1">
      <c r="A333" s="196">
        <v>736</v>
      </c>
      <c r="B333" s="71">
        <v>44168</v>
      </c>
      <c r="C333" s="2" t="s">
        <v>105</v>
      </c>
      <c r="D333" s="2" t="s">
        <v>365</v>
      </c>
      <c r="E333" s="2"/>
      <c r="F333" s="2">
        <v>736</v>
      </c>
      <c r="G333" s="72"/>
      <c r="H333" s="72">
        <v>42.5</v>
      </c>
      <c r="I333" s="72"/>
      <c r="J333" s="72">
        <v>6.3</v>
      </c>
      <c r="K333" s="21">
        <v>294</v>
      </c>
      <c r="L333" s="21"/>
      <c r="M333" s="21">
        <v>289</v>
      </c>
      <c r="N333" s="21">
        <v>2525</v>
      </c>
      <c r="O333" s="2"/>
      <c r="P333" s="2"/>
      <c r="Q333" s="197"/>
    </row>
    <row r="334" spans="1:17" ht="15" customHeight="1">
      <c r="A334" s="196">
        <v>735</v>
      </c>
      <c r="B334" s="71">
        <v>44168</v>
      </c>
      <c r="C334" s="2" t="s">
        <v>105</v>
      </c>
      <c r="D334" s="2" t="s">
        <v>360</v>
      </c>
      <c r="E334" s="2"/>
      <c r="F334" s="2">
        <v>736</v>
      </c>
      <c r="G334" s="72"/>
      <c r="H334" s="72">
        <v>42.5</v>
      </c>
      <c r="I334" s="72"/>
      <c r="J334" s="72">
        <v>9.8000000000000007</v>
      </c>
      <c r="K334" s="21">
        <v>245</v>
      </c>
      <c r="L334" s="21">
        <v>1310</v>
      </c>
      <c r="M334" s="21">
        <v>244</v>
      </c>
      <c r="N334" s="21">
        <v>1580</v>
      </c>
      <c r="O334" s="2"/>
      <c r="P334" s="2"/>
      <c r="Q334" s="197"/>
    </row>
    <row r="335" spans="1:17" ht="15" customHeight="1">
      <c r="A335" s="196">
        <v>734</v>
      </c>
      <c r="B335" s="71">
        <v>44168</v>
      </c>
      <c r="C335" s="2" t="s">
        <v>105</v>
      </c>
      <c r="D335" s="2" t="s">
        <v>1418</v>
      </c>
      <c r="E335" s="2"/>
      <c r="F335" s="2">
        <v>7199</v>
      </c>
      <c r="G335" s="72"/>
      <c r="H335" s="72" t="s">
        <v>1419</v>
      </c>
      <c r="I335" s="72"/>
      <c r="J335" s="72">
        <v>15.2</v>
      </c>
      <c r="K335" s="21">
        <v>202</v>
      </c>
      <c r="L335" s="21">
        <v>990</v>
      </c>
      <c r="M335" s="21">
        <v>211</v>
      </c>
      <c r="N335" s="21">
        <v>1450</v>
      </c>
      <c r="O335" s="2"/>
      <c r="P335" s="2"/>
      <c r="Q335" s="197"/>
    </row>
    <row r="336" spans="1:17" ht="15" customHeight="1">
      <c r="A336" s="196">
        <v>733</v>
      </c>
      <c r="B336" s="71">
        <v>44168</v>
      </c>
      <c r="C336" s="2" t="s">
        <v>105</v>
      </c>
      <c r="D336" s="2" t="s">
        <v>1426</v>
      </c>
      <c r="E336" s="2"/>
      <c r="F336" s="2">
        <v>7199</v>
      </c>
      <c r="G336" s="72"/>
      <c r="H336" s="72" t="s">
        <v>1419</v>
      </c>
      <c r="I336" s="72"/>
      <c r="J336" s="72">
        <v>16.100000000000001</v>
      </c>
      <c r="K336" s="21">
        <v>201</v>
      </c>
      <c r="L336" s="21">
        <v>850</v>
      </c>
      <c r="M336" s="21">
        <v>210</v>
      </c>
      <c r="N336" s="21">
        <v>1280</v>
      </c>
      <c r="O336" s="2"/>
      <c r="P336" s="2"/>
      <c r="Q336" s="197"/>
    </row>
    <row r="337" spans="1:17" ht="15" customHeight="1">
      <c r="A337" s="196">
        <v>732</v>
      </c>
      <c r="B337" s="71">
        <v>44167</v>
      </c>
      <c r="C337" s="2" t="s">
        <v>105</v>
      </c>
      <c r="D337" s="2" t="s">
        <v>1423</v>
      </c>
      <c r="E337" s="2"/>
      <c r="F337" s="2">
        <v>751</v>
      </c>
      <c r="G337" s="72"/>
      <c r="H337" s="72">
        <v>35</v>
      </c>
      <c r="I337" s="72"/>
      <c r="J337" s="72">
        <v>9</v>
      </c>
      <c r="K337" s="21" t="s">
        <v>1424</v>
      </c>
      <c r="L337" s="21">
        <v>1120</v>
      </c>
      <c r="M337" s="21">
        <v>239</v>
      </c>
      <c r="N337" s="21">
        <v>1410</v>
      </c>
      <c r="O337" s="2"/>
      <c r="P337" s="2"/>
      <c r="Q337" s="197"/>
    </row>
    <row r="338" spans="1:17" ht="15" customHeight="1">
      <c r="A338" s="196">
        <v>731</v>
      </c>
      <c r="B338" s="71">
        <v>44167</v>
      </c>
      <c r="C338" s="2" t="s">
        <v>105</v>
      </c>
      <c r="D338" s="2" t="s">
        <v>407</v>
      </c>
      <c r="E338" s="2"/>
      <c r="F338" s="2">
        <v>751</v>
      </c>
      <c r="G338" s="72"/>
      <c r="H338" s="72">
        <v>35</v>
      </c>
      <c r="I338" s="72"/>
      <c r="J338" s="72">
        <v>9.6999999999999993</v>
      </c>
      <c r="K338" s="21" t="s">
        <v>1425</v>
      </c>
      <c r="L338" s="21"/>
      <c r="M338" s="21"/>
      <c r="N338" s="21"/>
      <c r="O338" s="2"/>
      <c r="P338" s="2"/>
      <c r="Q338" s="197"/>
    </row>
    <row r="339" spans="1:17" ht="15" customHeight="1">
      <c r="A339" s="196">
        <v>730</v>
      </c>
      <c r="B339" s="71">
        <v>44166</v>
      </c>
      <c r="C339" s="2" t="s">
        <v>105</v>
      </c>
      <c r="D339" s="2" t="s">
        <v>1420</v>
      </c>
      <c r="E339" s="2"/>
      <c r="F339" s="2">
        <v>751</v>
      </c>
      <c r="G339" s="72"/>
      <c r="H339" s="72">
        <v>35</v>
      </c>
      <c r="I339" s="72"/>
      <c r="J339" s="72">
        <v>11.9</v>
      </c>
      <c r="K339" s="21" t="s">
        <v>1421</v>
      </c>
      <c r="L339" s="21" t="s">
        <v>1422</v>
      </c>
      <c r="M339" s="21"/>
      <c r="N339" s="21"/>
      <c r="O339" s="2"/>
      <c r="P339" s="2"/>
      <c r="Q339" s="197"/>
    </row>
    <row r="340" spans="1:17" ht="15" customHeight="1">
      <c r="A340" s="196">
        <v>729</v>
      </c>
      <c r="B340" s="71">
        <v>44166</v>
      </c>
      <c r="C340" s="2" t="s">
        <v>105</v>
      </c>
      <c r="D340" s="2" t="s">
        <v>1076</v>
      </c>
      <c r="E340" s="2"/>
      <c r="F340" s="2">
        <v>751</v>
      </c>
      <c r="G340" s="72"/>
      <c r="H340" s="72">
        <v>35</v>
      </c>
      <c r="I340" s="72"/>
      <c r="J340" s="72">
        <v>8.9</v>
      </c>
      <c r="K340" s="21">
        <v>201</v>
      </c>
      <c r="L340" s="21">
        <v>1130</v>
      </c>
      <c r="M340" s="21">
        <v>203</v>
      </c>
      <c r="N340" s="21"/>
      <c r="O340" s="2"/>
      <c r="P340" s="2"/>
      <c r="Q340" s="197"/>
    </row>
    <row r="341" spans="1:17" ht="15" customHeight="1">
      <c r="A341" s="196">
        <v>728</v>
      </c>
      <c r="B341" s="71">
        <v>44165</v>
      </c>
      <c r="C341" s="2" t="s">
        <v>105</v>
      </c>
      <c r="D341" s="2" t="s">
        <v>1089</v>
      </c>
      <c r="E341" s="2"/>
      <c r="F341" s="2">
        <v>7716</v>
      </c>
      <c r="G341" s="72"/>
      <c r="H341" s="72">
        <v>35</v>
      </c>
      <c r="I341" s="72"/>
      <c r="J341" s="72">
        <v>9.6999999999999993</v>
      </c>
      <c r="K341" s="21" t="s">
        <v>1282</v>
      </c>
      <c r="L341" s="21">
        <v>970</v>
      </c>
      <c r="M341" s="21">
        <v>206</v>
      </c>
      <c r="N341" s="21"/>
      <c r="O341" s="2"/>
      <c r="P341" s="2"/>
      <c r="Q341" s="197"/>
    </row>
    <row r="342" spans="1:17" ht="15" customHeight="1">
      <c r="A342" s="196">
        <v>727</v>
      </c>
      <c r="B342" s="71">
        <v>44165</v>
      </c>
      <c r="C342" s="2" t="s">
        <v>105</v>
      </c>
      <c r="D342" s="2" t="s">
        <v>1088</v>
      </c>
      <c r="E342" s="2"/>
      <c r="F342" s="2">
        <v>7716</v>
      </c>
      <c r="G342" s="72"/>
      <c r="H342" s="72">
        <v>30</v>
      </c>
      <c r="I342" s="72"/>
      <c r="J342" s="72">
        <v>10.5</v>
      </c>
      <c r="K342" s="21" t="s">
        <v>1416</v>
      </c>
      <c r="L342" s="21">
        <v>760</v>
      </c>
      <c r="M342" s="21" t="s">
        <v>1417</v>
      </c>
      <c r="N342" s="21"/>
      <c r="O342" s="2"/>
      <c r="P342" s="2"/>
      <c r="Q342" s="197"/>
    </row>
    <row r="343" spans="1:17" ht="15" customHeight="1">
      <c r="A343" s="196">
        <v>726</v>
      </c>
      <c r="B343" s="71">
        <v>44165</v>
      </c>
      <c r="C343" s="2" t="s">
        <v>38</v>
      </c>
      <c r="D343" s="2" t="s">
        <v>1418</v>
      </c>
      <c r="E343" s="2"/>
      <c r="F343" s="2">
        <v>7199</v>
      </c>
      <c r="G343" s="72"/>
      <c r="H343" s="72" t="s">
        <v>1419</v>
      </c>
      <c r="I343" s="72"/>
      <c r="J343" s="72">
        <v>14.9</v>
      </c>
      <c r="K343" s="21">
        <v>204</v>
      </c>
      <c r="L343" s="21">
        <v>950</v>
      </c>
      <c r="M343" s="21">
        <v>210</v>
      </c>
      <c r="N343" s="21"/>
      <c r="O343" s="2"/>
      <c r="P343" s="2"/>
      <c r="Q343" s="197"/>
    </row>
    <row r="344" spans="1:17" ht="15" customHeight="1">
      <c r="A344" s="196">
        <v>725</v>
      </c>
      <c r="B344" s="71">
        <v>44163</v>
      </c>
      <c r="C344" s="2" t="s">
        <v>38</v>
      </c>
      <c r="D344" s="2" t="s">
        <v>1280</v>
      </c>
      <c r="E344" s="2"/>
      <c r="F344" s="2">
        <v>7199</v>
      </c>
      <c r="G344" s="72"/>
      <c r="H344" s="72">
        <v>35</v>
      </c>
      <c r="I344" s="72"/>
      <c r="J344" s="72">
        <v>6.35</v>
      </c>
      <c r="K344" s="21">
        <v>284</v>
      </c>
      <c r="L344" s="21">
        <v>1545</v>
      </c>
      <c r="M344" s="21">
        <v>285</v>
      </c>
      <c r="N344" s="21">
        <v>1940</v>
      </c>
      <c r="O344" s="2"/>
      <c r="P344" s="2"/>
      <c r="Q344" s="197"/>
    </row>
    <row r="345" spans="1:17" ht="15" customHeight="1">
      <c r="A345" s="196">
        <v>724</v>
      </c>
      <c r="B345" s="71">
        <v>44163</v>
      </c>
      <c r="C345" s="2" t="s">
        <v>38</v>
      </c>
      <c r="D345" s="2" t="s">
        <v>1104</v>
      </c>
      <c r="E345" s="2"/>
      <c r="F345" s="2">
        <v>752</v>
      </c>
      <c r="G345" s="72"/>
      <c r="H345" s="72">
        <v>35</v>
      </c>
      <c r="I345" s="72"/>
      <c r="J345" s="72">
        <v>9.5</v>
      </c>
      <c r="K345" s="21">
        <v>192</v>
      </c>
      <c r="L345" s="21"/>
      <c r="M345" s="21"/>
      <c r="N345" s="21"/>
      <c r="O345" s="2"/>
      <c r="P345" s="2"/>
      <c r="Q345" s="197"/>
    </row>
    <row r="346" spans="1:17" ht="15" customHeight="1">
      <c r="A346" s="196">
        <v>723</v>
      </c>
      <c r="B346" s="71">
        <v>44160</v>
      </c>
      <c r="C346" s="2" t="s">
        <v>38</v>
      </c>
      <c r="D346" s="2" t="s">
        <v>119</v>
      </c>
      <c r="E346" s="2"/>
      <c r="F346" s="2" t="s">
        <v>1242</v>
      </c>
      <c r="G346" s="72"/>
      <c r="H346" s="72" t="s">
        <v>1334</v>
      </c>
      <c r="I346" s="72"/>
      <c r="J346" s="72">
        <v>7.2</v>
      </c>
      <c r="K346" s="21" t="s">
        <v>172</v>
      </c>
      <c r="L346" s="21" t="s">
        <v>1411</v>
      </c>
      <c r="M346" s="21" t="s">
        <v>1412</v>
      </c>
      <c r="N346" s="21" t="s">
        <v>1413</v>
      </c>
      <c r="O346" s="2"/>
      <c r="P346" s="2"/>
      <c r="Q346" s="197"/>
    </row>
    <row r="347" spans="1:17" ht="15" customHeight="1">
      <c r="A347" s="196">
        <v>722</v>
      </c>
      <c r="B347" s="71">
        <v>44160</v>
      </c>
      <c r="C347" s="2" t="s">
        <v>38</v>
      </c>
      <c r="D347" s="2" t="s">
        <v>1279</v>
      </c>
      <c r="E347" s="2"/>
      <c r="F347" s="2">
        <v>7199</v>
      </c>
      <c r="G347" s="72"/>
      <c r="H347" s="72">
        <v>35</v>
      </c>
      <c r="I347" s="72"/>
      <c r="J347" s="72">
        <v>6.3</v>
      </c>
      <c r="K347" s="21" t="s">
        <v>1414</v>
      </c>
      <c r="L347" s="21">
        <v>1520</v>
      </c>
      <c r="M347" s="21" t="s">
        <v>1415</v>
      </c>
      <c r="N347" s="21">
        <v>1930</v>
      </c>
      <c r="O347" s="2"/>
      <c r="P347" s="2"/>
      <c r="Q347" s="197"/>
    </row>
    <row r="348" spans="1:17" ht="15" customHeight="1">
      <c r="A348" s="196">
        <v>721</v>
      </c>
      <c r="B348" s="71">
        <v>44158</v>
      </c>
      <c r="C348" s="2" t="s">
        <v>38</v>
      </c>
      <c r="D348" s="2" t="s">
        <v>1280</v>
      </c>
      <c r="E348" s="2"/>
      <c r="F348" s="2">
        <v>7199</v>
      </c>
      <c r="G348" s="72"/>
      <c r="H348" s="72">
        <v>35</v>
      </c>
      <c r="I348" s="72"/>
      <c r="J348" s="72">
        <v>6.25</v>
      </c>
      <c r="K348" s="21" t="s">
        <v>1348</v>
      </c>
      <c r="L348" s="21">
        <v>1525</v>
      </c>
      <c r="M348" s="21">
        <v>285</v>
      </c>
      <c r="N348" s="21">
        <v>1920</v>
      </c>
      <c r="O348" s="2"/>
      <c r="P348" s="2"/>
      <c r="Q348" s="197"/>
    </row>
    <row r="349" spans="1:17" ht="15" customHeight="1">
      <c r="A349" s="196">
        <v>720</v>
      </c>
      <c r="B349" s="71">
        <v>44144</v>
      </c>
      <c r="C349" s="2" t="s">
        <v>37</v>
      </c>
      <c r="D349" s="2" t="s">
        <v>1280</v>
      </c>
      <c r="E349" s="2"/>
      <c r="F349" s="2">
        <v>7199</v>
      </c>
      <c r="G349" s="72"/>
      <c r="H349" s="72">
        <v>35</v>
      </c>
      <c r="I349" s="72"/>
      <c r="J349" s="72">
        <v>5.9</v>
      </c>
      <c r="K349" s="21" t="s">
        <v>1348</v>
      </c>
      <c r="L349" s="21">
        <v>1530</v>
      </c>
      <c r="M349" s="21">
        <v>285</v>
      </c>
      <c r="N349" s="21">
        <v>1970</v>
      </c>
      <c r="O349" s="2"/>
      <c r="P349" s="2"/>
      <c r="Q349" s="197"/>
    </row>
    <row r="350" spans="1:17" ht="15" customHeight="1">
      <c r="A350" s="196">
        <v>719</v>
      </c>
      <c r="B350" s="206">
        <v>44141</v>
      </c>
      <c r="C350" s="2" t="s">
        <v>38</v>
      </c>
      <c r="D350" s="2" t="s">
        <v>1228</v>
      </c>
      <c r="E350" s="2"/>
      <c r="F350" s="2">
        <v>7716</v>
      </c>
      <c r="G350" s="72"/>
      <c r="H350" s="72">
        <v>35</v>
      </c>
      <c r="I350" s="72"/>
      <c r="J350" s="72">
        <v>10.4</v>
      </c>
      <c r="K350" s="21" t="s">
        <v>1404</v>
      </c>
      <c r="L350" s="21" t="s">
        <v>1405</v>
      </c>
      <c r="M350" s="21">
        <v>190</v>
      </c>
      <c r="N350" s="21" t="s">
        <v>1406</v>
      </c>
      <c r="O350" s="2"/>
      <c r="P350" s="2"/>
      <c r="Q350" s="197"/>
    </row>
    <row r="351" spans="1:17" ht="15" customHeight="1">
      <c r="A351" s="196">
        <v>718</v>
      </c>
      <c r="B351" s="206">
        <v>44141</v>
      </c>
      <c r="C351" s="2" t="s">
        <v>38</v>
      </c>
      <c r="D351" s="2" t="s">
        <v>1230</v>
      </c>
      <c r="E351" s="2"/>
      <c r="F351" s="2">
        <v>7717</v>
      </c>
      <c r="G351" s="72"/>
      <c r="H351" s="72">
        <v>35.6</v>
      </c>
      <c r="I351" s="72"/>
      <c r="J351" s="72">
        <v>11.5</v>
      </c>
      <c r="K351" s="21" t="s">
        <v>1407</v>
      </c>
      <c r="L351" s="21" t="s">
        <v>1408</v>
      </c>
      <c r="M351" s="21" t="s">
        <v>1409</v>
      </c>
      <c r="N351" s="21" t="s">
        <v>1410</v>
      </c>
      <c r="O351" s="2"/>
      <c r="P351" s="2"/>
      <c r="Q351" s="197"/>
    </row>
    <row r="352" spans="1:17" ht="15" customHeight="1">
      <c r="A352" s="196">
        <v>717</v>
      </c>
      <c r="B352" s="71">
        <v>44139</v>
      </c>
      <c r="C352" s="2" t="s">
        <v>37</v>
      </c>
      <c r="D352" s="2" t="s">
        <v>1281</v>
      </c>
      <c r="E352" s="2"/>
      <c r="F352" s="2">
        <v>7199</v>
      </c>
      <c r="G352" s="72"/>
      <c r="H352" s="72">
        <v>35</v>
      </c>
      <c r="I352" s="72"/>
      <c r="J352" s="72">
        <v>9.5</v>
      </c>
      <c r="K352" s="21">
        <v>204</v>
      </c>
      <c r="L352" s="21">
        <v>900</v>
      </c>
      <c r="M352" s="21">
        <v>210</v>
      </c>
      <c r="N352" s="21"/>
      <c r="O352" s="2"/>
      <c r="P352" s="2"/>
      <c r="Q352" s="197"/>
    </row>
    <row r="353" spans="1:17" ht="15" customHeight="1">
      <c r="A353" s="196">
        <v>716</v>
      </c>
      <c r="B353" s="71">
        <v>44139</v>
      </c>
      <c r="C353" s="2" t="s">
        <v>37</v>
      </c>
      <c r="D353" s="2" t="s">
        <v>1280</v>
      </c>
      <c r="E353" s="2"/>
      <c r="F353" s="2">
        <v>7199</v>
      </c>
      <c r="G353" s="72"/>
      <c r="H353" s="72">
        <v>35</v>
      </c>
      <c r="I353" s="72"/>
      <c r="J353" s="72">
        <v>6</v>
      </c>
      <c r="K353" s="21">
        <v>285</v>
      </c>
      <c r="L353" s="21">
        <v>1560</v>
      </c>
      <c r="M353" s="21">
        <v>285</v>
      </c>
      <c r="N353" s="21">
        <v>1950</v>
      </c>
      <c r="O353" s="2"/>
      <c r="P353" s="2"/>
      <c r="Q353" s="197"/>
    </row>
    <row r="354" spans="1:17" ht="15" customHeight="1">
      <c r="A354" s="196">
        <v>715</v>
      </c>
      <c r="B354" s="71">
        <v>44139</v>
      </c>
      <c r="C354" s="2" t="s">
        <v>37</v>
      </c>
      <c r="D354" s="2" t="s">
        <v>351</v>
      </c>
      <c r="E354" s="2"/>
      <c r="F354" s="2">
        <v>7716</v>
      </c>
      <c r="G354" s="72"/>
      <c r="H354" s="72">
        <v>42.5</v>
      </c>
      <c r="I354" s="72"/>
      <c r="J354" s="72">
        <v>8.3350000000000009</v>
      </c>
      <c r="K354" s="21">
        <v>248</v>
      </c>
      <c r="L354" s="21">
        <v>1480</v>
      </c>
      <c r="M354" s="21">
        <v>250</v>
      </c>
      <c r="N354" s="21">
        <v>1810</v>
      </c>
      <c r="O354" s="2"/>
      <c r="P354" s="2"/>
      <c r="Q354" s="197"/>
    </row>
    <row r="355" spans="1:17" ht="15" customHeight="1">
      <c r="A355" s="196">
        <v>714</v>
      </c>
      <c r="B355" s="71">
        <v>44139</v>
      </c>
      <c r="C355" s="2" t="s">
        <v>38</v>
      </c>
      <c r="D355" s="2" t="s">
        <v>1280</v>
      </c>
      <c r="E355" s="2"/>
      <c r="F355" s="2">
        <v>7199</v>
      </c>
      <c r="G355" s="72"/>
      <c r="H355" s="72">
        <v>35</v>
      </c>
      <c r="I355" s="72"/>
      <c r="J355" s="72">
        <v>6</v>
      </c>
      <c r="K355" s="21" t="s">
        <v>1296</v>
      </c>
      <c r="L355" s="21" t="s">
        <v>1398</v>
      </c>
      <c r="M355" s="21" t="s">
        <v>1338</v>
      </c>
      <c r="N355" s="21" t="s">
        <v>1399</v>
      </c>
      <c r="O355" s="2"/>
      <c r="P355" s="2"/>
      <c r="Q355" s="197"/>
    </row>
    <row r="356" spans="1:17" ht="15" customHeight="1">
      <c r="A356" s="196">
        <v>713</v>
      </c>
      <c r="B356" s="71">
        <v>44139</v>
      </c>
      <c r="C356" s="2" t="s">
        <v>38</v>
      </c>
      <c r="D356" s="2" t="s">
        <v>1281</v>
      </c>
      <c r="E356" s="2"/>
      <c r="F356" s="2">
        <v>7199</v>
      </c>
      <c r="G356" s="72"/>
      <c r="H356" s="72">
        <v>35</v>
      </c>
      <c r="I356" s="72"/>
      <c r="J356" s="72">
        <v>9.4</v>
      </c>
      <c r="K356" s="21" t="s">
        <v>1400</v>
      </c>
      <c r="L356" s="21" t="s">
        <v>1401</v>
      </c>
      <c r="M356" s="21" t="s">
        <v>1402</v>
      </c>
      <c r="N356" s="21" t="s">
        <v>1403</v>
      </c>
      <c r="O356" s="2"/>
      <c r="P356" s="2"/>
      <c r="Q356" s="197"/>
    </row>
    <row r="357" spans="1:17" ht="15" customHeight="1">
      <c r="A357" s="196">
        <v>712</v>
      </c>
      <c r="B357" s="71">
        <v>44138</v>
      </c>
      <c r="C357" s="2" t="s">
        <v>105</v>
      </c>
      <c r="D357" s="2" t="s">
        <v>354</v>
      </c>
      <c r="E357" s="2"/>
      <c r="F357" s="2">
        <v>7716</v>
      </c>
      <c r="G357" s="72"/>
      <c r="H357" s="72">
        <v>35</v>
      </c>
      <c r="I357" s="72"/>
      <c r="J357" s="72">
        <v>1055</v>
      </c>
      <c r="K357" s="21">
        <v>192</v>
      </c>
      <c r="L357" s="21">
        <v>890</v>
      </c>
      <c r="M357" s="21">
        <v>195</v>
      </c>
      <c r="N357" s="21">
        <v>1172</v>
      </c>
      <c r="O357" s="2"/>
      <c r="P357" s="2"/>
      <c r="Q357" s="197"/>
    </row>
    <row r="358" spans="1:17" ht="15" customHeight="1">
      <c r="A358" s="196">
        <v>711</v>
      </c>
      <c r="B358" s="71">
        <v>44132</v>
      </c>
      <c r="C358" s="2" t="s">
        <v>105</v>
      </c>
      <c r="D358" s="2" t="s">
        <v>1280</v>
      </c>
      <c r="E358" s="2"/>
      <c r="F358" s="2">
        <v>7199</v>
      </c>
      <c r="G358" s="72"/>
      <c r="H358" s="72">
        <v>35</v>
      </c>
      <c r="I358" s="72"/>
      <c r="J358" s="72">
        <v>6.2</v>
      </c>
      <c r="K358" s="21">
        <v>283.83999999999997</v>
      </c>
      <c r="L358" s="21" t="s">
        <v>1295</v>
      </c>
      <c r="M358" s="21" t="s">
        <v>1338</v>
      </c>
      <c r="N358" s="21" t="s">
        <v>1397</v>
      </c>
      <c r="O358" s="2"/>
      <c r="P358" s="2"/>
      <c r="Q358" s="197"/>
    </row>
    <row r="359" spans="1:17" ht="15" customHeight="1">
      <c r="A359" s="196">
        <v>710</v>
      </c>
      <c r="B359" s="71">
        <v>44131</v>
      </c>
      <c r="C359" s="2" t="s">
        <v>37</v>
      </c>
      <c r="D359" s="2" t="s">
        <v>1318</v>
      </c>
      <c r="E359" s="2"/>
      <c r="F359" s="2">
        <v>7716</v>
      </c>
      <c r="G359" s="72"/>
      <c r="H359" s="72">
        <v>35</v>
      </c>
      <c r="I359" s="72"/>
      <c r="J359" s="72">
        <v>8.75</v>
      </c>
      <c r="K359" s="21">
        <v>202</v>
      </c>
      <c r="L359" s="21">
        <v>1065</v>
      </c>
      <c r="M359" s="21">
        <v>20</v>
      </c>
      <c r="N359" s="21">
        <v>1405</v>
      </c>
      <c r="O359" s="2"/>
      <c r="P359" s="2"/>
      <c r="Q359" s="197"/>
    </row>
    <row r="360" spans="1:17" ht="15" customHeight="1">
      <c r="A360" s="196">
        <v>709</v>
      </c>
      <c r="B360" s="71">
        <v>44126</v>
      </c>
      <c r="C360" s="2" t="s">
        <v>38</v>
      </c>
      <c r="D360" s="2" t="s">
        <v>1318</v>
      </c>
      <c r="E360" s="2"/>
      <c r="F360" s="2">
        <v>7716</v>
      </c>
      <c r="G360" s="72"/>
      <c r="H360" s="72">
        <v>35</v>
      </c>
      <c r="I360" s="72"/>
      <c r="J360" s="72">
        <v>8.75</v>
      </c>
      <c r="K360" s="21">
        <v>202</v>
      </c>
      <c r="L360" s="21" t="s">
        <v>1395</v>
      </c>
      <c r="M360" s="21">
        <v>200</v>
      </c>
      <c r="N360" s="21" t="s">
        <v>1396</v>
      </c>
      <c r="O360" s="2"/>
      <c r="P360" s="2"/>
      <c r="Q360" s="197"/>
    </row>
    <row r="361" spans="1:17" ht="15" customHeight="1">
      <c r="A361" s="196">
        <v>708</v>
      </c>
      <c r="B361" s="71">
        <v>44126</v>
      </c>
      <c r="C361" s="2" t="s">
        <v>38</v>
      </c>
      <c r="D361" s="2" t="s">
        <v>1109</v>
      </c>
      <c r="E361" s="2"/>
      <c r="F361" s="2">
        <v>7316</v>
      </c>
      <c r="G361" s="72"/>
      <c r="H361" s="72">
        <v>35</v>
      </c>
      <c r="I361" s="72"/>
      <c r="J361" s="72">
        <v>10.45</v>
      </c>
      <c r="K361" s="21">
        <v>196</v>
      </c>
      <c r="L361" s="21">
        <v>880</v>
      </c>
      <c r="M361" s="21">
        <v>206</v>
      </c>
      <c r="N361" s="21">
        <v>1380</v>
      </c>
      <c r="O361" s="2"/>
      <c r="P361" s="2"/>
      <c r="Q361" s="197"/>
    </row>
    <row r="362" spans="1:17" ht="15" customHeight="1">
      <c r="A362" s="196">
        <v>707</v>
      </c>
      <c r="B362" s="71">
        <v>44125</v>
      </c>
      <c r="C362" s="2" t="s">
        <v>105</v>
      </c>
      <c r="D362" s="2" t="s">
        <v>1394</v>
      </c>
      <c r="E362" s="2"/>
      <c r="F362" s="2">
        <v>7716</v>
      </c>
      <c r="G362" s="72"/>
      <c r="H362" s="72">
        <v>35</v>
      </c>
      <c r="I362" s="72"/>
      <c r="J362" s="72">
        <v>8.75</v>
      </c>
      <c r="K362" s="21">
        <v>1075</v>
      </c>
      <c r="L362" s="21">
        <v>200</v>
      </c>
      <c r="M362" s="21">
        <v>1690</v>
      </c>
      <c r="N362" s="21">
        <v>201</v>
      </c>
      <c r="O362" s="2"/>
      <c r="P362" s="2"/>
      <c r="Q362" s="197"/>
    </row>
    <row r="363" spans="1:17" ht="15" customHeight="1">
      <c r="A363" s="196">
        <v>706</v>
      </c>
      <c r="B363" s="71">
        <v>44124</v>
      </c>
      <c r="C363" s="2" t="s">
        <v>38</v>
      </c>
      <c r="D363" s="2" t="s">
        <v>383</v>
      </c>
      <c r="E363" s="2"/>
      <c r="F363" s="2">
        <v>7316</v>
      </c>
      <c r="G363" s="72"/>
      <c r="H363" s="72">
        <v>42.5</v>
      </c>
      <c r="I363" s="72"/>
      <c r="J363" s="72">
        <v>10.9</v>
      </c>
      <c r="K363" s="21">
        <v>1025</v>
      </c>
      <c r="L363" s="21" t="s">
        <v>1393</v>
      </c>
      <c r="M363" s="21">
        <v>1625</v>
      </c>
      <c r="N363" s="21">
        <v>247</v>
      </c>
      <c r="O363" s="2"/>
      <c r="P363" s="2"/>
      <c r="Q363" s="197"/>
    </row>
    <row r="364" spans="1:17" ht="15" customHeight="1">
      <c r="A364" s="196">
        <v>705</v>
      </c>
      <c r="B364" s="71">
        <v>44105</v>
      </c>
      <c r="C364" s="2" t="s">
        <v>105</v>
      </c>
      <c r="D364" s="2" t="s">
        <v>1252</v>
      </c>
      <c r="E364" s="2"/>
      <c r="F364" s="2">
        <v>7716</v>
      </c>
      <c r="G364" s="72"/>
      <c r="H364" s="72">
        <v>42.5</v>
      </c>
      <c r="I364" s="72"/>
      <c r="J364" s="72">
        <v>7.1</v>
      </c>
      <c r="K364" s="21" t="s">
        <v>1389</v>
      </c>
      <c r="L364" s="21" t="s">
        <v>1390</v>
      </c>
      <c r="M364" s="21" t="s">
        <v>1391</v>
      </c>
      <c r="N364" s="21" t="s">
        <v>1392</v>
      </c>
      <c r="O364" s="2"/>
      <c r="P364" s="2"/>
      <c r="Q364" s="197"/>
    </row>
    <row r="365" spans="1:17" ht="15" customHeight="1">
      <c r="A365" s="196">
        <v>704</v>
      </c>
      <c r="B365" s="71">
        <v>44102</v>
      </c>
      <c r="C365" s="2" t="s">
        <v>105</v>
      </c>
      <c r="D365" s="2" t="s">
        <v>649</v>
      </c>
      <c r="E365" s="2"/>
      <c r="F365" s="2">
        <v>752</v>
      </c>
      <c r="G365" s="72"/>
      <c r="H365" s="72">
        <v>42.5</v>
      </c>
      <c r="I365" s="72"/>
      <c r="J365" s="72">
        <v>7.2</v>
      </c>
      <c r="K365" s="21" t="s">
        <v>174</v>
      </c>
      <c r="L365" s="21">
        <v>1700</v>
      </c>
      <c r="M365" s="21">
        <v>295</v>
      </c>
      <c r="N365" s="21">
        <v>2100</v>
      </c>
      <c r="O365" s="2"/>
      <c r="P365" s="2"/>
      <c r="Q365" s="197"/>
    </row>
    <row r="366" spans="1:17" ht="15" customHeight="1">
      <c r="A366" s="196">
        <v>703</v>
      </c>
      <c r="B366" s="71">
        <v>44102</v>
      </c>
      <c r="C366" s="2" t="s">
        <v>105</v>
      </c>
      <c r="D366" s="2" t="s">
        <v>1378</v>
      </c>
      <c r="E366" s="2"/>
      <c r="F366" s="2" t="s">
        <v>1242</v>
      </c>
      <c r="G366" s="72"/>
      <c r="H366" s="72" t="s">
        <v>1315</v>
      </c>
      <c r="I366" s="72"/>
      <c r="J366" s="72">
        <v>7.25</v>
      </c>
      <c r="K366" s="21" t="s">
        <v>174</v>
      </c>
      <c r="L366" s="21">
        <v>1640</v>
      </c>
      <c r="M366" s="21" t="s">
        <v>167</v>
      </c>
      <c r="N366" s="21">
        <v>2110</v>
      </c>
      <c r="O366" s="2"/>
      <c r="P366" s="2"/>
      <c r="Q366" s="197"/>
    </row>
    <row r="367" spans="1:17" ht="15" customHeight="1">
      <c r="A367" s="196">
        <v>702</v>
      </c>
      <c r="B367" s="71">
        <v>44102</v>
      </c>
      <c r="C367" s="2" t="s">
        <v>105</v>
      </c>
      <c r="D367" s="2" t="s">
        <v>1364</v>
      </c>
      <c r="E367" s="2"/>
      <c r="F367" s="2">
        <v>7199</v>
      </c>
      <c r="G367" s="72"/>
      <c r="H367" s="72">
        <v>35</v>
      </c>
      <c r="I367" s="72"/>
      <c r="J367" s="72">
        <v>8.6</v>
      </c>
      <c r="K367" s="21" t="s">
        <v>1282</v>
      </c>
      <c r="L367" s="21" t="s">
        <v>1385</v>
      </c>
      <c r="M367" s="21" t="s">
        <v>1283</v>
      </c>
      <c r="N367" s="21" t="s">
        <v>1386</v>
      </c>
      <c r="O367" s="2"/>
      <c r="P367" s="2"/>
      <c r="Q367" s="197"/>
    </row>
    <row r="368" spans="1:17" ht="15" customHeight="1">
      <c r="A368" s="196">
        <v>701</v>
      </c>
      <c r="B368" s="71">
        <v>44102</v>
      </c>
      <c r="C368" s="2" t="s">
        <v>105</v>
      </c>
      <c r="D368" s="2" t="s">
        <v>1387</v>
      </c>
      <c r="E368" s="2"/>
      <c r="F368" s="2">
        <v>7199</v>
      </c>
      <c r="G368" s="72"/>
      <c r="H368" s="72"/>
      <c r="I368" s="72"/>
      <c r="J368" s="72"/>
      <c r="K368" s="21"/>
      <c r="L368" s="21"/>
      <c r="M368" s="21"/>
      <c r="N368" s="21"/>
      <c r="O368" s="2"/>
      <c r="P368" s="2"/>
      <c r="Q368" s="197"/>
    </row>
    <row r="369" spans="1:17" ht="15" customHeight="1">
      <c r="A369" s="196">
        <v>700</v>
      </c>
      <c r="B369" s="71">
        <v>44102</v>
      </c>
      <c r="C369" s="2" t="s">
        <v>38</v>
      </c>
      <c r="D369" s="2" t="s">
        <v>649</v>
      </c>
      <c r="E369" s="2"/>
      <c r="F369" s="2">
        <v>752</v>
      </c>
      <c r="G369" s="72"/>
      <c r="H369" s="72">
        <v>42.5</v>
      </c>
      <c r="I369" s="72"/>
      <c r="J369" s="72">
        <v>7.25</v>
      </c>
      <c r="K369" s="21">
        <v>294</v>
      </c>
      <c r="L369" s="21">
        <v>1680</v>
      </c>
      <c r="M369" s="21">
        <v>295</v>
      </c>
      <c r="N369" s="21">
        <v>2115</v>
      </c>
      <c r="O369" s="2"/>
      <c r="P369" s="2"/>
      <c r="Q369" s="197"/>
    </row>
    <row r="370" spans="1:17" ht="15" customHeight="1">
      <c r="A370" s="196">
        <v>699</v>
      </c>
      <c r="B370" s="71">
        <v>44102</v>
      </c>
      <c r="C370" s="2" t="s">
        <v>38</v>
      </c>
      <c r="D370" s="2" t="s">
        <v>337</v>
      </c>
      <c r="E370" s="2"/>
      <c r="F370" s="2">
        <v>7716</v>
      </c>
      <c r="G370" s="72"/>
      <c r="H370" s="72">
        <v>42.5</v>
      </c>
      <c r="I370" s="72"/>
      <c r="J370" s="72">
        <v>10.050000000000001</v>
      </c>
      <c r="K370" s="21">
        <v>223</v>
      </c>
      <c r="L370" s="21">
        <v>1140</v>
      </c>
      <c r="M370" s="21">
        <v>225</v>
      </c>
      <c r="N370" s="21">
        <v>2180</v>
      </c>
      <c r="O370" s="2"/>
      <c r="P370" s="2"/>
      <c r="Q370" s="197"/>
    </row>
    <row r="371" spans="1:17" ht="15" customHeight="1">
      <c r="A371" s="196">
        <v>698</v>
      </c>
      <c r="B371" s="71">
        <v>44100</v>
      </c>
      <c r="C371" s="2" t="s">
        <v>105</v>
      </c>
      <c r="D371" s="2" t="s">
        <v>1378</v>
      </c>
      <c r="E371" s="2"/>
      <c r="F371" s="2" t="s">
        <v>1379</v>
      </c>
      <c r="G371" s="72"/>
      <c r="H371" s="72" t="s">
        <v>1334</v>
      </c>
      <c r="I371" s="72"/>
      <c r="J371" s="72">
        <v>6.8</v>
      </c>
      <c r="K371" s="21">
        <v>295</v>
      </c>
      <c r="L371" s="21">
        <v>1670</v>
      </c>
      <c r="M371" s="21">
        <v>296</v>
      </c>
      <c r="N371" s="21">
        <v>2130</v>
      </c>
      <c r="O371" s="2"/>
      <c r="P371" s="2"/>
      <c r="Q371" s="197"/>
    </row>
    <row r="372" spans="1:17" ht="15" customHeight="1">
      <c r="A372" s="196">
        <v>697</v>
      </c>
      <c r="B372" s="71">
        <v>44100</v>
      </c>
      <c r="C372" s="2" t="s">
        <v>38</v>
      </c>
      <c r="D372" s="2" t="s">
        <v>348</v>
      </c>
      <c r="E372" s="2"/>
      <c r="F372" s="2">
        <v>7716</v>
      </c>
      <c r="G372" s="72"/>
      <c r="H372" s="72">
        <v>425</v>
      </c>
      <c r="I372" s="72"/>
      <c r="J372" s="72">
        <v>7.5</v>
      </c>
      <c r="K372" s="21">
        <v>248</v>
      </c>
      <c r="L372" s="21" t="s">
        <v>1380</v>
      </c>
      <c r="M372" s="21" t="s">
        <v>1381</v>
      </c>
      <c r="N372" s="21" t="s">
        <v>1382</v>
      </c>
      <c r="O372" s="2"/>
      <c r="P372" s="2"/>
      <c r="Q372" s="197"/>
    </row>
    <row r="373" spans="1:17" ht="15" customHeight="1">
      <c r="A373" s="196">
        <v>696</v>
      </c>
      <c r="B373" s="71">
        <v>44100</v>
      </c>
      <c r="C373" s="2" t="s">
        <v>38</v>
      </c>
      <c r="D373" s="2" t="s">
        <v>649</v>
      </c>
      <c r="E373" s="2"/>
      <c r="F373" s="2">
        <v>752</v>
      </c>
      <c r="G373" s="72"/>
      <c r="H373" s="72">
        <v>42.5</v>
      </c>
      <c r="I373" s="72"/>
      <c r="J373" s="72">
        <v>7.3</v>
      </c>
      <c r="K373" s="21" t="s">
        <v>174</v>
      </c>
      <c r="L373" s="21">
        <v>160020</v>
      </c>
      <c r="M373" s="21" t="s">
        <v>174</v>
      </c>
      <c r="N373" s="21" t="s">
        <v>1383</v>
      </c>
      <c r="O373" s="2"/>
      <c r="P373" s="2"/>
      <c r="Q373" s="197"/>
    </row>
    <row r="374" spans="1:17" ht="15" customHeight="1">
      <c r="A374" s="196">
        <v>695</v>
      </c>
      <c r="B374" s="71">
        <v>44100</v>
      </c>
      <c r="C374" s="2" t="s">
        <v>38</v>
      </c>
      <c r="D374" s="2" t="s">
        <v>1378</v>
      </c>
      <c r="E374" s="2"/>
      <c r="F374" s="2" t="s">
        <v>1242</v>
      </c>
      <c r="G374" s="72"/>
      <c r="H374" s="72" t="s">
        <v>1315</v>
      </c>
      <c r="I374" s="72"/>
      <c r="J374" s="72">
        <v>7.15</v>
      </c>
      <c r="K374" s="21">
        <v>294</v>
      </c>
      <c r="L374" s="21">
        <v>1630</v>
      </c>
      <c r="M374" s="21">
        <v>297</v>
      </c>
      <c r="N374" s="21" t="s">
        <v>1384</v>
      </c>
      <c r="O374" s="2"/>
      <c r="P374" s="2"/>
      <c r="Q374" s="197"/>
    </row>
    <row r="375" spans="1:17" ht="15" customHeight="1">
      <c r="A375" s="196">
        <v>694</v>
      </c>
      <c r="B375" s="71">
        <v>44099</v>
      </c>
      <c r="C375" s="2" t="s">
        <v>105</v>
      </c>
      <c r="D375" s="2" t="s">
        <v>1378</v>
      </c>
      <c r="E375" s="2"/>
      <c r="F375" s="2" t="s">
        <v>1242</v>
      </c>
      <c r="G375" s="72"/>
      <c r="H375" s="72" t="s">
        <v>1334</v>
      </c>
      <c r="I375" s="72"/>
      <c r="J375" s="72">
        <v>6.85</v>
      </c>
      <c r="K375" s="21">
        <v>294</v>
      </c>
      <c r="L375" s="21">
        <v>1630</v>
      </c>
      <c r="M375" s="21">
        <v>295</v>
      </c>
      <c r="N375" s="21">
        <v>2060</v>
      </c>
      <c r="O375" s="2"/>
      <c r="P375" s="2"/>
      <c r="Q375" s="197"/>
    </row>
    <row r="376" spans="1:17" ht="15" customHeight="1">
      <c r="A376" s="196">
        <v>693</v>
      </c>
      <c r="B376" s="71">
        <v>44098</v>
      </c>
      <c r="C376" s="2" t="s">
        <v>38</v>
      </c>
      <c r="D376" s="2" t="s">
        <v>1254</v>
      </c>
      <c r="E376" s="2"/>
      <c r="F376" s="2">
        <v>7716</v>
      </c>
      <c r="G376" s="72"/>
      <c r="H376" s="72">
        <v>42.5</v>
      </c>
      <c r="I376" s="72"/>
      <c r="J376" s="72">
        <v>9.15</v>
      </c>
      <c r="K376" s="21" t="s">
        <v>1372</v>
      </c>
      <c r="L376" s="21" t="s">
        <v>1373</v>
      </c>
      <c r="M376" s="21" t="s">
        <v>143</v>
      </c>
      <c r="N376" s="21" t="s">
        <v>1374</v>
      </c>
      <c r="O376" s="2"/>
      <c r="P376" s="2"/>
      <c r="Q376" s="197"/>
    </row>
    <row r="377" spans="1:17" ht="15" customHeight="1">
      <c r="A377" s="196">
        <v>692</v>
      </c>
      <c r="B377" s="71">
        <v>44098</v>
      </c>
      <c r="C377" s="2" t="s">
        <v>38</v>
      </c>
      <c r="D377" s="2" t="s">
        <v>334</v>
      </c>
      <c r="E377" s="2"/>
      <c r="F377" s="2">
        <v>7716</v>
      </c>
      <c r="G377" s="72"/>
      <c r="H377" s="72">
        <v>42.5</v>
      </c>
      <c r="I377" s="72"/>
      <c r="J377" s="72">
        <v>8.1999999999999993</v>
      </c>
      <c r="K377" s="21" t="s">
        <v>1354</v>
      </c>
      <c r="L377" s="21" t="s">
        <v>1375</v>
      </c>
      <c r="M377" s="21" t="s">
        <v>1376</v>
      </c>
      <c r="N377" s="21" t="s">
        <v>1377</v>
      </c>
      <c r="O377" s="2"/>
      <c r="P377" s="2"/>
      <c r="Q377" s="197"/>
    </row>
    <row r="378" spans="1:17" ht="15" customHeight="1">
      <c r="A378" s="196">
        <v>691</v>
      </c>
      <c r="B378" s="71">
        <v>44093</v>
      </c>
      <c r="C378" s="2" t="s">
        <v>37</v>
      </c>
      <c r="D378" s="2" t="s">
        <v>649</v>
      </c>
      <c r="E378" s="2"/>
      <c r="F378" s="2">
        <v>752</v>
      </c>
      <c r="G378" s="72"/>
      <c r="H378" s="72">
        <v>42.5</v>
      </c>
      <c r="I378" s="72"/>
      <c r="J378" s="72">
        <v>7.15</v>
      </c>
      <c r="K378" s="21" t="s">
        <v>1388</v>
      </c>
      <c r="L378" s="21" t="s">
        <v>174</v>
      </c>
      <c r="M378" s="21"/>
      <c r="N378" s="21"/>
      <c r="O378" s="2"/>
      <c r="P378" s="2"/>
      <c r="Q378" s="197"/>
    </row>
    <row r="379" spans="1:17" ht="15" customHeight="1">
      <c r="A379" s="196">
        <v>690</v>
      </c>
      <c r="B379" s="71">
        <v>44091</v>
      </c>
      <c r="C379" s="2" t="s">
        <v>105</v>
      </c>
      <c r="D379" s="2" t="s">
        <v>1367</v>
      </c>
      <c r="E379" s="2"/>
      <c r="F379" s="2">
        <v>7199</v>
      </c>
      <c r="G379" s="72"/>
      <c r="H379" s="72">
        <v>35</v>
      </c>
      <c r="I379" s="72"/>
      <c r="J379" s="72">
        <v>5.85</v>
      </c>
      <c r="K379" s="21" t="s">
        <v>1368</v>
      </c>
      <c r="L379" s="21" t="s">
        <v>1369</v>
      </c>
      <c r="M379" s="21" t="s">
        <v>1370</v>
      </c>
      <c r="N379" s="21" t="s">
        <v>1371</v>
      </c>
      <c r="O379" s="2"/>
      <c r="P379" s="2"/>
      <c r="Q379" s="197"/>
    </row>
    <row r="380" spans="1:17" ht="15" customHeight="1">
      <c r="A380" s="196">
        <v>689</v>
      </c>
      <c r="B380" s="71">
        <v>44091</v>
      </c>
      <c r="C380" s="2" t="s">
        <v>37</v>
      </c>
      <c r="D380" s="2" t="s">
        <v>1367</v>
      </c>
      <c r="E380" s="2"/>
      <c r="F380" s="2">
        <v>7199</v>
      </c>
      <c r="G380" s="72"/>
      <c r="H380" s="72">
        <v>35</v>
      </c>
      <c r="I380" s="72"/>
      <c r="J380" s="72">
        <v>6</v>
      </c>
      <c r="K380" s="21">
        <v>284</v>
      </c>
      <c r="L380" s="21">
        <v>1500</v>
      </c>
      <c r="M380" s="21">
        <v>1950</v>
      </c>
      <c r="N380" s="21">
        <v>285</v>
      </c>
      <c r="O380" s="2"/>
      <c r="P380" s="2"/>
      <c r="Q380" s="197"/>
    </row>
    <row r="381" spans="1:17" ht="15" customHeight="1">
      <c r="A381" s="196">
        <v>688</v>
      </c>
      <c r="B381" s="71">
        <v>44090</v>
      </c>
      <c r="C381" s="2" t="s">
        <v>38</v>
      </c>
      <c r="D381" s="2" t="s">
        <v>1367</v>
      </c>
      <c r="E381" s="2"/>
      <c r="F381" s="2">
        <v>7199</v>
      </c>
      <c r="G381" s="72"/>
      <c r="H381" s="72">
        <v>35</v>
      </c>
      <c r="I381" s="72"/>
      <c r="J381" s="72">
        <v>6.1</v>
      </c>
      <c r="K381" s="21">
        <v>284</v>
      </c>
      <c r="L381" s="21">
        <v>1540</v>
      </c>
      <c r="M381" s="21">
        <v>286</v>
      </c>
      <c r="N381" s="21">
        <v>1895</v>
      </c>
      <c r="O381" s="2"/>
      <c r="P381" s="2"/>
      <c r="Q381" s="197"/>
    </row>
    <row r="382" spans="1:17" ht="15" customHeight="1">
      <c r="A382" s="196">
        <v>687</v>
      </c>
      <c r="B382" s="71">
        <v>44090</v>
      </c>
      <c r="C382" s="2" t="s">
        <v>38</v>
      </c>
      <c r="D382" s="2" t="s">
        <v>1367</v>
      </c>
      <c r="E382" s="2"/>
      <c r="F382" s="2">
        <v>7199</v>
      </c>
      <c r="G382" s="72"/>
      <c r="H382" s="72">
        <v>35</v>
      </c>
      <c r="I382" s="72"/>
      <c r="J382" s="72">
        <v>5.95</v>
      </c>
      <c r="K382" s="21">
        <v>284</v>
      </c>
      <c r="L382" s="21">
        <v>1615</v>
      </c>
      <c r="M382" s="21">
        <v>285</v>
      </c>
      <c r="N382" s="21">
        <v>1960</v>
      </c>
      <c r="O382" s="2"/>
      <c r="P382" s="2"/>
      <c r="Q382" s="197"/>
    </row>
    <row r="383" spans="1:17" ht="15" customHeight="1">
      <c r="A383" s="196">
        <v>686</v>
      </c>
      <c r="B383" s="71">
        <v>44090</v>
      </c>
      <c r="C383" s="2" t="s">
        <v>38</v>
      </c>
      <c r="D383" s="2" t="s">
        <v>1307</v>
      </c>
      <c r="E383" s="2"/>
      <c r="F383" s="2">
        <v>7718</v>
      </c>
      <c r="G383" s="72"/>
      <c r="H383" s="72">
        <v>35</v>
      </c>
      <c r="I383" s="72"/>
      <c r="J383" s="72">
        <v>8</v>
      </c>
      <c r="K383" s="21">
        <v>207</v>
      </c>
      <c r="L383" s="21"/>
      <c r="M383" s="21">
        <v>209</v>
      </c>
      <c r="N383" s="21"/>
      <c r="O383" s="2"/>
      <c r="P383" s="2"/>
      <c r="Q383" s="197"/>
    </row>
    <row r="384" spans="1:17" ht="15" customHeight="1">
      <c r="A384" s="196">
        <v>685</v>
      </c>
      <c r="B384" s="71">
        <v>44089</v>
      </c>
      <c r="C384" s="2" t="s">
        <v>38</v>
      </c>
      <c r="D384" s="2" t="s">
        <v>1364</v>
      </c>
      <c r="E384" s="2"/>
      <c r="F384" s="2">
        <v>7199</v>
      </c>
      <c r="G384" s="72"/>
      <c r="H384" s="72">
        <v>35</v>
      </c>
      <c r="I384" s="72"/>
      <c r="J384" s="72">
        <v>9.8000000000000007</v>
      </c>
      <c r="K384" s="21">
        <v>209</v>
      </c>
      <c r="L384" s="21">
        <v>920</v>
      </c>
      <c r="M384" s="21">
        <v>210</v>
      </c>
      <c r="N384" s="21">
        <v>1190</v>
      </c>
      <c r="O384" s="2"/>
      <c r="P384" s="2"/>
      <c r="Q384" s="197"/>
    </row>
    <row r="385" spans="1:17" ht="15" customHeight="1">
      <c r="A385" s="196">
        <v>684</v>
      </c>
      <c r="B385" s="71">
        <v>44089</v>
      </c>
      <c r="C385" s="2" t="s">
        <v>38</v>
      </c>
      <c r="D385" s="2" t="s">
        <v>119</v>
      </c>
      <c r="E385" s="2"/>
      <c r="F385" s="2" t="s">
        <v>1365</v>
      </c>
      <c r="G385" s="72"/>
      <c r="H385" s="72" t="s">
        <v>1366</v>
      </c>
      <c r="I385" s="72"/>
      <c r="J385" s="72">
        <v>6.9</v>
      </c>
      <c r="K385" s="21">
        <v>294</v>
      </c>
      <c r="L385" s="21">
        <v>1680</v>
      </c>
      <c r="M385" s="21">
        <v>296</v>
      </c>
      <c r="N385" s="21">
        <v>2110</v>
      </c>
      <c r="O385" s="2"/>
      <c r="P385" s="2"/>
      <c r="Q385" s="197"/>
    </row>
    <row r="386" spans="1:17" ht="15" customHeight="1">
      <c r="A386" s="196">
        <v>683</v>
      </c>
      <c r="B386" s="71">
        <v>44086</v>
      </c>
      <c r="C386" s="2" t="s">
        <v>105</v>
      </c>
      <c r="D386" s="2" t="s">
        <v>365</v>
      </c>
      <c r="E386" s="2"/>
      <c r="F386" s="2">
        <v>736</v>
      </c>
      <c r="G386" s="72"/>
      <c r="H386" s="72">
        <v>46.7</v>
      </c>
      <c r="I386" s="72"/>
      <c r="J386" s="72">
        <v>7.65</v>
      </c>
      <c r="K386" s="21">
        <v>294</v>
      </c>
      <c r="L386" s="21">
        <v>1800</v>
      </c>
      <c r="M386" s="21">
        <v>292</v>
      </c>
      <c r="N386" s="21">
        <v>2370</v>
      </c>
      <c r="O386" s="2"/>
      <c r="P386" s="2"/>
      <c r="Q386" s="197"/>
    </row>
    <row r="387" spans="1:17" ht="15" customHeight="1">
      <c r="A387" s="196">
        <v>682</v>
      </c>
      <c r="B387" s="71">
        <v>44085</v>
      </c>
      <c r="C387" s="2" t="s">
        <v>105</v>
      </c>
      <c r="D387" s="2" t="s">
        <v>340</v>
      </c>
      <c r="E387" s="2"/>
      <c r="F387" s="2">
        <v>7716</v>
      </c>
      <c r="G387" s="72"/>
      <c r="H387" s="72">
        <v>42.5</v>
      </c>
      <c r="I387" s="72"/>
      <c r="J387" s="72">
        <v>10.7</v>
      </c>
      <c r="K387" s="21">
        <v>248</v>
      </c>
      <c r="L387" s="21">
        <v>1030</v>
      </c>
      <c r="M387" s="21">
        <v>249</v>
      </c>
      <c r="N387" s="21">
        <v>1370</v>
      </c>
      <c r="O387" s="2"/>
      <c r="P387" s="2"/>
      <c r="Q387" s="197"/>
    </row>
    <row r="388" spans="1:17" ht="15" customHeight="1">
      <c r="A388" s="196">
        <v>681</v>
      </c>
      <c r="B388" s="71">
        <v>44085</v>
      </c>
      <c r="C388" s="2" t="s">
        <v>105</v>
      </c>
      <c r="D388" s="2" t="s">
        <v>345</v>
      </c>
      <c r="E388" s="2"/>
      <c r="F388" s="2">
        <v>7716</v>
      </c>
      <c r="G388" s="72"/>
      <c r="H388" s="72">
        <v>42.5</v>
      </c>
      <c r="I388" s="72"/>
      <c r="J388" s="72">
        <v>9.5</v>
      </c>
      <c r="K388" s="21">
        <v>238</v>
      </c>
      <c r="L388" s="21">
        <v>1190</v>
      </c>
      <c r="M388" s="21">
        <v>243</v>
      </c>
      <c r="N388" s="21">
        <v>1680</v>
      </c>
      <c r="O388" s="2"/>
      <c r="P388" s="2"/>
      <c r="Q388" s="197"/>
    </row>
    <row r="389" spans="1:17" ht="15" customHeight="1">
      <c r="A389" s="196">
        <v>680</v>
      </c>
      <c r="B389" s="71">
        <v>44085</v>
      </c>
      <c r="C389" s="2" t="s">
        <v>105</v>
      </c>
      <c r="D389" s="2" t="s">
        <v>360</v>
      </c>
      <c r="E389" s="2"/>
      <c r="F389" s="2">
        <v>736</v>
      </c>
      <c r="G389" s="72"/>
      <c r="H389" s="72">
        <v>46.7</v>
      </c>
      <c r="I389" s="72"/>
      <c r="J389" s="72">
        <v>10.5</v>
      </c>
      <c r="K389" s="21">
        <v>245</v>
      </c>
      <c r="L389" s="21">
        <v>1310</v>
      </c>
      <c r="M389" s="21">
        <v>244</v>
      </c>
      <c r="N389" s="21">
        <v>1600</v>
      </c>
      <c r="O389" s="2"/>
      <c r="P389" s="2"/>
      <c r="Q389" s="197"/>
    </row>
    <row r="390" spans="1:17" ht="15" customHeight="1">
      <c r="A390" s="196">
        <v>679</v>
      </c>
      <c r="B390" s="71">
        <v>44085</v>
      </c>
      <c r="C390" s="2" t="s">
        <v>105</v>
      </c>
      <c r="D390" s="2" t="s">
        <v>365</v>
      </c>
      <c r="E390" s="2"/>
      <c r="F390" s="2">
        <v>736</v>
      </c>
      <c r="G390" s="72"/>
      <c r="H390" s="72"/>
      <c r="I390" s="72"/>
      <c r="J390" s="72"/>
      <c r="K390" s="21"/>
      <c r="L390" s="21"/>
      <c r="M390" s="21"/>
      <c r="N390" s="21"/>
      <c r="O390" s="2"/>
      <c r="P390" s="2"/>
      <c r="Q390" s="197"/>
    </row>
    <row r="391" spans="1:17" ht="15" customHeight="1">
      <c r="A391" s="196">
        <v>678</v>
      </c>
      <c r="B391" s="71">
        <v>44084</v>
      </c>
      <c r="C391" s="2" t="s">
        <v>105</v>
      </c>
      <c r="D391" s="2" t="s">
        <v>340</v>
      </c>
      <c r="E391" s="2"/>
      <c r="F391" s="2">
        <v>7716</v>
      </c>
      <c r="G391" s="72"/>
      <c r="H391" s="72">
        <v>42.5</v>
      </c>
      <c r="I391" s="72"/>
      <c r="J391" s="72">
        <v>10.45</v>
      </c>
      <c r="K391" s="21">
        <v>249</v>
      </c>
      <c r="L391" s="21">
        <v>1068</v>
      </c>
      <c r="M391" s="21">
        <v>250</v>
      </c>
      <c r="N391" s="21"/>
      <c r="O391" s="2"/>
      <c r="P391" s="2"/>
      <c r="Q391" s="197"/>
    </row>
    <row r="392" spans="1:17" ht="15" customHeight="1">
      <c r="A392" s="196">
        <v>677</v>
      </c>
      <c r="B392" s="71">
        <v>44084</v>
      </c>
      <c r="C392" s="2" t="s">
        <v>105</v>
      </c>
      <c r="D392" s="2" t="s">
        <v>360</v>
      </c>
      <c r="E392" s="2"/>
      <c r="F392" s="2">
        <v>736</v>
      </c>
      <c r="G392" s="72"/>
      <c r="H392" s="72">
        <v>30</v>
      </c>
      <c r="I392" s="72"/>
      <c r="J392" s="72">
        <v>6.45</v>
      </c>
      <c r="K392" s="21">
        <v>246</v>
      </c>
      <c r="L392" s="21">
        <v>1330</v>
      </c>
      <c r="M392" s="21">
        <v>244</v>
      </c>
      <c r="N392" s="21"/>
      <c r="O392" s="2"/>
      <c r="P392" s="2"/>
      <c r="Q392" s="197"/>
    </row>
    <row r="393" spans="1:17" ht="15" customHeight="1">
      <c r="A393" s="196">
        <v>676</v>
      </c>
      <c r="B393" s="71">
        <v>44083</v>
      </c>
      <c r="C393" s="2" t="s">
        <v>105</v>
      </c>
      <c r="D393" s="2" t="s">
        <v>360</v>
      </c>
      <c r="E393" s="2"/>
      <c r="F393" s="2">
        <v>736</v>
      </c>
      <c r="G393" s="72"/>
      <c r="H393" s="72">
        <v>42.5</v>
      </c>
      <c r="I393" s="72"/>
      <c r="J393" s="72">
        <v>9.3000000000000007</v>
      </c>
      <c r="K393" s="21">
        <v>245</v>
      </c>
      <c r="L393" s="21">
        <v>1230</v>
      </c>
      <c r="M393" s="21"/>
      <c r="N393" s="21"/>
      <c r="O393" s="2"/>
      <c r="P393" s="2"/>
      <c r="Q393" s="197"/>
    </row>
    <row r="394" spans="1:17" ht="15" customHeight="1">
      <c r="A394" s="196">
        <v>675</v>
      </c>
      <c r="B394" s="71">
        <v>44083</v>
      </c>
      <c r="C394" s="2" t="s">
        <v>105</v>
      </c>
      <c r="D394" s="2" t="s">
        <v>365</v>
      </c>
      <c r="E394" s="2"/>
      <c r="F394" s="2">
        <v>736</v>
      </c>
      <c r="G394" s="72"/>
      <c r="H394" s="72">
        <v>42.5</v>
      </c>
      <c r="I394" s="72"/>
      <c r="J394" s="72"/>
      <c r="K394" s="21"/>
      <c r="L394" s="21"/>
      <c r="M394" s="21"/>
      <c r="N394" s="21"/>
      <c r="O394" s="2"/>
      <c r="P394" s="2"/>
      <c r="Q394" s="197"/>
    </row>
    <row r="395" spans="1:17" ht="15" customHeight="1">
      <c r="A395" s="196">
        <v>674</v>
      </c>
      <c r="B395" s="71">
        <v>44082</v>
      </c>
      <c r="C395" s="2" t="s">
        <v>37</v>
      </c>
      <c r="D395" s="2" t="s">
        <v>1317</v>
      </c>
      <c r="E395" s="2"/>
      <c r="F395" s="2">
        <v>7716</v>
      </c>
      <c r="G395" s="72"/>
      <c r="H395" s="72">
        <v>42.5</v>
      </c>
      <c r="I395" s="72"/>
      <c r="J395" s="72">
        <v>11.5</v>
      </c>
      <c r="K395" s="21">
        <v>206</v>
      </c>
      <c r="L395" s="21">
        <v>955</v>
      </c>
      <c r="M395" s="21">
        <v>209</v>
      </c>
      <c r="N395" s="21">
        <v>1380</v>
      </c>
      <c r="O395" s="2"/>
      <c r="P395" s="2"/>
      <c r="Q395" s="197"/>
    </row>
    <row r="396" spans="1:17" ht="15" customHeight="1">
      <c r="A396" s="196">
        <v>673</v>
      </c>
      <c r="B396" s="71">
        <v>44082</v>
      </c>
      <c r="C396" s="2" t="s">
        <v>37</v>
      </c>
      <c r="D396" s="2" t="s">
        <v>1190</v>
      </c>
      <c r="E396" s="2"/>
      <c r="F396" s="2">
        <v>752</v>
      </c>
      <c r="G396" s="72"/>
      <c r="H396" s="72">
        <v>42.5</v>
      </c>
      <c r="I396" s="72"/>
      <c r="J396" s="72">
        <v>7.1</v>
      </c>
      <c r="K396" s="21">
        <v>293</v>
      </c>
      <c r="L396" s="21">
        <v>1785</v>
      </c>
      <c r="M396" s="21">
        <v>293</v>
      </c>
      <c r="N396" s="21">
        <v>2123</v>
      </c>
      <c r="O396" s="2"/>
      <c r="P396" s="2"/>
      <c r="Q396" s="197"/>
    </row>
    <row r="397" spans="1:17" ht="15" customHeight="1">
      <c r="A397" s="196">
        <v>672</v>
      </c>
      <c r="B397" s="71">
        <v>44082</v>
      </c>
      <c r="C397" s="2" t="s">
        <v>37</v>
      </c>
      <c r="D397" s="2" t="s">
        <v>360</v>
      </c>
      <c r="E397" s="2"/>
      <c r="F397" s="2">
        <v>736</v>
      </c>
      <c r="G397" s="72"/>
      <c r="H397" s="72">
        <v>42.5</v>
      </c>
      <c r="I397" s="72"/>
      <c r="J397" s="72">
        <v>10</v>
      </c>
      <c r="K397" s="21"/>
      <c r="L397" s="21"/>
      <c r="M397" s="21"/>
      <c r="N397" s="21"/>
      <c r="O397" s="2"/>
      <c r="P397" s="2"/>
      <c r="Q397" s="197"/>
    </row>
    <row r="398" spans="1:17" ht="15" customHeight="1">
      <c r="A398" s="196">
        <v>671</v>
      </c>
      <c r="B398" s="71">
        <v>44082</v>
      </c>
      <c r="C398" s="2" t="s">
        <v>37</v>
      </c>
      <c r="D398" s="2" t="s">
        <v>365</v>
      </c>
      <c r="E398" s="2"/>
      <c r="F398" s="2">
        <v>736</v>
      </c>
      <c r="G398" s="72"/>
      <c r="H398" s="72">
        <v>42.5</v>
      </c>
      <c r="I398" s="72"/>
      <c r="J398" s="72">
        <v>5.9</v>
      </c>
      <c r="K398" s="21"/>
      <c r="L398" s="21"/>
      <c r="M398" s="21">
        <v>286</v>
      </c>
      <c r="N398" s="21"/>
      <c r="O398" s="2"/>
      <c r="P398" s="2"/>
      <c r="Q398" s="197"/>
    </row>
    <row r="399" spans="1:17" ht="15" customHeight="1">
      <c r="A399" s="196">
        <v>670</v>
      </c>
      <c r="B399" s="71">
        <v>44082</v>
      </c>
      <c r="C399" s="2" t="s">
        <v>38</v>
      </c>
      <c r="D399" s="2" t="s">
        <v>360</v>
      </c>
      <c r="E399" s="2"/>
      <c r="F399" s="2">
        <v>736</v>
      </c>
      <c r="G399" s="72"/>
      <c r="H399" s="72">
        <v>42.5</v>
      </c>
      <c r="I399" s="72"/>
      <c r="J399" s="72">
        <v>10</v>
      </c>
      <c r="K399" s="21" t="s">
        <v>1362</v>
      </c>
      <c r="L399" s="21">
        <v>1235</v>
      </c>
      <c r="M399" s="21">
        <v>245</v>
      </c>
      <c r="N399" s="21">
        <v>1475</v>
      </c>
      <c r="O399" s="2"/>
      <c r="P399" s="2"/>
      <c r="Q399" s="197"/>
    </row>
    <row r="400" spans="1:17" ht="15" customHeight="1">
      <c r="A400" s="196">
        <v>669</v>
      </c>
      <c r="B400" s="71">
        <v>44082</v>
      </c>
      <c r="C400" s="2" t="s">
        <v>38</v>
      </c>
      <c r="D400" s="2" t="s">
        <v>365</v>
      </c>
      <c r="E400" s="2"/>
      <c r="F400" s="2">
        <v>736</v>
      </c>
      <c r="G400" s="72"/>
      <c r="H400" s="72">
        <v>42.5</v>
      </c>
      <c r="I400" s="72"/>
      <c r="J400" s="72">
        <v>5.85</v>
      </c>
      <c r="K400" s="21">
        <v>290</v>
      </c>
      <c r="L400" s="21">
        <v>2135</v>
      </c>
      <c r="M400" s="21" t="s">
        <v>1363</v>
      </c>
      <c r="N400" s="21"/>
      <c r="O400" s="2"/>
      <c r="P400" s="2"/>
      <c r="Q400" s="197"/>
    </row>
    <row r="401" spans="1:17" ht="15" customHeight="1">
      <c r="A401" s="196">
        <v>668</v>
      </c>
      <c r="B401" s="71">
        <v>44081</v>
      </c>
      <c r="C401" s="2" t="s">
        <v>37</v>
      </c>
      <c r="D401" s="2" t="s">
        <v>360</v>
      </c>
      <c r="E401" s="2"/>
      <c r="F401" s="2">
        <v>736</v>
      </c>
      <c r="G401" s="72"/>
      <c r="H401" s="72">
        <v>4.5</v>
      </c>
      <c r="I401" s="72"/>
      <c r="J401" s="72">
        <v>9.1999999999999993</v>
      </c>
      <c r="K401" s="21"/>
      <c r="L401" s="21"/>
      <c r="M401" s="21"/>
      <c r="N401" s="21"/>
      <c r="O401" s="2"/>
      <c r="P401" s="2"/>
      <c r="Q401" s="197"/>
    </row>
    <row r="402" spans="1:17" ht="15" customHeight="1">
      <c r="A402" s="196">
        <v>667</v>
      </c>
      <c r="B402" s="71">
        <v>44081</v>
      </c>
      <c r="C402" s="2" t="s">
        <v>37</v>
      </c>
      <c r="D402" s="2" t="s">
        <v>365</v>
      </c>
      <c r="E402" s="2"/>
      <c r="F402" s="2">
        <v>736</v>
      </c>
      <c r="G402" s="72"/>
      <c r="H402" s="72">
        <v>4.5</v>
      </c>
      <c r="I402" s="72"/>
      <c r="J402" s="72">
        <v>6</v>
      </c>
      <c r="K402" s="21"/>
      <c r="L402" s="21"/>
      <c r="M402" s="21"/>
      <c r="N402" s="21"/>
      <c r="O402" s="2"/>
      <c r="P402" s="2"/>
      <c r="Q402" s="197"/>
    </row>
    <row r="403" spans="1:17" ht="15" customHeight="1">
      <c r="A403" s="196">
        <v>666</v>
      </c>
      <c r="B403" s="71">
        <v>44081</v>
      </c>
      <c r="C403" s="2" t="s">
        <v>38</v>
      </c>
      <c r="D403" s="2" t="s">
        <v>365</v>
      </c>
      <c r="E403" s="2"/>
      <c r="F403" s="2">
        <v>736</v>
      </c>
      <c r="G403" s="72"/>
      <c r="H403" s="72">
        <v>42.5</v>
      </c>
      <c r="I403" s="72"/>
      <c r="J403" s="72">
        <v>10.9</v>
      </c>
      <c r="K403" s="21" t="s">
        <v>1361</v>
      </c>
      <c r="L403" s="21"/>
      <c r="M403" s="21">
        <v>244</v>
      </c>
      <c r="N403" s="21"/>
      <c r="O403" s="2"/>
      <c r="P403" s="2"/>
      <c r="Q403" s="197"/>
    </row>
    <row r="404" spans="1:17" ht="15" customHeight="1">
      <c r="A404" s="196">
        <v>665</v>
      </c>
      <c r="B404" s="71">
        <v>44081</v>
      </c>
      <c r="C404" s="2" t="s">
        <v>38</v>
      </c>
      <c r="D404" s="2" t="s">
        <v>360</v>
      </c>
      <c r="E404" s="2"/>
      <c r="F404" s="2">
        <v>736</v>
      </c>
      <c r="G404" s="72"/>
      <c r="H404" s="72">
        <v>42.5</v>
      </c>
      <c r="I404" s="72"/>
      <c r="J404" s="72">
        <v>6.3</v>
      </c>
      <c r="K404" s="21">
        <v>288</v>
      </c>
      <c r="L404" s="21"/>
      <c r="M404" s="21">
        <v>287</v>
      </c>
      <c r="N404" s="21"/>
      <c r="O404" s="2"/>
      <c r="P404" s="2"/>
      <c r="Q404" s="197"/>
    </row>
    <row r="405" spans="1:17" ht="15" customHeight="1">
      <c r="A405" s="196">
        <v>664</v>
      </c>
      <c r="B405" s="206">
        <v>44079</v>
      </c>
      <c r="C405" s="2" t="s">
        <v>105</v>
      </c>
      <c r="D405" s="2" t="s">
        <v>1353</v>
      </c>
      <c r="E405" s="2"/>
      <c r="F405" s="2">
        <v>7716</v>
      </c>
      <c r="G405" s="72"/>
      <c r="H405" s="72">
        <v>42.5</v>
      </c>
      <c r="I405" s="72"/>
      <c r="J405" s="72">
        <v>9.85</v>
      </c>
      <c r="K405" s="21">
        <v>234</v>
      </c>
      <c r="L405" s="21" t="s">
        <v>1358</v>
      </c>
      <c r="M405" s="21" t="s">
        <v>1359</v>
      </c>
      <c r="N405" s="21" t="s">
        <v>1360</v>
      </c>
      <c r="O405" s="2"/>
      <c r="P405" s="2"/>
      <c r="Q405" s="197"/>
    </row>
    <row r="406" spans="1:17" ht="15" customHeight="1">
      <c r="A406" s="196">
        <v>663</v>
      </c>
      <c r="B406" s="206">
        <v>44079</v>
      </c>
      <c r="C406" s="2" t="s">
        <v>105</v>
      </c>
      <c r="D406" s="2" t="s">
        <v>1356</v>
      </c>
      <c r="E406" s="2"/>
      <c r="F406" s="2">
        <v>7316</v>
      </c>
      <c r="G406" s="72"/>
      <c r="H406" s="72">
        <v>42.5</v>
      </c>
      <c r="I406" s="72"/>
      <c r="J406" s="72">
        <v>10.1</v>
      </c>
      <c r="K406" s="21" t="s">
        <v>1357</v>
      </c>
      <c r="L406" s="21">
        <v>1110</v>
      </c>
      <c r="M406" s="21">
        <v>236</v>
      </c>
      <c r="N406" s="21">
        <v>1665</v>
      </c>
      <c r="O406" s="2"/>
      <c r="P406" s="2"/>
      <c r="Q406" s="197"/>
    </row>
    <row r="407" spans="1:17" ht="15" customHeight="1">
      <c r="A407" s="196">
        <v>662</v>
      </c>
      <c r="B407" s="71">
        <v>44077</v>
      </c>
      <c r="C407" s="2" t="s">
        <v>105</v>
      </c>
      <c r="D407" s="2" t="s">
        <v>1353</v>
      </c>
      <c r="E407" s="2"/>
      <c r="F407" s="2">
        <v>7716</v>
      </c>
      <c r="G407" s="72"/>
      <c r="H407" s="72">
        <v>42.5</v>
      </c>
      <c r="I407" s="72"/>
      <c r="J407" s="72">
        <v>10</v>
      </c>
      <c r="K407" s="21" t="s">
        <v>1354</v>
      </c>
      <c r="L407" s="21">
        <v>1080</v>
      </c>
      <c r="M407" s="21" t="s">
        <v>1355</v>
      </c>
      <c r="N407" s="21">
        <v>1670</v>
      </c>
      <c r="O407" s="2"/>
      <c r="P407" s="2"/>
      <c r="Q407" s="197"/>
    </row>
    <row r="408" spans="1:17" ht="15" customHeight="1">
      <c r="A408" s="196">
        <v>661</v>
      </c>
      <c r="B408" s="71">
        <v>44077</v>
      </c>
      <c r="C408" s="2" t="s">
        <v>105</v>
      </c>
      <c r="D408" s="2" t="s">
        <v>1356</v>
      </c>
      <c r="E408" s="2"/>
      <c r="F408" s="2">
        <v>7316</v>
      </c>
      <c r="G408" s="72"/>
      <c r="H408" s="72">
        <v>42.5</v>
      </c>
      <c r="I408" s="72"/>
      <c r="J408" s="72">
        <v>10.199999999999999</v>
      </c>
      <c r="K408" s="21" t="s">
        <v>1357</v>
      </c>
      <c r="L408" s="21"/>
      <c r="M408" s="21">
        <v>236</v>
      </c>
      <c r="N408" s="21">
        <v>1690</v>
      </c>
      <c r="O408" s="2"/>
      <c r="P408" s="2"/>
      <c r="Q408" s="197"/>
    </row>
    <row r="409" spans="1:17" ht="15" customHeight="1">
      <c r="A409" s="196">
        <v>660</v>
      </c>
      <c r="B409" s="71">
        <v>44077</v>
      </c>
      <c r="C409" s="2" t="s">
        <v>38</v>
      </c>
      <c r="D409" s="2" t="s">
        <v>1353</v>
      </c>
      <c r="E409" s="2"/>
      <c r="F409" s="2">
        <v>7716</v>
      </c>
      <c r="G409" s="72"/>
      <c r="H409" s="72">
        <v>42.5</v>
      </c>
      <c r="I409" s="72"/>
      <c r="J409" s="72">
        <v>9.9499999999999993</v>
      </c>
      <c r="K409" s="21" t="s">
        <v>169</v>
      </c>
      <c r="L409" s="21">
        <v>1100</v>
      </c>
      <c r="M409" s="21">
        <v>241</v>
      </c>
      <c r="N409" s="21">
        <v>1712</v>
      </c>
      <c r="O409" s="2"/>
      <c r="P409" s="2"/>
      <c r="Q409" s="197"/>
    </row>
    <row r="410" spans="1:17" ht="15" customHeight="1">
      <c r="A410" s="196">
        <v>659</v>
      </c>
      <c r="B410" s="71">
        <v>44077</v>
      </c>
      <c r="C410" s="2" t="s">
        <v>38</v>
      </c>
      <c r="D410" s="2" t="s">
        <v>1356</v>
      </c>
      <c r="E410" s="2"/>
      <c r="F410" s="2">
        <v>7316</v>
      </c>
      <c r="G410" s="72"/>
      <c r="H410" s="72">
        <v>42.5</v>
      </c>
      <c r="I410" s="72"/>
      <c r="J410" s="72">
        <v>10.1</v>
      </c>
      <c r="K410" s="21">
        <v>226</v>
      </c>
      <c r="L410" s="21">
        <v>1130</v>
      </c>
      <c r="M410" s="21">
        <v>235</v>
      </c>
      <c r="N410" s="21">
        <v>1645</v>
      </c>
      <c r="O410" s="2"/>
      <c r="P410" s="2"/>
      <c r="Q410" s="197"/>
    </row>
    <row r="411" spans="1:17" ht="15" customHeight="1">
      <c r="A411" s="196">
        <v>658</v>
      </c>
      <c r="B411" s="71">
        <v>44076</v>
      </c>
      <c r="C411" s="2" t="s">
        <v>105</v>
      </c>
      <c r="D411" s="2" t="s">
        <v>1340</v>
      </c>
      <c r="E411" s="2"/>
      <c r="F411" s="2">
        <v>752</v>
      </c>
      <c r="G411" s="72"/>
      <c r="H411" s="72">
        <v>42.5</v>
      </c>
      <c r="I411" s="72"/>
      <c r="J411" s="72">
        <v>11.55</v>
      </c>
      <c r="K411" s="21">
        <v>1033</v>
      </c>
      <c r="L411" s="21" t="s">
        <v>1344</v>
      </c>
      <c r="M411" s="21">
        <v>193</v>
      </c>
      <c r="N411" s="21" t="s">
        <v>1351</v>
      </c>
      <c r="O411" s="2"/>
      <c r="P411" s="2"/>
      <c r="Q411" s="197"/>
    </row>
    <row r="412" spans="1:17" ht="15" customHeight="1">
      <c r="A412" s="196">
        <v>657</v>
      </c>
      <c r="B412" s="71">
        <v>44076</v>
      </c>
      <c r="C412" s="2" t="s">
        <v>105</v>
      </c>
      <c r="D412" s="2" t="s">
        <v>1190</v>
      </c>
      <c r="E412" s="2"/>
      <c r="F412" s="2">
        <v>752</v>
      </c>
      <c r="G412" s="72"/>
      <c r="H412" s="72">
        <v>42.5</v>
      </c>
      <c r="I412" s="72"/>
      <c r="J412" s="72">
        <v>7</v>
      </c>
      <c r="K412" s="21">
        <v>295</v>
      </c>
      <c r="L412" s="21">
        <v>1770</v>
      </c>
      <c r="M412" s="21">
        <v>295</v>
      </c>
      <c r="N412" s="21" t="s">
        <v>1352</v>
      </c>
      <c r="O412" s="2"/>
      <c r="P412" s="2"/>
      <c r="Q412" s="197"/>
    </row>
    <row r="413" spans="1:17" ht="15" customHeight="1">
      <c r="A413" s="196">
        <v>656</v>
      </c>
      <c r="B413" s="71">
        <v>44075</v>
      </c>
      <c r="C413" s="2" t="s">
        <v>38</v>
      </c>
      <c r="D413" s="2" t="s">
        <v>1350</v>
      </c>
      <c r="E413" s="2"/>
      <c r="F413" s="2">
        <v>7316</v>
      </c>
      <c r="G413" s="72"/>
      <c r="H413" s="72">
        <v>42.5</v>
      </c>
      <c r="I413" s="72"/>
      <c r="J413" s="72">
        <v>9.35</v>
      </c>
      <c r="K413" s="21">
        <v>24</v>
      </c>
      <c r="L413" s="21">
        <v>1265</v>
      </c>
      <c r="M413" s="21">
        <v>245</v>
      </c>
      <c r="N413" s="21">
        <v>170</v>
      </c>
      <c r="O413" s="2"/>
      <c r="P413" s="2"/>
      <c r="Q413" s="197"/>
    </row>
    <row r="414" spans="1:17" ht="15" customHeight="1">
      <c r="A414" s="196">
        <v>655</v>
      </c>
      <c r="B414" s="71">
        <v>44075</v>
      </c>
      <c r="C414" s="2" t="s">
        <v>105</v>
      </c>
      <c r="D414" s="2" t="s">
        <v>1290</v>
      </c>
      <c r="E414" s="2"/>
      <c r="F414" s="2">
        <v>7199</v>
      </c>
      <c r="G414" s="72"/>
      <c r="H414" s="72">
        <v>35</v>
      </c>
      <c r="I414" s="72"/>
      <c r="J414" s="72">
        <v>5.55</v>
      </c>
      <c r="K414" s="21" t="s">
        <v>1348</v>
      </c>
      <c r="L414" s="21">
        <v>1685</v>
      </c>
      <c r="M414" s="21" t="s">
        <v>1296</v>
      </c>
      <c r="N414" s="21" t="s">
        <v>1349</v>
      </c>
      <c r="O414" s="2"/>
      <c r="P414" s="2"/>
      <c r="Q414" s="197"/>
    </row>
    <row r="415" spans="1:17" ht="15" customHeight="1">
      <c r="A415" s="196">
        <v>654</v>
      </c>
      <c r="B415" s="71">
        <v>44075</v>
      </c>
      <c r="C415" s="2" t="s">
        <v>38</v>
      </c>
      <c r="D415" s="2" t="s">
        <v>340</v>
      </c>
      <c r="E415" s="2"/>
      <c r="F415" s="2">
        <v>7716</v>
      </c>
      <c r="G415" s="72"/>
      <c r="H415" s="72">
        <v>42.5</v>
      </c>
      <c r="I415" s="72"/>
      <c r="J415" s="72">
        <v>10.55</v>
      </c>
      <c r="K415" s="21">
        <v>249</v>
      </c>
      <c r="L415" s="21">
        <v>1060</v>
      </c>
      <c r="M415" s="21">
        <v>249</v>
      </c>
      <c r="N415" s="21"/>
      <c r="O415" s="2"/>
      <c r="P415" s="2"/>
      <c r="Q415" s="197"/>
    </row>
    <row r="416" spans="1:17" ht="15" customHeight="1">
      <c r="A416" s="196">
        <v>653</v>
      </c>
      <c r="B416" s="71">
        <v>44074</v>
      </c>
      <c r="C416" s="2" t="s">
        <v>105</v>
      </c>
      <c r="D416" s="2" t="s">
        <v>1340</v>
      </c>
      <c r="E416" s="2"/>
      <c r="F416" s="2">
        <v>752</v>
      </c>
      <c r="G416" s="72"/>
      <c r="H416" s="72">
        <v>42.5</v>
      </c>
      <c r="I416" s="72"/>
      <c r="J416" s="72">
        <v>11.2</v>
      </c>
      <c r="K416" s="21">
        <v>192</v>
      </c>
      <c r="L416" s="21">
        <v>1100</v>
      </c>
      <c r="M416" s="21" t="s">
        <v>1344</v>
      </c>
      <c r="N416" s="21" t="s">
        <v>1345</v>
      </c>
      <c r="O416" s="2"/>
      <c r="P416" s="2"/>
      <c r="Q416" s="197"/>
    </row>
    <row r="417" spans="1:17" ht="15" customHeight="1">
      <c r="A417" s="196">
        <v>652</v>
      </c>
      <c r="B417" s="71">
        <v>44074</v>
      </c>
      <c r="C417" s="2" t="s">
        <v>105</v>
      </c>
      <c r="D417" s="2" t="s">
        <v>1190</v>
      </c>
      <c r="E417" s="2"/>
      <c r="F417" s="2">
        <v>752</v>
      </c>
      <c r="G417" s="72"/>
      <c r="H417" s="72">
        <v>42.5</v>
      </c>
      <c r="I417" s="72"/>
      <c r="J417" s="72">
        <v>7.05</v>
      </c>
      <c r="K417" s="21" t="s">
        <v>166</v>
      </c>
      <c r="L417" s="21" t="s">
        <v>1346</v>
      </c>
      <c r="M417" s="21">
        <v>294</v>
      </c>
      <c r="N417" s="21" t="s">
        <v>1347</v>
      </c>
      <c r="O417" s="2"/>
      <c r="P417" s="2"/>
      <c r="Q417" s="197"/>
    </row>
    <row r="418" spans="1:17" ht="15" customHeight="1">
      <c r="A418" s="196">
        <v>651</v>
      </c>
      <c r="B418" s="71">
        <v>44074</v>
      </c>
      <c r="C418" s="2" t="s">
        <v>105</v>
      </c>
      <c r="D418" s="2" t="s">
        <v>340</v>
      </c>
      <c r="E418" s="2"/>
      <c r="F418" s="2">
        <v>7716</v>
      </c>
      <c r="G418" s="72"/>
      <c r="H418" s="72">
        <v>42.5</v>
      </c>
      <c r="I418" s="72"/>
      <c r="J418" s="72">
        <v>10.95</v>
      </c>
      <c r="K418" s="21">
        <v>249</v>
      </c>
      <c r="L418" s="21">
        <v>1070</v>
      </c>
      <c r="M418" s="21">
        <v>250</v>
      </c>
      <c r="N418" s="21">
        <v>1370</v>
      </c>
      <c r="O418" s="2"/>
      <c r="P418" s="2"/>
      <c r="Q418" s="197"/>
    </row>
    <row r="419" spans="1:17" ht="15" customHeight="1">
      <c r="A419" s="196">
        <v>650</v>
      </c>
      <c r="B419" s="71">
        <v>44074</v>
      </c>
      <c r="C419" s="2" t="s">
        <v>37</v>
      </c>
      <c r="D419" s="2" t="s">
        <v>1281</v>
      </c>
      <c r="E419" s="2"/>
      <c r="F419" s="2">
        <v>7199</v>
      </c>
      <c r="G419" s="72"/>
      <c r="H419" s="72">
        <v>35</v>
      </c>
      <c r="I419" s="72"/>
      <c r="J419" s="72">
        <v>9.25</v>
      </c>
      <c r="K419" s="21">
        <v>207</v>
      </c>
      <c r="L419" s="21">
        <v>965</v>
      </c>
      <c r="M419" s="21">
        <v>210</v>
      </c>
      <c r="N419" s="21">
        <v>1325</v>
      </c>
      <c r="O419" s="2"/>
      <c r="P419" s="2"/>
      <c r="Q419" s="197"/>
    </row>
    <row r="420" spans="1:17" ht="15" customHeight="1">
      <c r="A420" s="196">
        <v>649</v>
      </c>
      <c r="B420" s="71">
        <v>44074</v>
      </c>
      <c r="C420" s="2" t="s">
        <v>37</v>
      </c>
      <c r="D420" s="2" t="s">
        <v>1280</v>
      </c>
      <c r="E420" s="2"/>
      <c r="F420" s="2">
        <v>7199</v>
      </c>
      <c r="G420" s="72"/>
      <c r="H420" s="72">
        <v>35</v>
      </c>
      <c r="I420" s="72"/>
      <c r="J420" s="72">
        <v>5.8</v>
      </c>
      <c r="K420" s="21">
        <v>283</v>
      </c>
      <c r="L420" s="21">
        <v>1630</v>
      </c>
      <c r="M420" s="21">
        <v>284</v>
      </c>
      <c r="N420" s="21">
        <v>2035</v>
      </c>
      <c r="O420" s="2"/>
      <c r="P420" s="2"/>
      <c r="Q420" s="197"/>
    </row>
    <row r="421" spans="1:17" ht="15" customHeight="1">
      <c r="A421" s="196">
        <v>648</v>
      </c>
      <c r="B421" s="71">
        <v>44074</v>
      </c>
      <c r="C421" s="2" t="s">
        <v>38</v>
      </c>
      <c r="D421" s="2" t="s">
        <v>1275</v>
      </c>
      <c r="E421" s="2"/>
      <c r="F421" s="2">
        <v>752</v>
      </c>
      <c r="G421" s="72"/>
      <c r="H421" s="72">
        <v>42.5</v>
      </c>
      <c r="I421" s="72"/>
      <c r="J421" s="72">
        <v>11.3</v>
      </c>
      <c r="K421" s="21">
        <v>192</v>
      </c>
      <c r="L421" s="21">
        <v>1080</v>
      </c>
      <c r="M421" s="21">
        <v>194</v>
      </c>
      <c r="N421" s="21">
        <v>1320</v>
      </c>
      <c r="O421" s="2"/>
      <c r="P421" s="2"/>
      <c r="Q421" s="197"/>
    </row>
    <row r="422" spans="1:17" ht="15" customHeight="1">
      <c r="A422" s="196">
        <v>647</v>
      </c>
      <c r="B422" s="71">
        <v>44072</v>
      </c>
      <c r="C422" s="2" t="s">
        <v>37</v>
      </c>
      <c r="D422" s="2" t="s">
        <v>1340</v>
      </c>
      <c r="E422" s="2"/>
      <c r="F422" s="2">
        <v>752</v>
      </c>
      <c r="G422" s="72"/>
      <c r="H422" s="72">
        <v>42.5</v>
      </c>
      <c r="I422" s="72"/>
      <c r="J422" s="72">
        <v>11.9</v>
      </c>
      <c r="K422" s="21">
        <v>192</v>
      </c>
      <c r="L422" s="21">
        <v>1090</v>
      </c>
      <c r="M422" s="21">
        <v>194</v>
      </c>
      <c r="N422" s="21">
        <v>1310</v>
      </c>
      <c r="O422" s="2"/>
      <c r="P422" s="2"/>
      <c r="Q422" s="197"/>
    </row>
    <row r="423" spans="1:17" ht="15" customHeight="1">
      <c r="A423" s="196">
        <v>646</v>
      </c>
      <c r="B423" s="71">
        <v>44072</v>
      </c>
      <c r="C423" s="2" t="s">
        <v>37</v>
      </c>
      <c r="D423" s="2" t="s">
        <v>1190</v>
      </c>
      <c r="E423" s="2"/>
      <c r="F423" s="2">
        <v>752</v>
      </c>
      <c r="G423" s="72"/>
      <c r="H423" s="72">
        <v>42.5</v>
      </c>
      <c r="I423" s="72"/>
      <c r="J423" s="72">
        <v>7.3</v>
      </c>
      <c r="K423" s="21">
        <v>294</v>
      </c>
      <c r="L423" s="21">
        <v>1790</v>
      </c>
      <c r="M423" s="21">
        <v>295</v>
      </c>
      <c r="N423" s="21">
        <v>2085</v>
      </c>
      <c r="O423" s="2"/>
      <c r="P423" s="2"/>
      <c r="Q423" s="197"/>
    </row>
    <row r="424" spans="1:17" ht="15" customHeight="1">
      <c r="A424" s="196">
        <v>645</v>
      </c>
      <c r="B424" s="71">
        <v>44072</v>
      </c>
      <c r="C424" s="2" t="s">
        <v>38</v>
      </c>
      <c r="D424" s="2" t="s">
        <v>340</v>
      </c>
      <c r="E424" s="2"/>
      <c r="F424" s="2">
        <v>7716</v>
      </c>
      <c r="G424" s="72"/>
      <c r="H424" s="72">
        <v>42.5</v>
      </c>
      <c r="I424" s="72"/>
      <c r="J424" s="72">
        <v>10.5</v>
      </c>
      <c r="K424" s="21" t="s">
        <v>1341</v>
      </c>
      <c r="L424" s="21" t="s">
        <v>1342</v>
      </c>
      <c r="M424" s="21" t="s">
        <v>1343</v>
      </c>
      <c r="N424" s="21">
        <v>1425</v>
      </c>
      <c r="O424" s="2"/>
      <c r="P424" s="2"/>
      <c r="Q424" s="197"/>
    </row>
    <row r="425" spans="1:17" ht="15" customHeight="1">
      <c r="A425" s="196">
        <v>644</v>
      </c>
      <c r="B425" s="71">
        <v>44071</v>
      </c>
      <c r="C425" s="2" t="s">
        <v>37</v>
      </c>
      <c r="D425" s="2" t="s">
        <v>1317</v>
      </c>
      <c r="E425" s="2"/>
      <c r="F425" s="2">
        <v>7716</v>
      </c>
      <c r="G425" s="72"/>
      <c r="H425" s="72">
        <v>42.6</v>
      </c>
      <c r="I425" s="72"/>
      <c r="J425" s="72">
        <v>11.5</v>
      </c>
      <c r="K425" s="21" t="s">
        <v>1326</v>
      </c>
      <c r="L425" s="21">
        <v>95</v>
      </c>
      <c r="M425" s="21">
        <v>208</v>
      </c>
      <c r="N425" s="21">
        <v>1365</v>
      </c>
      <c r="O425" s="2"/>
      <c r="P425" s="2"/>
      <c r="Q425" s="197"/>
    </row>
    <row r="426" spans="1:17" ht="15" customHeight="1">
      <c r="A426" s="196">
        <v>643</v>
      </c>
      <c r="B426" s="71">
        <v>44071</v>
      </c>
      <c r="C426" s="2" t="s">
        <v>37</v>
      </c>
      <c r="D426" s="2" t="s">
        <v>1317</v>
      </c>
      <c r="E426" s="2"/>
      <c r="F426" s="2">
        <v>7716</v>
      </c>
      <c r="G426" s="72"/>
      <c r="H426" s="72">
        <v>42.5</v>
      </c>
      <c r="I426" s="72"/>
      <c r="J426" s="72">
        <v>11.1</v>
      </c>
      <c r="K426" s="21">
        <v>205</v>
      </c>
      <c r="L426" s="21">
        <v>1040</v>
      </c>
      <c r="M426" s="21">
        <v>209</v>
      </c>
      <c r="N426" s="21">
        <v>1372</v>
      </c>
      <c r="O426" s="2"/>
      <c r="P426" s="2"/>
      <c r="Q426" s="197"/>
    </row>
    <row r="427" spans="1:17" ht="15" customHeight="1">
      <c r="A427" s="196">
        <v>642</v>
      </c>
      <c r="B427" s="71">
        <v>44070</v>
      </c>
      <c r="C427" s="2" t="s">
        <v>37</v>
      </c>
      <c r="D427" s="2" t="s">
        <v>1190</v>
      </c>
      <c r="E427" s="2"/>
      <c r="F427" s="2">
        <v>752</v>
      </c>
      <c r="G427" s="72"/>
      <c r="H427" s="72">
        <v>42.5</v>
      </c>
      <c r="I427" s="72"/>
      <c r="J427" s="72">
        <v>7.2</v>
      </c>
      <c r="K427" s="21">
        <v>294</v>
      </c>
      <c r="L427" s="21">
        <v>1750</v>
      </c>
      <c r="M427" s="21">
        <v>294</v>
      </c>
      <c r="N427" s="21">
        <v>2200</v>
      </c>
      <c r="O427" s="2"/>
      <c r="P427" s="2"/>
      <c r="Q427" s="197"/>
    </row>
    <row r="428" spans="1:17" ht="15" customHeight="1">
      <c r="A428" s="196">
        <v>641</v>
      </c>
      <c r="B428" s="71">
        <v>44070</v>
      </c>
      <c r="C428" s="2" t="s">
        <v>37</v>
      </c>
      <c r="D428" s="2" t="s">
        <v>1189</v>
      </c>
      <c r="E428" s="2"/>
      <c r="F428" s="2"/>
      <c r="G428" s="72"/>
      <c r="H428" s="72"/>
      <c r="I428" s="72"/>
      <c r="J428" s="72">
        <v>11.7</v>
      </c>
      <c r="K428" s="21">
        <v>193</v>
      </c>
      <c r="L428" s="21"/>
      <c r="M428" s="21">
        <v>193</v>
      </c>
      <c r="N428" s="21"/>
      <c r="O428" s="2"/>
      <c r="P428" s="2"/>
      <c r="Q428" s="197"/>
    </row>
    <row r="429" spans="1:17" ht="15" customHeight="1">
      <c r="A429" s="196">
        <v>640</v>
      </c>
      <c r="B429" s="71">
        <v>44069</v>
      </c>
      <c r="C429" s="2" t="s">
        <v>37</v>
      </c>
      <c r="D429" s="2" t="s">
        <v>1314</v>
      </c>
      <c r="E429" s="2"/>
      <c r="F429" s="2" t="s">
        <v>1242</v>
      </c>
      <c r="G429" s="72"/>
      <c r="H429" s="72" t="s">
        <v>1334</v>
      </c>
      <c r="I429" s="72"/>
      <c r="J429" s="72">
        <v>7</v>
      </c>
      <c r="K429" s="21">
        <v>294</v>
      </c>
      <c r="L429" s="21"/>
      <c r="M429" s="21">
        <v>295</v>
      </c>
      <c r="N429" s="21"/>
      <c r="O429" s="2"/>
      <c r="P429" s="2"/>
      <c r="Q429" s="197"/>
    </row>
    <row r="430" spans="1:17" ht="15" customHeight="1">
      <c r="A430" s="196">
        <v>639</v>
      </c>
      <c r="B430" s="71">
        <v>44069</v>
      </c>
      <c r="C430" s="2" t="s">
        <v>38</v>
      </c>
      <c r="D430" s="2" t="s">
        <v>1279</v>
      </c>
      <c r="E430" s="2"/>
      <c r="F430" s="2">
        <v>7199</v>
      </c>
      <c r="G430" s="72"/>
      <c r="H430" s="72">
        <v>35</v>
      </c>
      <c r="I430" s="72"/>
      <c r="J430" s="72">
        <v>8.75</v>
      </c>
      <c r="K430" s="21">
        <v>203.4</v>
      </c>
      <c r="L430" s="21" t="s">
        <v>1335</v>
      </c>
      <c r="M430" s="21">
        <v>209.9</v>
      </c>
      <c r="N430" s="21" t="s">
        <v>1336</v>
      </c>
      <c r="O430" s="2"/>
      <c r="P430" s="2"/>
      <c r="Q430" s="197"/>
    </row>
    <row r="431" spans="1:17" ht="15" customHeight="1">
      <c r="A431" s="196">
        <v>638</v>
      </c>
      <c r="B431" s="71">
        <v>44069</v>
      </c>
      <c r="C431" s="2" t="s">
        <v>38</v>
      </c>
      <c r="D431" s="2" t="s">
        <v>1290</v>
      </c>
      <c r="E431" s="2"/>
      <c r="F431" s="2">
        <v>7199</v>
      </c>
      <c r="G431" s="72"/>
      <c r="H431" s="72">
        <v>35</v>
      </c>
      <c r="I431" s="72"/>
      <c r="J431" s="72">
        <v>5.6</v>
      </c>
      <c r="K431" s="21" t="s">
        <v>1296</v>
      </c>
      <c r="L431" s="21" t="s">
        <v>1337</v>
      </c>
      <c r="M431" s="21" t="s">
        <v>1338</v>
      </c>
      <c r="N431" s="21" t="s">
        <v>1339</v>
      </c>
      <c r="O431" s="2"/>
      <c r="P431" s="2"/>
      <c r="Q431" s="197"/>
    </row>
    <row r="432" spans="1:17" ht="15" customHeight="1">
      <c r="A432" s="196">
        <v>637</v>
      </c>
      <c r="B432" s="71">
        <v>44068</v>
      </c>
      <c r="C432" s="2" t="s">
        <v>37</v>
      </c>
      <c r="D432" s="2" t="s">
        <v>1290</v>
      </c>
      <c r="E432" s="2"/>
      <c r="F432" s="2">
        <v>7199</v>
      </c>
      <c r="G432" s="72"/>
      <c r="H432" s="72">
        <v>35</v>
      </c>
      <c r="I432" s="72"/>
      <c r="J432" s="72">
        <v>5.6</v>
      </c>
      <c r="K432" s="21">
        <v>284</v>
      </c>
      <c r="L432" s="21">
        <v>1680</v>
      </c>
      <c r="M432" s="21">
        <v>284</v>
      </c>
      <c r="N432" s="21">
        <v>2005</v>
      </c>
      <c r="O432" s="2"/>
      <c r="P432" s="2"/>
      <c r="Q432" s="197"/>
    </row>
    <row r="433" spans="1:17" ht="15" customHeight="1">
      <c r="A433" s="196">
        <v>636</v>
      </c>
      <c r="B433" s="71">
        <v>44067</v>
      </c>
      <c r="C433" s="2" t="s">
        <v>36</v>
      </c>
      <c r="D433" s="2" t="s">
        <v>348</v>
      </c>
      <c r="E433" s="2"/>
      <c r="F433" s="2">
        <v>7716</v>
      </c>
      <c r="G433" s="72"/>
      <c r="H433" s="72">
        <v>42.5</v>
      </c>
      <c r="I433" s="72"/>
      <c r="J433" s="72">
        <v>7.6</v>
      </c>
      <c r="K433" s="21">
        <v>249</v>
      </c>
      <c r="L433" s="21">
        <v>1545</v>
      </c>
      <c r="M433" s="21">
        <v>244</v>
      </c>
      <c r="N433" s="21">
        <v>2040</v>
      </c>
      <c r="O433" s="2"/>
      <c r="P433" s="2"/>
      <c r="Q433" s="197"/>
    </row>
    <row r="434" spans="1:17" ht="15" customHeight="1">
      <c r="A434" s="196">
        <v>635</v>
      </c>
      <c r="B434" s="71">
        <v>44067</v>
      </c>
      <c r="C434" s="2" t="s">
        <v>37</v>
      </c>
      <c r="D434" s="2" t="s">
        <v>1279</v>
      </c>
      <c r="E434" s="2"/>
      <c r="F434" s="2">
        <v>7199</v>
      </c>
      <c r="G434" s="72"/>
      <c r="H434" s="72">
        <v>35</v>
      </c>
      <c r="I434" s="72"/>
      <c r="J434" s="72">
        <v>8.75</v>
      </c>
      <c r="K434" s="21"/>
      <c r="L434" s="21"/>
      <c r="M434" s="21"/>
      <c r="N434" s="21"/>
      <c r="O434" s="2"/>
      <c r="P434" s="2"/>
      <c r="Q434" s="197"/>
    </row>
    <row r="435" spans="1:17" ht="15" customHeight="1">
      <c r="A435" s="196">
        <v>634</v>
      </c>
      <c r="B435" s="71">
        <v>44067</v>
      </c>
      <c r="C435" s="2" t="s">
        <v>37</v>
      </c>
      <c r="D435" s="2" t="s">
        <v>1290</v>
      </c>
      <c r="E435" s="2"/>
      <c r="F435" s="2">
        <v>7199</v>
      </c>
      <c r="G435" s="72"/>
      <c r="H435" s="72">
        <v>35</v>
      </c>
      <c r="I435" s="72"/>
      <c r="J435" s="72">
        <v>5.5</v>
      </c>
      <c r="K435" s="21">
        <v>280</v>
      </c>
      <c r="L435" s="21"/>
      <c r="M435" s="21"/>
      <c r="N435" s="21"/>
      <c r="O435" s="2"/>
      <c r="P435" s="2"/>
      <c r="Q435" s="197"/>
    </row>
    <row r="436" spans="1:17" ht="15" customHeight="1">
      <c r="A436" s="196">
        <v>633</v>
      </c>
      <c r="B436" s="71">
        <v>44067</v>
      </c>
      <c r="C436" s="2" t="s">
        <v>38</v>
      </c>
      <c r="D436" s="2" t="s">
        <v>1279</v>
      </c>
      <c r="E436" s="2"/>
      <c r="F436" s="2">
        <v>7199</v>
      </c>
      <c r="G436" s="72"/>
      <c r="H436" s="72">
        <v>35</v>
      </c>
      <c r="I436" s="72"/>
      <c r="J436" s="72">
        <v>8.65</v>
      </c>
      <c r="K436" s="21">
        <v>204</v>
      </c>
      <c r="L436" s="21">
        <v>1020</v>
      </c>
      <c r="M436" s="21">
        <v>209</v>
      </c>
      <c r="N436" s="21">
        <v>1445</v>
      </c>
      <c r="O436" s="2"/>
      <c r="P436" s="2"/>
      <c r="Q436" s="197"/>
    </row>
    <row r="437" spans="1:17" ht="15" customHeight="1">
      <c r="A437" s="196">
        <v>632</v>
      </c>
      <c r="B437" s="71">
        <v>44064</v>
      </c>
      <c r="C437" s="2" t="s">
        <v>105</v>
      </c>
      <c r="D437" s="2" t="s">
        <v>348</v>
      </c>
      <c r="E437" s="2"/>
      <c r="F437" s="2">
        <v>7716</v>
      </c>
      <c r="G437" s="72"/>
      <c r="H437" s="72">
        <v>42.5</v>
      </c>
      <c r="I437" s="72"/>
      <c r="J437" s="72">
        <v>7.65</v>
      </c>
      <c r="K437" s="21" t="s">
        <v>181</v>
      </c>
      <c r="L437" s="21" t="s">
        <v>1333</v>
      </c>
      <c r="M437" s="21">
        <v>244</v>
      </c>
      <c r="N437" s="21">
        <v>2045</v>
      </c>
      <c r="O437" s="2"/>
      <c r="P437" s="2"/>
      <c r="Q437" s="197"/>
    </row>
    <row r="438" spans="1:17" ht="15" customHeight="1">
      <c r="A438" s="196">
        <v>631</v>
      </c>
      <c r="B438" s="71">
        <v>44064</v>
      </c>
      <c r="C438" s="2" t="s">
        <v>38</v>
      </c>
      <c r="D438" s="2" t="s">
        <v>1189</v>
      </c>
      <c r="E438" s="2"/>
      <c r="F438" s="2">
        <v>752</v>
      </c>
      <c r="G438" s="72"/>
      <c r="H438" s="72">
        <v>42.5</v>
      </c>
      <c r="I438" s="72"/>
      <c r="J438" s="72">
        <v>11.1</v>
      </c>
      <c r="K438" s="21">
        <v>194</v>
      </c>
      <c r="L438" s="21">
        <v>1060</v>
      </c>
      <c r="M438" s="21">
        <v>196</v>
      </c>
      <c r="N438" s="21">
        <v>1320</v>
      </c>
      <c r="O438" s="2"/>
      <c r="P438" s="2"/>
      <c r="Q438" s="197"/>
    </row>
    <row r="439" spans="1:17" ht="15" customHeight="1">
      <c r="A439" s="196">
        <v>630</v>
      </c>
      <c r="B439" s="71">
        <v>44064</v>
      </c>
      <c r="C439" s="2" t="s">
        <v>38</v>
      </c>
      <c r="D439" s="2" t="s">
        <v>1190</v>
      </c>
      <c r="E439" s="2"/>
      <c r="F439" s="2">
        <v>752</v>
      </c>
      <c r="G439" s="72"/>
      <c r="H439" s="72">
        <v>42.5</v>
      </c>
      <c r="I439" s="72"/>
      <c r="J439" s="72">
        <v>7.13</v>
      </c>
      <c r="K439" s="21">
        <v>297</v>
      </c>
      <c r="L439" s="21">
        <v>1700</v>
      </c>
      <c r="M439" s="21">
        <v>95</v>
      </c>
      <c r="N439" s="21">
        <v>2085</v>
      </c>
      <c r="O439" s="2"/>
      <c r="P439" s="2"/>
      <c r="Q439" s="197"/>
    </row>
    <row r="440" spans="1:17" ht="15" customHeight="1">
      <c r="A440" s="196">
        <v>629</v>
      </c>
      <c r="B440" s="71">
        <v>44063</v>
      </c>
      <c r="C440" s="2" t="s">
        <v>105</v>
      </c>
      <c r="D440" s="2" t="s">
        <v>1260</v>
      </c>
      <c r="E440" s="2"/>
      <c r="F440" s="2">
        <v>7718</v>
      </c>
      <c r="G440" s="72"/>
      <c r="H440" s="72">
        <v>35</v>
      </c>
      <c r="I440" s="72"/>
      <c r="J440" s="72">
        <v>8.0500000000000007</v>
      </c>
      <c r="K440" s="21" t="s">
        <v>1292</v>
      </c>
      <c r="L440" s="21">
        <v>1215</v>
      </c>
      <c r="M440" s="21">
        <v>209</v>
      </c>
      <c r="N440" s="21">
        <v>1580</v>
      </c>
      <c r="O440" s="2"/>
      <c r="P440" s="2"/>
      <c r="Q440" s="197"/>
    </row>
    <row r="441" spans="1:17" ht="15" customHeight="1">
      <c r="A441" s="196">
        <v>628</v>
      </c>
      <c r="B441" s="71">
        <v>44063</v>
      </c>
      <c r="C441" s="2" t="s">
        <v>38</v>
      </c>
      <c r="D441" s="2" t="s">
        <v>348</v>
      </c>
      <c r="E441" s="2"/>
      <c r="F441" s="2">
        <v>7716</v>
      </c>
      <c r="G441" s="72"/>
      <c r="H441" s="72">
        <v>42.5</v>
      </c>
      <c r="I441" s="72"/>
      <c r="J441" s="72">
        <v>7.65</v>
      </c>
      <c r="K441" s="21">
        <v>249</v>
      </c>
      <c r="L441" s="21">
        <v>1550</v>
      </c>
      <c r="M441" s="21">
        <v>245</v>
      </c>
      <c r="N441" s="21">
        <v>2050</v>
      </c>
      <c r="O441" s="2"/>
      <c r="P441" s="2"/>
      <c r="Q441" s="197"/>
    </row>
    <row r="442" spans="1:17" ht="15" customHeight="1">
      <c r="A442" s="196">
        <v>627</v>
      </c>
      <c r="B442" s="71">
        <v>44062</v>
      </c>
      <c r="C442" s="2" t="s">
        <v>105</v>
      </c>
      <c r="D442" s="2" t="s">
        <v>1228</v>
      </c>
      <c r="E442" s="2"/>
      <c r="F442" s="2">
        <v>7716</v>
      </c>
      <c r="G442" s="72"/>
      <c r="H442" s="72">
        <v>35</v>
      </c>
      <c r="I442" s="72"/>
      <c r="J442" s="72">
        <v>107</v>
      </c>
      <c r="K442" s="21">
        <v>186</v>
      </c>
      <c r="L442" s="21">
        <v>880</v>
      </c>
      <c r="M442" s="21">
        <v>190</v>
      </c>
      <c r="N442" s="21">
        <v>1160</v>
      </c>
      <c r="O442" s="2"/>
      <c r="P442" s="2"/>
      <c r="Q442" s="197"/>
    </row>
    <row r="443" spans="1:17" ht="15" customHeight="1">
      <c r="A443" s="196">
        <v>626</v>
      </c>
      <c r="B443" s="71">
        <v>44062</v>
      </c>
      <c r="C443" s="2" t="s">
        <v>105</v>
      </c>
      <c r="D443" s="2" t="s">
        <v>1230</v>
      </c>
      <c r="E443" s="2"/>
      <c r="F443" s="2">
        <v>7717</v>
      </c>
      <c r="G443" s="72"/>
      <c r="H443" s="72">
        <v>35</v>
      </c>
      <c r="I443" s="72"/>
      <c r="J443" s="72">
        <v>11.3</v>
      </c>
      <c r="K443" s="21">
        <v>196</v>
      </c>
      <c r="L443" s="21">
        <v>835</v>
      </c>
      <c r="M443" s="21">
        <v>197</v>
      </c>
      <c r="N443" s="21">
        <v>1060</v>
      </c>
      <c r="O443" s="2"/>
      <c r="P443" s="2"/>
      <c r="Q443" s="197"/>
    </row>
    <row r="444" spans="1:17" ht="15" customHeight="1">
      <c r="A444" s="196">
        <v>625</v>
      </c>
      <c r="B444" s="71">
        <v>44062</v>
      </c>
      <c r="C444" s="2" t="s">
        <v>37</v>
      </c>
      <c r="D444" s="2" t="s">
        <v>1230</v>
      </c>
      <c r="E444" s="2"/>
      <c r="F444" s="2">
        <v>7717</v>
      </c>
      <c r="G444" s="72"/>
      <c r="H444" s="72">
        <v>35</v>
      </c>
      <c r="I444" s="72"/>
      <c r="J444" s="72">
        <v>11.85</v>
      </c>
      <c r="K444" s="21">
        <v>196</v>
      </c>
      <c r="L444" s="21">
        <v>800</v>
      </c>
      <c r="M444" s="21">
        <v>199</v>
      </c>
      <c r="N444" s="21">
        <v>1060</v>
      </c>
      <c r="O444" s="2"/>
      <c r="P444" s="2"/>
      <c r="Q444" s="197"/>
    </row>
    <row r="445" spans="1:17" ht="15" customHeight="1">
      <c r="A445" s="196">
        <v>624</v>
      </c>
      <c r="B445" s="71">
        <v>44062</v>
      </c>
      <c r="C445" s="2" t="s">
        <v>38</v>
      </c>
      <c r="D445" s="2" t="s">
        <v>348</v>
      </c>
      <c r="E445" s="2"/>
      <c r="F445" s="2">
        <v>7716</v>
      </c>
      <c r="G445" s="72"/>
      <c r="H445" s="72">
        <v>42.5</v>
      </c>
      <c r="I445" s="72"/>
      <c r="J445" s="72">
        <v>7.6</v>
      </c>
      <c r="K445" s="21">
        <v>248</v>
      </c>
      <c r="L445" s="21">
        <v>1550</v>
      </c>
      <c r="M445" s="21">
        <v>245</v>
      </c>
      <c r="N445" s="21">
        <v>2030</v>
      </c>
      <c r="O445" s="2"/>
      <c r="P445" s="2"/>
      <c r="Q445" s="197"/>
    </row>
    <row r="446" spans="1:17" ht="15" customHeight="1">
      <c r="A446" s="196">
        <v>623</v>
      </c>
      <c r="B446" s="71">
        <v>44061</v>
      </c>
      <c r="C446" s="2" t="s">
        <v>38</v>
      </c>
      <c r="D446" s="2" t="s">
        <v>348</v>
      </c>
      <c r="E446" s="2"/>
      <c r="F446" s="2">
        <v>7716</v>
      </c>
      <c r="G446" s="72"/>
      <c r="H446" s="72">
        <v>42.5</v>
      </c>
      <c r="I446" s="72"/>
      <c r="J446" s="72">
        <v>7.75</v>
      </c>
      <c r="K446" s="21">
        <v>248</v>
      </c>
      <c r="L446" s="21">
        <v>1520</v>
      </c>
      <c r="M446" s="21">
        <v>245</v>
      </c>
      <c r="N446" s="21">
        <v>1950</v>
      </c>
      <c r="O446" s="2"/>
      <c r="P446" s="2"/>
      <c r="Q446" s="197"/>
    </row>
    <row r="447" spans="1:17" ht="15" customHeight="1">
      <c r="A447" s="196">
        <v>622</v>
      </c>
      <c r="B447" s="71">
        <v>44060</v>
      </c>
      <c r="C447" s="2" t="s">
        <v>37</v>
      </c>
      <c r="D447" s="2" t="s">
        <v>1314</v>
      </c>
      <c r="E447" s="2"/>
      <c r="F447" s="2" t="s">
        <v>1242</v>
      </c>
      <c r="G447" s="72"/>
      <c r="H447" s="72" t="s">
        <v>1332</v>
      </c>
      <c r="I447" s="72"/>
      <c r="J447" s="72">
        <v>7.05</v>
      </c>
      <c r="K447" s="21">
        <v>295</v>
      </c>
      <c r="L447" s="21">
        <v>1670</v>
      </c>
      <c r="M447" s="21">
        <v>297</v>
      </c>
      <c r="N447" s="21">
        <v>2170</v>
      </c>
      <c r="O447" s="2"/>
      <c r="P447" s="2"/>
      <c r="Q447" s="197"/>
    </row>
    <row r="448" spans="1:17" ht="15" customHeight="1">
      <c r="A448" s="196">
        <v>621</v>
      </c>
      <c r="B448" s="71">
        <v>44057</v>
      </c>
      <c r="C448" s="2" t="s">
        <v>37</v>
      </c>
      <c r="D448" s="2" t="s">
        <v>1317</v>
      </c>
      <c r="E448" s="2"/>
      <c r="F448" s="2">
        <v>7716</v>
      </c>
      <c r="G448" s="72"/>
      <c r="H448" s="72">
        <v>42.5</v>
      </c>
      <c r="I448" s="72"/>
      <c r="J448" s="72">
        <v>11.45</v>
      </c>
      <c r="K448" s="21" t="s">
        <v>1326</v>
      </c>
      <c r="L448" s="21" t="s">
        <v>1327</v>
      </c>
      <c r="M448" s="21">
        <v>209</v>
      </c>
      <c r="N448" s="21" t="s">
        <v>1328</v>
      </c>
      <c r="O448" s="2"/>
      <c r="P448" s="2"/>
      <c r="Q448" s="197"/>
    </row>
    <row r="449" spans="1:17" ht="15" customHeight="1">
      <c r="A449" s="196">
        <v>620</v>
      </c>
      <c r="B449" s="71">
        <v>44057</v>
      </c>
      <c r="C449" s="2" t="s">
        <v>37</v>
      </c>
      <c r="D449" s="2" t="s">
        <v>1236</v>
      </c>
      <c r="E449" s="2"/>
      <c r="F449" s="2">
        <v>7716</v>
      </c>
      <c r="G449" s="72"/>
      <c r="H449" s="72">
        <v>42.5</v>
      </c>
      <c r="I449" s="72"/>
      <c r="J449" s="72">
        <v>12</v>
      </c>
      <c r="K449" s="21">
        <v>204</v>
      </c>
      <c r="L449" s="21">
        <v>915</v>
      </c>
      <c r="M449" s="21">
        <v>209</v>
      </c>
      <c r="N449" s="21">
        <v>1380</v>
      </c>
      <c r="O449" s="2"/>
      <c r="P449" s="2"/>
      <c r="Q449" s="197"/>
    </row>
    <row r="450" spans="1:17" ht="15" customHeight="1">
      <c r="A450" s="196">
        <v>619</v>
      </c>
      <c r="B450" s="71">
        <v>44057</v>
      </c>
      <c r="C450" s="2" t="s">
        <v>37</v>
      </c>
      <c r="D450" s="2" t="s">
        <v>1260</v>
      </c>
      <c r="E450" s="2"/>
      <c r="F450" s="2">
        <v>7717</v>
      </c>
      <c r="G450" s="72"/>
      <c r="H450" s="72">
        <v>35</v>
      </c>
      <c r="I450" s="72"/>
      <c r="J450" s="72">
        <v>80</v>
      </c>
      <c r="K450" s="21" t="s">
        <v>1292</v>
      </c>
      <c r="L450" s="21" t="s">
        <v>1329</v>
      </c>
      <c r="M450" s="21" t="s">
        <v>1283</v>
      </c>
      <c r="N450" s="21" t="s">
        <v>1330</v>
      </c>
      <c r="O450" s="2"/>
      <c r="P450" s="2"/>
      <c r="Q450" s="197"/>
    </row>
    <row r="451" spans="1:17" ht="15" customHeight="1">
      <c r="A451" s="196">
        <v>618</v>
      </c>
      <c r="B451" s="71">
        <v>44057</v>
      </c>
      <c r="C451" s="2" t="s">
        <v>37</v>
      </c>
      <c r="D451" s="2" t="s">
        <v>1307</v>
      </c>
      <c r="E451" s="2"/>
      <c r="F451" s="2">
        <v>7717</v>
      </c>
      <c r="G451" s="72"/>
      <c r="H451" s="72">
        <v>35</v>
      </c>
      <c r="I451" s="72"/>
      <c r="J451" s="72">
        <v>8.1999999999999993</v>
      </c>
      <c r="K451" s="21" t="s">
        <v>1292</v>
      </c>
      <c r="L451" s="21" t="s">
        <v>1331</v>
      </c>
      <c r="M451" s="21">
        <v>210</v>
      </c>
      <c r="N451" s="21" t="s">
        <v>1295</v>
      </c>
      <c r="O451" s="2"/>
      <c r="P451" s="2"/>
      <c r="Q451" s="197"/>
    </row>
    <row r="452" spans="1:17" ht="15" customHeight="1">
      <c r="A452" s="196">
        <v>617</v>
      </c>
      <c r="B452" s="71">
        <v>44054</v>
      </c>
      <c r="C452" s="2" t="s">
        <v>38</v>
      </c>
      <c r="D452" s="2" t="s">
        <v>1317</v>
      </c>
      <c r="E452" s="2"/>
      <c r="F452" s="2">
        <v>7716</v>
      </c>
      <c r="G452" s="72"/>
      <c r="H452" s="72">
        <v>42.5</v>
      </c>
      <c r="I452" s="72"/>
      <c r="J452" s="72">
        <v>11.6</v>
      </c>
      <c r="K452" s="21">
        <v>204</v>
      </c>
      <c r="L452" s="21">
        <v>955</v>
      </c>
      <c r="M452" s="21">
        <v>208</v>
      </c>
      <c r="N452" s="21">
        <v>1350</v>
      </c>
      <c r="O452" s="2"/>
      <c r="P452" s="2"/>
      <c r="Q452" s="197"/>
    </row>
    <row r="453" spans="1:17" ht="15" customHeight="1">
      <c r="A453" s="196">
        <v>616</v>
      </c>
      <c r="B453" s="71">
        <v>44053</v>
      </c>
      <c r="C453" s="2" t="s">
        <v>105</v>
      </c>
      <c r="D453" s="2" t="s">
        <v>354</v>
      </c>
      <c r="E453" s="2"/>
      <c r="F453" s="2">
        <v>7716</v>
      </c>
      <c r="G453" s="72"/>
      <c r="H453" s="72">
        <v>35</v>
      </c>
      <c r="I453" s="72"/>
      <c r="J453" s="72">
        <v>10.5</v>
      </c>
      <c r="K453" s="21">
        <v>192</v>
      </c>
      <c r="L453" s="21">
        <v>850</v>
      </c>
      <c r="M453" s="21">
        <v>195</v>
      </c>
      <c r="N453" s="21">
        <v>1185</v>
      </c>
      <c r="O453" s="2"/>
      <c r="P453" s="2"/>
      <c r="Q453" s="197"/>
    </row>
    <row r="454" spans="1:17" ht="15" customHeight="1">
      <c r="A454" s="196">
        <v>615</v>
      </c>
      <c r="B454" s="71">
        <v>44053</v>
      </c>
      <c r="C454" s="2" t="s">
        <v>105</v>
      </c>
      <c r="D454" s="2" t="s">
        <v>1254</v>
      </c>
      <c r="E454" s="2"/>
      <c r="F454" s="2">
        <v>7716</v>
      </c>
      <c r="G454" s="72"/>
      <c r="H454" s="72">
        <v>42.5</v>
      </c>
      <c r="I454" s="72"/>
      <c r="J454" s="72">
        <v>9.15</v>
      </c>
      <c r="K454" s="21">
        <v>238</v>
      </c>
      <c r="L454" s="21">
        <v>1240</v>
      </c>
      <c r="M454" s="21">
        <v>240</v>
      </c>
      <c r="N454" s="21">
        <v>1690</v>
      </c>
      <c r="O454" s="2"/>
      <c r="P454" s="2"/>
      <c r="Q454" s="197"/>
    </row>
    <row r="455" spans="1:17" ht="15" customHeight="1">
      <c r="A455" s="196">
        <v>614</v>
      </c>
      <c r="B455" s="71">
        <v>44053</v>
      </c>
      <c r="C455" s="2" t="s">
        <v>105</v>
      </c>
      <c r="D455" s="2" t="s">
        <v>1318</v>
      </c>
      <c r="E455" s="2"/>
      <c r="F455" s="2">
        <v>7716</v>
      </c>
      <c r="G455" s="72"/>
      <c r="H455" s="72">
        <v>35</v>
      </c>
      <c r="I455" s="72"/>
      <c r="J455" s="72">
        <v>8.93</v>
      </c>
      <c r="K455" s="21">
        <v>199</v>
      </c>
      <c r="L455" s="21">
        <v>1021</v>
      </c>
      <c r="M455" s="21">
        <v>200</v>
      </c>
      <c r="N455" s="21">
        <v>1420</v>
      </c>
      <c r="O455" s="2"/>
      <c r="P455" s="2"/>
      <c r="Q455" s="197"/>
    </row>
    <row r="456" spans="1:17" ht="15" customHeight="1">
      <c r="A456" s="196">
        <v>613</v>
      </c>
      <c r="B456" s="71">
        <v>44051</v>
      </c>
      <c r="C456" s="2" t="s">
        <v>105</v>
      </c>
      <c r="D456" s="2" t="s">
        <v>471</v>
      </c>
      <c r="E456" s="2" t="s">
        <v>648</v>
      </c>
      <c r="F456" s="2" t="s">
        <v>82</v>
      </c>
      <c r="G456" s="72" t="s">
        <v>648</v>
      </c>
      <c r="H456" s="72" t="s">
        <v>1616</v>
      </c>
      <c r="I456" s="72" t="s">
        <v>648</v>
      </c>
      <c r="J456" s="72" t="s">
        <v>1617</v>
      </c>
      <c r="K456" s="21" t="s">
        <v>1618</v>
      </c>
      <c r="L456" s="21" t="s">
        <v>648</v>
      </c>
      <c r="M456" s="21" t="s">
        <v>648</v>
      </c>
      <c r="N456" s="21" t="s">
        <v>648</v>
      </c>
      <c r="O456" s="2" t="s">
        <v>648</v>
      </c>
      <c r="P456" s="2" t="s">
        <v>648</v>
      </c>
      <c r="Q456" s="197" t="s">
        <v>648</v>
      </c>
    </row>
    <row r="457" spans="1:17" ht="15" customHeight="1">
      <c r="A457" s="196">
        <v>612</v>
      </c>
      <c r="B457" s="71">
        <v>44051</v>
      </c>
      <c r="C457" s="2" t="s">
        <v>105</v>
      </c>
      <c r="D457" s="2" t="s">
        <v>1314</v>
      </c>
      <c r="E457" s="2"/>
      <c r="F457" s="2" t="s">
        <v>1242</v>
      </c>
      <c r="G457" s="72"/>
      <c r="H457" s="72" t="s">
        <v>1315</v>
      </c>
      <c r="I457" s="72"/>
      <c r="J457" s="72">
        <v>7</v>
      </c>
      <c r="K457" s="21">
        <v>292</v>
      </c>
      <c r="L457" s="21">
        <v>1685</v>
      </c>
      <c r="M457" s="21">
        <v>296</v>
      </c>
      <c r="N457" s="21">
        <v>2190</v>
      </c>
      <c r="O457" s="2"/>
      <c r="P457" s="2"/>
      <c r="Q457" s="197"/>
    </row>
    <row r="458" spans="1:17" ht="15" customHeight="1">
      <c r="A458" s="196">
        <v>611</v>
      </c>
      <c r="B458" s="71">
        <v>44050</v>
      </c>
      <c r="C458" s="2" t="s">
        <v>105</v>
      </c>
      <c r="D458" s="2" t="s">
        <v>1316</v>
      </c>
      <c r="E458" s="2"/>
      <c r="F458" s="2">
        <v>7716</v>
      </c>
      <c r="G458" s="72"/>
      <c r="H458" s="72">
        <v>42.5</v>
      </c>
      <c r="I458" s="72"/>
      <c r="J458" s="72"/>
      <c r="K458" s="21"/>
      <c r="L458" s="21"/>
      <c r="M458" s="21"/>
      <c r="N458" s="21"/>
      <c r="O458" s="2"/>
      <c r="P458" s="2"/>
      <c r="Q458" s="197"/>
    </row>
    <row r="459" spans="1:17" ht="15" customHeight="1">
      <c r="A459" s="196">
        <v>610</v>
      </c>
      <c r="B459" s="71">
        <v>44050</v>
      </c>
      <c r="C459" s="2" t="s">
        <v>105</v>
      </c>
      <c r="D459" s="2" t="s">
        <v>1324</v>
      </c>
      <c r="E459" s="2"/>
      <c r="F459" s="2">
        <v>7716</v>
      </c>
      <c r="G459" s="72"/>
      <c r="H459" s="72">
        <v>42.5</v>
      </c>
      <c r="I459" s="72"/>
      <c r="J459" s="72">
        <v>6.7</v>
      </c>
      <c r="K459" s="21">
        <v>294</v>
      </c>
      <c r="L459" s="21">
        <v>1785</v>
      </c>
      <c r="M459" s="21">
        <v>295</v>
      </c>
      <c r="N459" s="21">
        <v>2320</v>
      </c>
      <c r="O459" s="2"/>
      <c r="P459" s="2"/>
      <c r="Q459" s="197"/>
    </row>
    <row r="460" spans="1:17" ht="15" customHeight="1">
      <c r="A460" s="196">
        <v>609</v>
      </c>
      <c r="B460" s="71">
        <v>44050</v>
      </c>
      <c r="C460" s="2" t="s">
        <v>1325</v>
      </c>
      <c r="D460" s="2" t="s">
        <v>1324</v>
      </c>
      <c r="E460" s="2"/>
      <c r="F460" s="2">
        <v>7716</v>
      </c>
      <c r="G460" s="72"/>
      <c r="H460" s="72">
        <v>42.5</v>
      </c>
      <c r="I460" s="72"/>
      <c r="J460" s="72">
        <v>7</v>
      </c>
      <c r="K460" s="21">
        <v>249</v>
      </c>
      <c r="L460" s="21">
        <v>1700</v>
      </c>
      <c r="M460" s="21">
        <v>295</v>
      </c>
      <c r="N460" s="21">
        <v>2250</v>
      </c>
      <c r="O460" s="2"/>
      <c r="P460" s="2"/>
      <c r="Q460" s="197"/>
    </row>
    <row r="461" spans="1:17" ht="15" customHeight="1">
      <c r="A461" s="196">
        <v>608</v>
      </c>
      <c r="B461" s="71">
        <v>44050</v>
      </c>
      <c r="C461" s="2" t="s">
        <v>38</v>
      </c>
      <c r="D461" s="2" t="s">
        <v>1324</v>
      </c>
      <c r="E461" s="2"/>
      <c r="F461" s="2">
        <v>7716</v>
      </c>
      <c r="G461" s="72"/>
      <c r="H461" s="72">
        <v>42.5</v>
      </c>
      <c r="I461" s="72"/>
      <c r="J461" s="72">
        <v>6.8</v>
      </c>
      <c r="K461" s="21">
        <v>293</v>
      </c>
      <c r="L461" s="21">
        <v>1730</v>
      </c>
      <c r="M461" s="21">
        <v>294</v>
      </c>
      <c r="N461" s="21">
        <v>2310</v>
      </c>
      <c r="O461" s="2"/>
      <c r="P461" s="2"/>
      <c r="Q461" s="197"/>
    </row>
    <row r="462" spans="1:17" ht="15" customHeight="1">
      <c r="A462" s="196">
        <v>607</v>
      </c>
      <c r="B462" s="71">
        <v>44050</v>
      </c>
      <c r="C462" s="2" t="s">
        <v>38</v>
      </c>
      <c r="D462" s="2" t="s">
        <v>1254</v>
      </c>
      <c r="E462" s="2" t="s">
        <v>648</v>
      </c>
      <c r="F462" s="2" t="s">
        <v>82</v>
      </c>
      <c r="G462" s="72" t="s">
        <v>648</v>
      </c>
      <c r="H462" s="72" t="s">
        <v>1616</v>
      </c>
      <c r="I462" s="72" t="s">
        <v>648</v>
      </c>
      <c r="J462" s="72" t="s">
        <v>1619</v>
      </c>
      <c r="K462" s="21" t="s">
        <v>1620</v>
      </c>
      <c r="L462" s="21" t="s">
        <v>1621</v>
      </c>
      <c r="M462" s="21" t="s">
        <v>475</v>
      </c>
      <c r="N462" s="21" t="s">
        <v>1622</v>
      </c>
      <c r="O462" s="2" t="s">
        <v>648</v>
      </c>
      <c r="P462" s="2" t="s">
        <v>648</v>
      </c>
      <c r="Q462" s="197" t="s">
        <v>648</v>
      </c>
    </row>
    <row r="463" spans="1:17" ht="15" customHeight="1">
      <c r="A463" s="196">
        <v>606</v>
      </c>
      <c r="B463" s="71">
        <v>44049</v>
      </c>
      <c r="C463" s="2" t="s">
        <v>105</v>
      </c>
      <c r="D463" s="2" t="s">
        <v>376</v>
      </c>
      <c r="E463" s="2"/>
      <c r="F463" s="2">
        <v>7717</v>
      </c>
      <c r="G463" s="72"/>
      <c r="H463" s="72">
        <v>35</v>
      </c>
      <c r="I463" s="72"/>
      <c r="J463" s="72">
        <v>9.0500000000000007</v>
      </c>
      <c r="K463" s="21">
        <v>208</v>
      </c>
      <c r="L463" s="21">
        <v>1180</v>
      </c>
      <c r="M463" s="21">
        <v>209</v>
      </c>
      <c r="N463" s="21"/>
      <c r="O463" s="2"/>
      <c r="P463" s="2"/>
      <c r="Q463" s="197"/>
    </row>
    <row r="464" spans="1:17" ht="15" customHeight="1">
      <c r="A464" s="196">
        <v>605</v>
      </c>
      <c r="B464" s="71">
        <v>44049</v>
      </c>
      <c r="C464" s="2" t="s">
        <v>105</v>
      </c>
      <c r="D464" s="2" t="s">
        <v>1317</v>
      </c>
      <c r="E464" s="2"/>
      <c r="F464" s="2">
        <v>752</v>
      </c>
      <c r="G464" s="72"/>
      <c r="H464" s="72">
        <v>35</v>
      </c>
      <c r="I464" s="72"/>
      <c r="J464" s="72">
        <v>8.67</v>
      </c>
      <c r="K464" s="21">
        <v>208</v>
      </c>
      <c r="L464" s="21">
        <v>1100</v>
      </c>
      <c r="M464" s="21">
        <v>209</v>
      </c>
      <c r="N464" s="21"/>
      <c r="O464" s="2"/>
      <c r="P464" s="2"/>
      <c r="Q464" s="197"/>
    </row>
    <row r="465" spans="1:17" ht="15" customHeight="1">
      <c r="A465" s="196">
        <v>604</v>
      </c>
      <c r="B465" s="71">
        <v>44049</v>
      </c>
      <c r="C465" s="2" t="s">
        <v>37</v>
      </c>
      <c r="D465" s="2" t="s">
        <v>1318</v>
      </c>
      <c r="E465" s="2"/>
      <c r="F465" s="2">
        <v>7716</v>
      </c>
      <c r="G465" s="72"/>
      <c r="H465" s="72">
        <v>35</v>
      </c>
      <c r="I465" s="72"/>
      <c r="J465" s="72">
        <v>9</v>
      </c>
      <c r="K465" s="21">
        <v>200</v>
      </c>
      <c r="L465" s="21">
        <v>1040</v>
      </c>
      <c r="M465" s="21">
        <v>202</v>
      </c>
      <c r="N465" s="21">
        <v>1420</v>
      </c>
      <c r="O465" s="2"/>
      <c r="P465" s="2"/>
      <c r="Q465" s="197"/>
    </row>
    <row r="466" spans="1:17" ht="15" customHeight="1">
      <c r="A466" s="196">
        <v>603</v>
      </c>
      <c r="B466" s="206">
        <v>44048</v>
      </c>
      <c r="C466" s="2" t="s">
        <v>105</v>
      </c>
      <c r="D466" s="2" t="s">
        <v>1318</v>
      </c>
      <c r="E466" s="2"/>
      <c r="F466" s="2">
        <v>7716</v>
      </c>
      <c r="G466" s="72"/>
      <c r="H466" s="72">
        <v>35</v>
      </c>
      <c r="I466" s="72"/>
      <c r="J466" s="72">
        <v>8.6999999999999993</v>
      </c>
      <c r="K466" s="21">
        <v>200</v>
      </c>
      <c r="L466" s="21" t="s">
        <v>1319</v>
      </c>
      <c r="M466" s="21" t="s">
        <v>1320</v>
      </c>
      <c r="N466" s="21"/>
      <c r="O466" s="2"/>
      <c r="P466" s="2"/>
      <c r="Q466" s="197"/>
    </row>
    <row r="467" spans="1:17" ht="15" customHeight="1">
      <c r="A467" s="196">
        <v>602</v>
      </c>
      <c r="B467" s="206">
        <v>44048</v>
      </c>
      <c r="C467" s="2" t="s">
        <v>105</v>
      </c>
      <c r="D467" s="2" t="s">
        <v>1316</v>
      </c>
      <c r="E467" s="2"/>
      <c r="F467" s="2">
        <v>7716</v>
      </c>
      <c r="G467" s="72"/>
      <c r="H467" s="72">
        <v>42.5</v>
      </c>
      <c r="I467" s="72"/>
      <c r="J467" s="72">
        <v>9.8000000000000007</v>
      </c>
      <c r="K467" s="21">
        <v>223</v>
      </c>
      <c r="L467" s="21" t="s">
        <v>1321</v>
      </c>
      <c r="M467" s="21">
        <v>225</v>
      </c>
      <c r="N467" s="21" t="s">
        <v>1322</v>
      </c>
      <c r="O467" s="2"/>
      <c r="P467" s="2"/>
      <c r="Q467" s="197"/>
    </row>
    <row r="468" spans="1:17" ht="15" customHeight="1">
      <c r="A468" s="196">
        <v>601</v>
      </c>
      <c r="B468" s="206">
        <v>44048</v>
      </c>
      <c r="C468" s="2" t="s">
        <v>105</v>
      </c>
      <c r="D468" s="2" t="s">
        <v>376</v>
      </c>
      <c r="E468" s="2"/>
      <c r="F468" s="2">
        <v>7717</v>
      </c>
      <c r="G468" s="72"/>
      <c r="H468" s="72">
        <v>42.5</v>
      </c>
      <c r="I468" s="72"/>
      <c r="J468" s="72"/>
      <c r="K468" s="21">
        <v>208</v>
      </c>
      <c r="L468" s="21" t="s">
        <v>1323</v>
      </c>
      <c r="M468" s="21">
        <v>209</v>
      </c>
      <c r="N468" s="21"/>
      <c r="O468" s="2"/>
      <c r="P468" s="2"/>
      <c r="Q468" s="197"/>
    </row>
    <row r="469" spans="1:17" ht="15" customHeight="1">
      <c r="A469" s="196">
        <v>600</v>
      </c>
      <c r="B469" s="206">
        <v>44048</v>
      </c>
      <c r="C469" s="2" t="s">
        <v>105</v>
      </c>
      <c r="D469" s="2" t="s">
        <v>1317</v>
      </c>
      <c r="E469" s="2"/>
      <c r="F469" s="2">
        <v>752</v>
      </c>
      <c r="G469" s="72"/>
      <c r="H469" s="72">
        <v>35</v>
      </c>
      <c r="I469" s="72"/>
      <c r="J469" s="72">
        <v>8.6</v>
      </c>
      <c r="K469" s="21">
        <v>1110</v>
      </c>
      <c r="L469" s="21"/>
      <c r="M469" s="21"/>
      <c r="N469" s="21"/>
      <c r="O469" s="2"/>
      <c r="P469" s="2"/>
      <c r="Q469" s="197"/>
    </row>
    <row r="470" spans="1:17" ht="15" customHeight="1">
      <c r="A470" s="196">
        <v>599</v>
      </c>
      <c r="B470" s="206">
        <v>44048</v>
      </c>
      <c r="C470" s="2" t="s">
        <v>38</v>
      </c>
      <c r="D470" s="2" t="s">
        <v>1318</v>
      </c>
      <c r="E470" s="2"/>
      <c r="F470" s="2">
        <v>7716</v>
      </c>
      <c r="G470" s="72"/>
      <c r="H470" s="72">
        <v>35</v>
      </c>
      <c r="I470" s="72"/>
      <c r="J470" s="72">
        <v>8.9</v>
      </c>
      <c r="K470" s="21">
        <v>200</v>
      </c>
      <c r="L470" s="21">
        <v>1035</v>
      </c>
      <c r="M470" s="21">
        <v>201</v>
      </c>
      <c r="N470" s="21">
        <v>1419</v>
      </c>
      <c r="O470" s="2"/>
      <c r="P470" s="2"/>
      <c r="Q470" s="197"/>
    </row>
    <row r="471" spans="1:17" ht="15" customHeight="1">
      <c r="A471" s="196">
        <v>598</v>
      </c>
      <c r="B471" s="71">
        <v>44047</v>
      </c>
      <c r="C471" s="2" t="s">
        <v>105</v>
      </c>
      <c r="D471" s="2" t="s">
        <v>348</v>
      </c>
      <c r="E471" s="2"/>
      <c r="F471" s="2">
        <v>7716</v>
      </c>
      <c r="G471" s="72"/>
      <c r="H471" s="72">
        <v>42.5</v>
      </c>
      <c r="I471" s="72"/>
      <c r="J471" s="72">
        <v>8.0500000000000007</v>
      </c>
      <c r="K471" s="21">
        <v>248</v>
      </c>
      <c r="L471" s="21">
        <v>1440</v>
      </c>
      <c r="M471" s="21">
        <v>245.5</v>
      </c>
      <c r="N471" s="21">
        <v>1860</v>
      </c>
      <c r="O471" s="2"/>
      <c r="P471" s="2"/>
      <c r="Q471" s="197"/>
    </row>
    <row r="472" spans="1:17" ht="15" customHeight="1">
      <c r="A472" s="196">
        <v>597</v>
      </c>
      <c r="B472" s="71">
        <v>44047</v>
      </c>
      <c r="C472" s="2" t="s">
        <v>105</v>
      </c>
      <c r="D472" s="2" t="s">
        <v>1316</v>
      </c>
      <c r="E472" s="2"/>
      <c r="F472" s="2">
        <v>7716</v>
      </c>
      <c r="G472" s="72"/>
      <c r="H472" s="72">
        <v>42.5</v>
      </c>
      <c r="I472" s="72"/>
      <c r="J472" s="72">
        <v>9.8000000000000007</v>
      </c>
      <c r="K472" s="21">
        <v>223</v>
      </c>
      <c r="L472" s="21">
        <v>1135</v>
      </c>
      <c r="M472" s="21">
        <v>225</v>
      </c>
      <c r="N472" s="21">
        <v>1560</v>
      </c>
      <c r="O472" s="2"/>
      <c r="P472" s="2"/>
      <c r="Q472" s="197"/>
    </row>
    <row r="473" spans="1:17" ht="15" customHeight="1">
      <c r="A473" s="196">
        <v>596</v>
      </c>
      <c r="B473" s="71">
        <v>44047</v>
      </c>
      <c r="C473" s="2" t="s">
        <v>37</v>
      </c>
      <c r="D473" s="2" t="s">
        <v>376</v>
      </c>
      <c r="E473" s="2"/>
      <c r="F473" s="2">
        <v>7717</v>
      </c>
      <c r="G473" s="72"/>
      <c r="H473" s="72">
        <v>35</v>
      </c>
      <c r="I473" s="72"/>
      <c r="J473" s="72">
        <v>9.5</v>
      </c>
      <c r="K473" s="21">
        <v>208</v>
      </c>
      <c r="L473" s="21">
        <v>1100</v>
      </c>
      <c r="M473" s="21">
        <v>210</v>
      </c>
      <c r="N473" s="21">
        <v>1320</v>
      </c>
      <c r="O473" s="2"/>
      <c r="P473" s="2"/>
      <c r="Q473" s="197"/>
    </row>
    <row r="474" spans="1:17" ht="15" customHeight="1">
      <c r="A474" s="196">
        <v>595</v>
      </c>
      <c r="B474" s="71">
        <v>44047</v>
      </c>
      <c r="C474" s="2" t="s">
        <v>37</v>
      </c>
      <c r="D474" s="2" t="s">
        <v>1317</v>
      </c>
      <c r="E474" s="2"/>
      <c r="F474" s="2">
        <v>752</v>
      </c>
      <c r="G474" s="72"/>
      <c r="H474" s="72">
        <v>35</v>
      </c>
      <c r="I474" s="72"/>
      <c r="J474" s="72">
        <v>8</v>
      </c>
      <c r="K474" s="21">
        <v>208</v>
      </c>
      <c r="L474" s="21">
        <v>1100</v>
      </c>
      <c r="M474" s="21">
        <v>208</v>
      </c>
      <c r="N474" s="21"/>
      <c r="O474" s="2"/>
      <c r="P474" s="2"/>
      <c r="Q474" s="197"/>
    </row>
    <row r="475" spans="1:17" ht="15" customHeight="1">
      <c r="A475" s="196">
        <v>594</v>
      </c>
      <c r="B475" s="71">
        <v>44044</v>
      </c>
      <c r="C475" s="2" t="s">
        <v>38</v>
      </c>
      <c r="D475" s="2" t="s">
        <v>1316</v>
      </c>
      <c r="E475" s="2"/>
      <c r="F475" s="2">
        <v>7716</v>
      </c>
      <c r="G475" s="72"/>
      <c r="H475" s="72">
        <v>42.5</v>
      </c>
      <c r="I475" s="72"/>
      <c r="J475" s="72">
        <v>10.95</v>
      </c>
      <c r="K475" s="21">
        <v>223</v>
      </c>
      <c r="L475" s="21">
        <v>1025</v>
      </c>
      <c r="M475" s="21">
        <v>226</v>
      </c>
      <c r="N475" s="21">
        <v>1425</v>
      </c>
      <c r="O475" s="2"/>
      <c r="P475" s="2"/>
      <c r="Q475" s="197"/>
    </row>
    <row r="476" spans="1:17" ht="15" customHeight="1">
      <c r="A476" s="196">
        <v>593</v>
      </c>
      <c r="B476" s="71">
        <v>44044</v>
      </c>
      <c r="C476" s="2" t="s">
        <v>105</v>
      </c>
      <c r="D476" s="2" t="s">
        <v>1252</v>
      </c>
      <c r="E476" s="2"/>
      <c r="F476" s="2">
        <v>7716</v>
      </c>
      <c r="G476" s="72"/>
      <c r="H476" s="72">
        <v>42.5</v>
      </c>
      <c r="I476" s="72"/>
      <c r="J476" s="72">
        <v>7</v>
      </c>
      <c r="K476" s="21">
        <v>293</v>
      </c>
      <c r="L476" s="21">
        <v>700</v>
      </c>
      <c r="M476" s="21">
        <v>298</v>
      </c>
      <c r="N476" s="21">
        <v>2220</v>
      </c>
      <c r="O476" s="2"/>
      <c r="P476" s="2"/>
      <c r="Q476" s="197"/>
    </row>
    <row r="477" spans="1:17" ht="15" customHeight="1">
      <c r="A477" s="196">
        <v>592</v>
      </c>
      <c r="B477" s="71">
        <v>44044</v>
      </c>
      <c r="C477" s="2" t="s">
        <v>105</v>
      </c>
      <c r="D477" s="2" t="s">
        <v>348</v>
      </c>
      <c r="E477" s="2"/>
      <c r="F477" s="2">
        <v>7716</v>
      </c>
      <c r="G477" s="72"/>
      <c r="H477" s="72">
        <v>42.5</v>
      </c>
      <c r="I477" s="72"/>
      <c r="J477" s="72"/>
      <c r="K477" s="21"/>
      <c r="L477" s="21"/>
      <c r="M477" s="21"/>
      <c r="N477" s="21"/>
      <c r="O477" s="2"/>
      <c r="P477" s="2"/>
      <c r="Q477" s="197"/>
    </row>
    <row r="478" spans="1:17" ht="15" customHeight="1">
      <c r="A478" s="196">
        <v>591</v>
      </c>
      <c r="B478" s="71">
        <v>44044</v>
      </c>
      <c r="C478" s="2" t="s">
        <v>38</v>
      </c>
      <c r="D478" s="2" t="s">
        <v>348</v>
      </c>
      <c r="E478" s="2"/>
      <c r="F478" s="2">
        <v>7716</v>
      </c>
      <c r="G478" s="72"/>
      <c r="H478" s="72">
        <v>42.5</v>
      </c>
      <c r="I478" s="72"/>
      <c r="J478" s="72">
        <v>8.15</v>
      </c>
      <c r="K478" s="21">
        <v>247</v>
      </c>
      <c r="L478" s="21">
        <v>1445</v>
      </c>
      <c r="M478" s="21">
        <v>245</v>
      </c>
      <c r="N478" s="21">
        <v>1855</v>
      </c>
      <c r="O478" s="2"/>
      <c r="P478" s="2"/>
      <c r="Q478" s="197"/>
    </row>
    <row r="479" spans="1:17" ht="15" customHeight="1">
      <c r="A479" s="196">
        <v>590</v>
      </c>
      <c r="B479" s="71">
        <v>44044</v>
      </c>
      <c r="C479" s="2" t="s">
        <v>38</v>
      </c>
      <c r="D479" s="2" t="s">
        <v>348</v>
      </c>
      <c r="E479" s="2"/>
      <c r="F479" s="2">
        <v>7716</v>
      </c>
      <c r="G479" s="72"/>
      <c r="H479" s="72">
        <v>42.5</v>
      </c>
      <c r="I479" s="72"/>
      <c r="J479" s="72">
        <v>8.0500000000000007</v>
      </c>
      <c r="K479" s="21">
        <v>248</v>
      </c>
      <c r="L479" s="21">
        <v>1465</v>
      </c>
      <c r="M479" s="21">
        <v>246.5</v>
      </c>
      <c r="N479" s="21">
        <v>1860</v>
      </c>
      <c r="O479" s="2"/>
      <c r="P479" s="2"/>
      <c r="Q479" s="197"/>
    </row>
    <row r="480" spans="1:17" ht="15" customHeight="1">
      <c r="A480" s="196">
        <v>589</v>
      </c>
      <c r="B480" s="71">
        <v>44043</v>
      </c>
      <c r="C480" s="2" t="s">
        <v>105</v>
      </c>
      <c r="D480" s="2" t="s">
        <v>1314</v>
      </c>
      <c r="E480" s="2"/>
      <c r="F480" s="2" t="s">
        <v>1242</v>
      </c>
      <c r="G480" s="72"/>
      <c r="H480" s="72" t="s">
        <v>1315</v>
      </c>
      <c r="I480" s="72"/>
      <c r="J480" s="72">
        <v>6.86</v>
      </c>
      <c r="K480" s="21">
        <v>291</v>
      </c>
      <c r="L480" s="21">
        <v>1680</v>
      </c>
      <c r="M480" s="21">
        <v>295</v>
      </c>
      <c r="N480" s="21">
        <v>2143</v>
      </c>
      <c r="O480" s="2"/>
      <c r="P480" s="2"/>
      <c r="Q480" s="197"/>
    </row>
    <row r="481" spans="1:17" ht="15" customHeight="1">
      <c r="A481" s="196">
        <v>588</v>
      </c>
      <c r="B481" s="71">
        <v>44042</v>
      </c>
      <c r="C481" s="2" t="s">
        <v>37</v>
      </c>
      <c r="D481" s="2" t="s">
        <v>354</v>
      </c>
      <c r="E481" s="2"/>
      <c r="F481" s="2">
        <v>7716</v>
      </c>
      <c r="G481" s="72"/>
      <c r="H481" s="72">
        <v>35</v>
      </c>
      <c r="I481" s="72"/>
      <c r="J481" s="72">
        <v>10.65</v>
      </c>
      <c r="K481" s="21">
        <v>192</v>
      </c>
      <c r="L481" s="21">
        <v>845</v>
      </c>
      <c r="M481" s="21">
        <v>195</v>
      </c>
      <c r="N481" s="21"/>
      <c r="O481" s="2"/>
      <c r="P481" s="2"/>
      <c r="Q481" s="197"/>
    </row>
    <row r="482" spans="1:17" ht="15" customHeight="1">
      <c r="A482" s="196">
        <v>587</v>
      </c>
      <c r="B482" s="71">
        <v>44042</v>
      </c>
      <c r="C482" s="2" t="s">
        <v>38</v>
      </c>
      <c r="D482" s="2" t="s">
        <v>348</v>
      </c>
      <c r="E482" s="2"/>
      <c r="F482" s="2">
        <v>7716</v>
      </c>
      <c r="G482" s="72"/>
      <c r="H482" s="72">
        <v>42.5</v>
      </c>
      <c r="I482" s="72"/>
      <c r="J482" s="72">
        <v>8</v>
      </c>
      <c r="K482" s="21">
        <v>247</v>
      </c>
      <c r="L482" s="21">
        <v>1480</v>
      </c>
      <c r="M482" s="21">
        <v>247</v>
      </c>
      <c r="N482" s="21">
        <v>1875</v>
      </c>
      <c r="O482" s="2"/>
      <c r="P482" s="2"/>
      <c r="Q482" s="197"/>
    </row>
    <row r="483" spans="1:17" ht="15" customHeight="1">
      <c r="A483" s="196">
        <v>586</v>
      </c>
      <c r="B483" s="71">
        <v>44041</v>
      </c>
      <c r="C483" s="2" t="s">
        <v>36</v>
      </c>
      <c r="D483" s="2" t="s">
        <v>348</v>
      </c>
      <c r="E483" s="2"/>
      <c r="F483" s="2">
        <v>7716</v>
      </c>
      <c r="G483" s="72"/>
      <c r="H483" s="72">
        <v>42.5</v>
      </c>
      <c r="I483" s="72"/>
      <c r="J483" s="72">
        <v>7.85</v>
      </c>
      <c r="K483" s="21">
        <v>248</v>
      </c>
      <c r="L483" s="21">
        <v>1491</v>
      </c>
      <c r="M483" s="21">
        <v>246</v>
      </c>
      <c r="N483" s="21">
        <v>1450</v>
      </c>
      <c r="O483" s="2"/>
      <c r="P483" s="2"/>
      <c r="Q483" s="197"/>
    </row>
    <row r="484" spans="1:17" ht="15" customHeight="1">
      <c r="A484" s="196">
        <v>585</v>
      </c>
      <c r="B484" s="71">
        <v>44039</v>
      </c>
      <c r="C484" s="2" t="s">
        <v>105</v>
      </c>
      <c r="D484" s="2" t="s">
        <v>1253</v>
      </c>
      <c r="E484" s="2"/>
      <c r="F484" s="2">
        <v>7716</v>
      </c>
      <c r="G484" s="72"/>
      <c r="H484" s="72">
        <v>42.5</v>
      </c>
      <c r="I484" s="72"/>
      <c r="J484" s="72">
        <v>7.35</v>
      </c>
      <c r="K484" s="21">
        <v>257</v>
      </c>
      <c r="L484" s="21">
        <v>1620</v>
      </c>
      <c r="M484" s="21">
        <v>257</v>
      </c>
      <c r="N484" s="21">
        <v>2055</v>
      </c>
      <c r="O484" s="2"/>
      <c r="P484" s="2"/>
      <c r="Q484" s="197"/>
    </row>
    <row r="485" spans="1:17" ht="15" customHeight="1">
      <c r="A485" s="196">
        <v>584</v>
      </c>
      <c r="B485" s="71">
        <v>44039</v>
      </c>
      <c r="C485" s="2" t="s">
        <v>105</v>
      </c>
      <c r="D485" s="2" t="s">
        <v>337</v>
      </c>
      <c r="E485" s="2"/>
      <c r="F485" s="2">
        <v>7716</v>
      </c>
      <c r="G485" s="72"/>
      <c r="H485" s="72">
        <v>42.5</v>
      </c>
      <c r="I485" s="72"/>
      <c r="J485" s="72">
        <v>10.23</v>
      </c>
      <c r="K485" s="21">
        <v>223</v>
      </c>
      <c r="L485" s="21">
        <v>1135</v>
      </c>
      <c r="M485" s="21">
        <v>226</v>
      </c>
      <c r="N485" s="21">
        <v>1466</v>
      </c>
      <c r="O485" s="2"/>
      <c r="P485" s="2"/>
      <c r="Q485" s="197"/>
    </row>
    <row r="486" spans="1:17" ht="15" customHeight="1">
      <c r="A486" s="196">
        <v>583</v>
      </c>
      <c r="B486" s="71">
        <v>44039</v>
      </c>
      <c r="C486" s="2" t="s">
        <v>105</v>
      </c>
      <c r="D486" s="2" t="s">
        <v>1314</v>
      </c>
      <c r="E486" s="2"/>
      <c r="F486" s="2"/>
      <c r="G486" s="72"/>
      <c r="H486" s="72"/>
      <c r="I486" s="72"/>
      <c r="J486" s="72"/>
      <c r="K486" s="21"/>
      <c r="L486" s="21"/>
      <c r="M486" s="21"/>
      <c r="N486" s="21"/>
      <c r="O486" s="2"/>
      <c r="P486" s="2"/>
      <c r="Q486" s="197"/>
    </row>
    <row r="487" spans="1:17" ht="15" customHeight="1">
      <c r="A487" s="196">
        <v>582</v>
      </c>
      <c r="B487" s="71">
        <v>44039</v>
      </c>
      <c r="C487" s="2" t="s">
        <v>105</v>
      </c>
      <c r="D487" s="2"/>
      <c r="E487" s="2"/>
      <c r="F487" s="2"/>
      <c r="G487" s="72"/>
      <c r="H487" s="72"/>
      <c r="I487" s="72"/>
      <c r="J487" s="72"/>
      <c r="K487" s="21"/>
      <c r="L487" s="21"/>
      <c r="M487" s="21"/>
      <c r="N487" s="21"/>
      <c r="O487" s="2"/>
      <c r="P487" s="2"/>
      <c r="Q487" s="197"/>
    </row>
    <row r="488" spans="1:17" ht="15" customHeight="1">
      <c r="A488" s="196">
        <v>581</v>
      </c>
      <c r="B488" s="71">
        <v>44039</v>
      </c>
      <c r="C488" s="2" t="s">
        <v>37</v>
      </c>
      <c r="D488" s="2" t="s">
        <v>1251</v>
      </c>
      <c r="E488" s="2"/>
      <c r="F488" s="2">
        <v>7716</v>
      </c>
      <c r="G488" s="72"/>
      <c r="H488" s="72">
        <v>35</v>
      </c>
      <c r="I488" s="72"/>
      <c r="J488" s="72">
        <v>8.8699999999999992</v>
      </c>
      <c r="K488" s="21">
        <v>199</v>
      </c>
      <c r="L488" s="21">
        <v>1060</v>
      </c>
      <c r="M488" s="21">
        <v>200</v>
      </c>
      <c r="N488" s="21">
        <v>1400</v>
      </c>
      <c r="O488" s="2"/>
      <c r="P488" s="2"/>
      <c r="Q488" s="197"/>
    </row>
    <row r="489" spans="1:17" ht="15" customHeight="1">
      <c r="A489" s="196">
        <v>580</v>
      </c>
      <c r="B489" s="71">
        <v>44037</v>
      </c>
      <c r="C489" s="2" t="s">
        <v>105</v>
      </c>
      <c r="D489" s="2" t="s">
        <v>1252</v>
      </c>
      <c r="E489" s="2"/>
      <c r="F489" s="2">
        <v>7716</v>
      </c>
      <c r="G489" s="72"/>
      <c r="H489" s="72">
        <v>42.5</v>
      </c>
      <c r="I489" s="72"/>
      <c r="J489" s="72">
        <v>6.95</v>
      </c>
      <c r="K489" s="21">
        <v>293</v>
      </c>
      <c r="L489" s="21">
        <v>1700</v>
      </c>
      <c r="M489" s="21">
        <v>295</v>
      </c>
      <c r="N489" s="21">
        <v>2185</v>
      </c>
      <c r="O489" s="2"/>
      <c r="P489" s="2"/>
      <c r="Q489" s="197"/>
    </row>
    <row r="490" spans="1:17" ht="15" customHeight="1">
      <c r="A490" s="196">
        <v>579</v>
      </c>
      <c r="B490" s="71">
        <v>44037</v>
      </c>
      <c r="C490" s="2" t="s">
        <v>105</v>
      </c>
      <c r="D490" s="2" t="s">
        <v>337</v>
      </c>
      <c r="E490" s="2"/>
      <c r="F490" s="2">
        <v>7716</v>
      </c>
      <c r="G490" s="72"/>
      <c r="H490" s="72">
        <v>42.5</v>
      </c>
      <c r="I490" s="72"/>
      <c r="J490" s="72">
        <v>10.050000000000001</v>
      </c>
      <c r="K490" s="21" t="s">
        <v>1308</v>
      </c>
      <c r="L490" s="21" t="s">
        <v>1309</v>
      </c>
      <c r="M490" s="21" t="s">
        <v>158</v>
      </c>
      <c r="N490" s="21" t="s">
        <v>1310</v>
      </c>
      <c r="O490" s="2"/>
      <c r="P490" s="2"/>
      <c r="Q490" s="197"/>
    </row>
    <row r="491" spans="1:17" ht="15" customHeight="1">
      <c r="A491" s="196">
        <v>578</v>
      </c>
      <c r="B491" s="71">
        <v>44037</v>
      </c>
      <c r="C491" s="2" t="s">
        <v>105</v>
      </c>
      <c r="D491" s="2" t="s">
        <v>1251</v>
      </c>
      <c r="E491" s="2"/>
      <c r="F491" s="2">
        <v>7716</v>
      </c>
      <c r="G491" s="72"/>
      <c r="H491" s="72">
        <v>35</v>
      </c>
      <c r="I491" s="72"/>
      <c r="J491" s="72">
        <v>8.65</v>
      </c>
      <c r="K491" s="21" t="s">
        <v>1311</v>
      </c>
      <c r="L491" s="21" t="s">
        <v>1312</v>
      </c>
      <c r="M491" s="21">
        <v>200</v>
      </c>
      <c r="N491" s="21" t="s">
        <v>1313</v>
      </c>
      <c r="O491" s="2"/>
      <c r="P491" s="2"/>
      <c r="Q491" s="197"/>
    </row>
    <row r="492" spans="1:17" ht="15" customHeight="1">
      <c r="A492" s="196">
        <v>577</v>
      </c>
      <c r="B492" s="71">
        <v>44037</v>
      </c>
      <c r="C492" s="2" t="s">
        <v>38</v>
      </c>
      <c r="D492" s="2" t="s">
        <v>1253</v>
      </c>
      <c r="E492" s="2"/>
      <c r="F492" s="2">
        <v>7716</v>
      </c>
      <c r="G492" s="72"/>
      <c r="H492" s="72">
        <v>42.5</v>
      </c>
      <c r="I492" s="72"/>
      <c r="J492" s="72">
        <v>7.35</v>
      </c>
      <c r="K492" s="21">
        <v>258</v>
      </c>
      <c r="L492" s="21">
        <v>1600</v>
      </c>
      <c r="M492" s="21">
        <v>257</v>
      </c>
      <c r="N492" s="21">
        <v>2025</v>
      </c>
      <c r="O492" s="2"/>
      <c r="P492" s="2"/>
      <c r="Q492" s="197"/>
    </row>
    <row r="493" spans="1:17" ht="15" customHeight="1">
      <c r="A493" s="196">
        <v>576</v>
      </c>
      <c r="B493" s="71">
        <v>44037</v>
      </c>
      <c r="C493" s="2" t="s">
        <v>38</v>
      </c>
      <c r="D493" s="2" t="s">
        <v>1252</v>
      </c>
      <c r="E493" s="2"/>
      <c r="F493" s="2">
        <v>7716</v>
      </c>
      <c r="G493" s="72"/>
      <c r="H493" s="72">
        <v>42.5</v>
      </c>
      <c r="I493" s="72"/>
      <c r="J493" s="72">
        <v>6.99</v>
      </c>
      <c r="K493" s="21">
        <v>293</v>
      </c>
      <c r="L493" s="21">
        <v>1711</v>
      </c>
      <c r="M493" s="21">
        <v>295</v>
      </c>
      <c r="N493" s="21"/>
      <c r="O493" s="2"/>
      <c r="P493" s="2"/>
      <c r="Q493" s="197"/>
    </row>
    <row r="494" spans="1:17" ht="15" customHeight="1">
      <c r="A494" s="196">
        <v>575</v>
      </c>
      <c r="B494" s="71">
        <v>44036</v>
      </c>
      <c r="C494" s="2" t="s">
        <v>105</v>
      </c>
      <c r="D494" s="2" t="s">
        <v>1250</v>
      </c>
      <c r="E494" s="2"/>
      <c r="F494" s="2">
        <v>7716</v>
      </c>
      <c r="G494" s="72"/>
      <c r="H494" s="72">
        <v>35</v>
      </c>
      <c r="I494" s="72"/>
      <c r="J494" s="72">
        <v>10.6</v>
      </c>
      <c r="K494" s="21">
        <v>186</v>
      </c>
      <c r="L494" s="21">
        <v>860</v>
      </c>
      <c r="M494" s="21">
        <v>190</v>
      </c>
      <c r="N494" s="21">
        <v>1170</v>
      </c>
      <c r="O494" s="2"/>
      <c r="P494" s="2"/>
      <c r="Q494" s="197"/>
    </row>
    <row r="495" spans="1:17" ht="15" customHeight="1">
      <c r="A495" s="196">
        <v>574</v>
      </c>
      <c r="B495" s="71">
        <v>44036</v>
      </c>
      <c r="C495" s="2" t="s">
        <v>105</v>
      </c>
      <c r="D495" s="2" t="s">
        <v>1251</v>
      </c>
      <c r="E495" s="2"/>
      <c r="F495" s="2">
        <v>7716</v>
      </c>
      <c r="G495" s="72"/>
      <c r="H495" s="72">
        <v>35</v>
      </c>
      <c r="I495" s="72"/>
      <c r="J495" s="72">
        <v>8.6</v>
      </c>
      <c r="K495" s="21">
        <v>199</v>
      </c>
      <c r="L495" s="21">
        <v>1100</v>
      </c>
      <c r="M495" s="21">
        <v>199</v>
      </c>
      <c r="N495" s="21"/>
      <c r="O495" s="2"/>
      <c r="P495" s="2"/>
      <c r="Q495" s="197"/>
    </row>
    <row r="496" spans="1:17" ht="15" customHeight="1">
      <c r="A496" s="196">
        <v>573</v>
      </c>
      <c r="B496" s="71">
        <v>44036</v>
      </c>
      <c r="C496" s="2" t="s">
        <v>105</v>
      </c>
      <c r="D496" s="2" t="s">
        <v>1260</v>
      </c>
      <c r="E496" s="2"/>
      <c r="F496" s="2">
        <v>7717</v>
      </c>
      <c r="G496" s="72"/>
      <c r="H496" s="72">
        <v>35</v>
      </c>
      <c r="I496" s="72"/>
      <c r="J496" s="72">
        <v>8.5</v>
      </c>
      <c r="K496" s="21">
        <v>208</v>
      </c>
      <c r="L496" s="21">
        <v>1160</v>
      </c>
      <c r="M496" s="21">
        <v>210</v>
      </c>
      <c r="N496" s="21">
        <v>1475</v>
      </c>
      <c r="O496" s="2"/>
      <c r="P496" s="2"/>
      <c r="Q496" s="197"/>
    </row>
    <row r="497" spans="1:17" ht="15" customHeight="1">
      <c r="A497" s="196">
        <v>572</v>
      </c>
      <c r="B497" s="71">
        <v>44036</v>
      </c>
      <c r="C497" s="2" t="s">
        <v>105</v>
      </c>
      <c r="D497" s="2" t="s">
        <v>1307</v>
      </c>
      <c r="E497" s="2"/>
      <c r="F497" s="2">
        <v>7717</v>
      </c>
      <c r="G497" s="72"/>
      <c r="H497" s="72">
        <v>35</v>
      </c>
      <c r="I497" s="72"/>
      <c r="J497" s="72">
        <v>8</v>
      </c>
      <c r="K497" s="21">
        <v>208</v>
      </c>
      <c r="L497" s="21"/>
      <c r="M497" s="21">
        <v>210</v>
      </c>
      <c r="N497" s="21"/>
      <c r="O497" s="2"/>
      <c r="P497" s="2"/>
      <c r="Q497" s="197"/>
    </row>
    <row r="498" spans="1:17" ht="15" customHeight="1">
      <c r="A498" s="196">
        <v>571</v>
      </c>
      <c r="B498" s="71">
        <v>44036</v>
      </c>
      <c r="C498" s="2" t="s">
        <v>38</v>
      </c>
      <c r="D498" s="2" t="s">
        <v>337</v>
      </c>
      <c r="E498" s="2"/>
      <c r="F498" s="2">
        <v>7716</v>
      </c>
      <c r="G498" s="72"/>
      <c r="H498" s="72">
        <v>42.5</v>
      </c>
      <c r="I498" s="72"/>
      <c r="J498" s="72">
        <v>10.15</v>
      </c>
      <c r="K498" s="21">
        <v>222</v>
      </c>
      <c r="L498" s="21">
        <v>1160</v>
      </c>
      <c r="M498" s="21">
        <v>226</v>
      </c>
      <c r="N498" s="21">
        <v>1465</v>
      </c>
      <c r="O498" s="2"/>
      <c r="P498" s="2"/>
      <c r="Q498" s="197"/>
    </row>
    <row r="499" spans="1:17" ht="15" customHeight="1">
      <c r="A499" s="196">
        <v>570</v>
      </c>
      <c r="B499" s="71">
        <v>44036</v>
      </c>
      <c r="C499" s="2" t="s">
        <v>38</v>
      </c>
      <c r="D499" s="2" t="s">
        <v>1252</v>
      </c>
      <c r="E499" s="2"/>
      <c r="F499" s="2">
        <v>7716</v>
      </c>
      <c r="G499" s="72"/>
      <c r="H499" s="72">
        <v>42.5</v>
      </c>
      <c r="I499" s="72"/>
      <c r="J499" s="72">
        <v>7.2</v>
      </c>
      <c r="K499" s="21">
        <v>291</v>
      </c>
      <c r="L499" s="21">
        <v>1600</v>
      </c>
      <c r="M499" s="21">
        <v>226</v>
      </c>
      <c r="N499" s="21">
        <v>2070</v>
      </c>
      <c r="O499" s="2"/>
      <c r="P499" s="2"/>
      <c r="Q499" s="197"/>
    </row>
    <row r="500" spans="1:17" ht="15" customHeight="1">
      <c r="A500" s="196">
        <v>569</v>
      </c>
      <c r="B500" s="71">
        <v>44036</v>
      </c>
      <c r="C500" s="2" t="s">
        <v>38</v>
      </c>
      <c r="D500" s="2" t="s">
        <v>1252</v>
      </c>
      <c r="E500" s="2"/>
      <c r="F500" s="2">
        <v>7716</v>
      </c>
      <c r="G500" s="72"/>
      <c r="H500" s="72">
        <v>42.5</v>
      </c>
      <c r="I500" s="72"/>
      <c r="J500" s="72">
        <v>7.05</v>
      </c>
      <c r="K500" s="21">
        <v>294</v>
      </c>
      <c r="L500" s="21">
        <v>1690</v>
      </c>
      <c r="M500" s="21">
        <v>295</v>
      </c>
      <c r="N500" s="21">
        <v>2165</v>
      </c>
      <c r="O500" s="2"/>
      <c r="P500" s="2"/>
      <c r="Q500" s="197"/>
    </row>
    <row r="501" spans="1:17" ht="15" customHeight="1">
      <c r="A501" s="196">
        <v>568</v>
      </c>
      <c r="B501" s="71">
        <v>44036</v>
      </c>
      <c r="C501" s="2" t="s">
        <v>38</v>
      </c>
      <c r="D501" s="2" t="s">
        <v>1252</v>
      </c>
      <c r="E501" s="2"/>
      <c r="F501" s="2">
        <v>7716</v>
      </c>
      <c r="G501" s="72"/>
      <c r="H501" s="72">
        <v>42.5</v>
      </c>
      <c r="I501" s="72"/>
      <c r="J501" s="72">
        <v>7</v>
      </c>
      <c r="K501" s="21">
        <v>294</v>
      </c>
      <c r="L501" s="21">
        <v>1735</v>
      </c>
      <c r="M501" s="21">
        <v>295</v>
      </c>
      <c r="N501" s="21">
        <v>2169</v>
      </c>
      <c r="O501" s="2"/>
      <c r="P501" s="2"/>
      <c r="Q501" s="197"/>
    </row>
    <row r="502" spans="1:17" ht="15" customHeight="1">
      <c r="A502" s="196">
        <v>567</v>
      </c>
      <c r="B502" s="71">
        <v>44035</v>
      </c>
      <c r="C502" s="2" t="s">
        <v>105</v>
      </c>
      <c r="D502" s="2" t="s">
        <v>1290</v>
      </c>
      <c r="E502" s="2"/>
      <c r="F502" s="2">
        <v>7199</v>
      </c>
      <c r="G502" s="72"/>
      <c r="H502" s="72">
        <v>35</v>
      </c>
      <c r="I502" s="72"/>
      <c r="J502" s="72">
        <v>5.65</v>
      </c>
      <c r="K502" s="21">
        <v>278</v>
      </c>
      <c r="L502" s="21"/>
      <c r="M502" s="21" t="s">
        <v>1301</v>
      </c>
      <c r="N502" s="21" t="s">
        <v>1302</v>
      </c>
      <c r="O502" s="2"/>
      <c r="P502" s="2"/>
      <c r="Q502" s="197"/>
    </row>
    <row r="503" spans="1:17" ht="15" customHeight="1">
      <c r="A503" s="196">
        <v>566</v>
      </c>
      <c r="B503" s="71">
        <v>44035</v>
      </c>
      <c r="C503" s="2" t="s">
        <v>105</v>
      </c>
      <c r="D503" s="2" t="s">
        <v>1279</v>
      </c>
      <c r="E503" s="2"/>
      <c r="F503" s="2">
        <v>7199</v>
      </c>
      <c r="G503" s="72"/>
      <c r="H503" s="72">
        <v>35</v>
      </c>
      <c r="I503" s="72"/>
      <c r="J503" s="72">
        <v>9.15</v>
      </c>
      <c r="K503" s="21">
        <v>198</v>
      </c>
      <c r="L503" s="21" t="s">
        <v>1303</v>
      </c>
      <c r="M503" s="21">
        <v>50</v>
      </c>
      <c r="N503" s="21" t="s">
        <v>1304</v>
      </c>
      <c r="O503" s="2"/>
      <c r="P503" s="2"/>
      <c r="Q503" s="197"/>
    </row>
    <row r="504" spans="1:17" ht="15" customHeight="1">
      <c r="A504" s="196">
        <v>565</v>
      </c>
      <c r="B504" s="71">
        <v>44035</v>
      </c>
      <c r="C504" s="2" t="s">
        <v>105</v>
      </c>
      <c r="D504" s="2" t="s">
        <v>1281</v>
      </c>
      <c r="E504" s="2"/>
      <c r="F504" s="2">
        <v>7199</v>
      </c>
      <c r="G504" s="72"/>
      <c r="H504" s="72">
        <v>35</v>
      </c>
      <c r="I504" s="72"/>
      <c r="J504" s="72">
        <v>9.85</v>
      </c>
      <c r="K504" s="21">
        <v>202</v>
      </c>
      <c r="L504" s="21" t="s">
        <v>1305</v>
      </c>
      <c r="M504" s="21">
        <v>209</v>
      </c>
      <c r="N504" s="21" t="s">
        <v>1306</v>
      </c>
      <c r="O504" s="2"/>
      <c r="P504" s="2"/>
      <c r="Q504" s="197"/>
    </row>
    <row r="505" spans="1:17" ht="15" customHeight="1">
      <c r="A505" s="196">
        <v>564</v>
      </c>
      <c r="B505" s="71">
        <v>44035</v>
      </c>
      <c r="C505" s="2" t="s">
        <v>105</v>
      </c>
      <c r="D505" s="2" t="s">
        <v>1280</v>
      </c>
      <c r="E505" s="2"/>
      <c r="F505" s="2">
        <v>7199</v>
      </c>
      <c r="G505" s="72"/>
      <c r="H505" s="72">
        <v>35</v>
      </c>
      <c r="I505" s="72"/>
      <c r="J505" s="72">
        <v>5.85</v>
      </c>
      <c r="K505" s="21">
        <v>280</v>
      </c>
      <c r="L505" s="21">
        <v>1500</v>
      </c>
      <c r="M505" s="21">
        <v>284</v>
      </c>
      <c r="N505" s="21">
        <v>2020</v>
      </c>
      <c r="O505" s="2"/>
      <c r="P505" s="2"/>
      <c r="Q505" s="197"/>
    </row>
    <row r="506" spans="1:17" ht="15" customHeight="1">
      <c r="A506" s="196">
        <v>563</v>
      </c>
      <c r="B506" s="71">
        <v>44035</v>
      </c>
      <c r="C506" s="2" t="s">
        <v>38</v>
      </c>
      <c r="D506" s="2" t="s">
        <v>1307</v>
      </c>
      <c r="E506" s="2"/>
      <c r="F506" s="2">
        <v>7717</v>
      </c>
      <c r="G506" s="72"/>
      <c r="H506" s="72">
        <v>35</v>
      </c>
      <c r="I506" s="72"/>
      <c r="J506" s="72">
        <v>8.5500000000000007</v>
      </c>
      <c r="K506" s="21">
        <v>208</v>
      </c>
      <c r="L506" s="21">
        <v>1155</v>
      </c>
      <c r="M506" s="21">
        <v>210</v>
      </c>
      <c r="N506" s="21">
        <v>1460</v>
      </c>
      <c r="O506" s="2"/>
      <c r="P506" s="2"/>
      <c r="Q506" s="197"/>
    </row>
    <row r="507" spans="1:17" ht="15" customHeight="1">
      <c r="A507" s="196">
        <v>562</v>
      </c>
      <c r="B507" s="71">
        <v>44034</v>
      </c>
      <c r="C507" s="2" t="s">
        <v>38</v>
      </c>
      <c r="D507" s="2" t="s">
        <v>337</v>
      </c>
      <c r="E507" s="2"/>
      <c r="F507" s="2">
        <v>7716</v>
      </c>
      <c r="G507" s="72"/>
      <c r="H507" s="72">
        <v>42.5</v>
      </c>
      <c r="I507" s="72"/>
      <c r="J507" s="72">
        <v>10.1</v>
      </c>
      <c r="K507" s="21">
        <v>223</v>
      </c>
      <c r="L507" s="21">
        <v>1150</v>
      </c>
      <c r="M507" s="21">
        <v>225</v>
      </c>
      <c r="N507" s="21">
        <v>1420</v>
      </c>
      <c r="O507" s="2"/>
      <c r="P507" s="2"/>
      <c r="Q507" s="197"/>
    </row>
    <row r="508" spans="1:17" ht="15" customHeight="1">
      <c r="A508" s="196">
        <v>561</v>
      </c>
      <c r="B508" s="71">
        <v>44033</v>
      </c>
      <c r="C508" s="2" t="s">
        <v>105</v>
      </c>
      <c r="D508" s="2" t="s">
        <v>1280</v>
      </c>
      <c r="E508" s="2"/>
      <c r="F508" s="2">
        <v>7199</v>
      </c>
      <c r="G508" s="72"/>
      <c r="H508" s="72">
        <v>35</v>
      </c>
      <c r="I508" s="72"/>
      <c r="J508" s="72">
        <v>5.8</v>
      </c>
      <c r="K508" s="21">
        <v>280</v>
      </c>
      <c r="L508" s="21" t="s">
        <v>1295</v>
      </c>
      <c r="M508" s="21" t="s">
        <v>1296</v>
      </c>
      <c r="N508" s="21" t="s">
        <v>1297</v>
      </c>
      <c r="O508" s="2"/>
      <c r="P508" s="2"/>
      <c r="Q508" s="197"/>
    </row>
    <row r="509" spans="1:17" ht="15" customHeight="1">
      <c r="A509" s="196">
        <v>560</v>
      </c>
      <c r="B509" s="71">
        <v>44033</v>
      </c>
      <c r="C509" s="2" t="s">
        <v>105</v>
      </c>
      <c r="D509" s="2" t="s">
        <v>1279</v>
      </c>
      <c r="E509" s="2"/>
      <c r="F509" s="2">
        <v>7199</v>
      </c>
      <c r="G509" s="72"/>
      <c r="H509" s="72">
        <v>35</v>
      </c>
      <c r="I509" s="72"/>
      <c r="J509" s="72">
        <v>905</v>
      </c>
      <c r="K509" s="21">
        <v>200</v>
      </c>
      <c r="L509" s="21">
        <v>890</v>
      </c>
      <c r="M509" s="21">
        <v>210</v>
      </c>
      <c r="N509" s="21" t="s">
        <v>1298</v>
      </c>
      <c r="O509" s="2"/>
      <c r="P509" s="2"/>
      <c r="Q509" s="197"/>
    </row>
    <row r="510" spans="1:17" ht="15" customHeight="1">
      <c r="A510" s="196">
        <v>559</v>
      </c>
      <c r="B510" s="71">
        <v>44033</v>
      </c>
      <c r="C510" s="2" t="s">
        <v>105</v>
      </c>
      <c r="D510" s="2" t="s">
        <v>1290</v>
      </c>
      <c r="E510" s="2"/>
      <c r="F510" s="2">
        <v>7199</v>
      </c>
      <c r="G510" s="72"/>
      <c r="H510" s="72">
        <v>35</v>
      </c>
      <c r="I510" s="72"/>
      <c r="J510" s="72">
        <v>55</v>
      </c>
      <c r="K510" s="21">
        <v>280</v>
      </c>
      <c r="L510" s="21" t="s">
        <v>1299</v>
      </c>
      <c r="M510" s="21" t="s">
        <v>1296</v>
      </c>
      <c r="N510" s="21" t="s">
        <v>1300</v>
      </c>
      <c r="O510" s="2"/>
      <c r="P510" s="2"/>
      <c r="Q510" s="197"/>
    </row>
    <row r="511" spans="1:17" ht="15" customHeight="1">
      <c r="A511" s="196">
        <v>558</v>
      </c>
      <c r="B511" s="71">
        <v>44028</v>
      </c>
      <c r="C511" s="2" t="s">
        <v>105</v>
      </c>
      <c r="D511" s="2" t="s">
        <v>1294</v>
      </c>
      <c r="E511" s="2"/>
      <c r="F511" s="2">
        <v>7717</v>
      </c>
      <c r="G511" s="72"/>
      <c r="H511" s="72">
        <v>42.5</v>
      </c>
      <c r="I511" s="72"/>
      <c r="J511" s="72">
        <v>8.5500000000000007</v>
      </c>
      <c r="K511" s="21">
        <v>235</v>
      </c>
      <c r="L511" s="21">
        <v>1460</v>
      </c>
      <c r="M511" s="21">
        <v>235</v>
      </c>
      <c r="N511" s="21">
        <v>1840</v>
      </c>
      <c r="O511" s="2"/>
      <c r="P511" s="2"/>
      <c r="Q511" s="197"/>
    </row>
    <row r="512" spans="1:17" ht="15" customHeight="1">
      <c r="A512" s="196">
        <v>557</v>
      </c>
      <c r="B512" s="71">
        <v>44027</v>
      </c>
      <c r="C512" s="2" t="s">
        <v>105</v>
      </c>
      <c r="D512" s="2" t="s">
        <v>372</v>
      </c>
      <c r="E512" s="2"/>
      <c r="F512" s="2">
        <v>7716</v>
      </c>
      <c r="G512" s="72"/>
      <c r="H512" s="72">
        <v>42.5</v>
      </c>
      <c r="I512" s="72"/>
      <c r="J512" s="72">
        <v>8.85</v>
      </c>
      <c r="K512" s="21">
        <v>231</v>
      </c>
      <c r="L512" s="21">
        <v>1320</v>
      </c>
      <c r="M512" s="21">
        <v>236</v>
      </c>
      <c r="N512" s="21">
        <v>1820</v>
      </c>
      <c r="O512" s="2"/>
      <c r="P512" s="2"/>
      <c r="Q512" s="197"/>
    </row>
    <row r="513" spans="1:17" ht="15" customHeight="1">
      <c r="A513" s="196">
        <v>556</v>
      </c>
      <c r="B513" s="71">
        <v>44027</v>
      </c>
      <c r="C513" s="2" t="s">
        <v>105</v>
      </c>
      <c r="D513" s="2" t="s">
        <v>1294</v>
      </c>
      <c r="E513" s="2"/>
      <c r="F513" s="2">
        <v>7717</v>
      </c>
      <c r="G513" s="72"/>
      <c r="H513" s="72">
        <v>42.5</v>
      </c>
      <c r="I513" s="72"/>
      <c r="J513" s="72">
        <v>8.6</v>
      </c>
      <c r="K513" s="21">
        <v>235</v>
      </c>
      <c r="L513" s="21">
        <v>1400</v>
      </c>
      <c r="M513" s="21">
        <v>235</v>
      </c>
      <c r="N513" s="21">
        <v>1780</v>
      </c>
      <c r="O513" s="2"/>
      <c r="P513" s="2"/>
      <c r="Q513" s="197"/>
    </row>
    <row r="514" spans="1:17" ht="15" customHeight="1">
      <c r="A514" s="196">
        <v>555</v>
      </c>
      <c r="B514" s="71">
        <v>44027</v>
      </c>
      <c r="C514" s="2" t="s">
        <v>38</v>
      </c>
      <c r="D514" s="2" t="s">
        <v>1294</v>
      </c>
      <c r="E514" s="2"/>
      <c r="F514" s="2">
        <v>7717</v>
      </c>
      <c r="G514" s="72"/>
      <c r="H514" s="72">
        <v>42.5</v>
      </c>
      <c r="I514" s="72"/>
      <c r="J514" s="72">
        <v>8.4</v>
      </c>
      <c r="K514" s="21">
        <v>235</v>
      </c>
      <c r="L514" s="21">
        <v>1485</v>
      </c>
      <c r="M514" s="21">
        <v>235</v>
      </c>
      <c r="N514" s="21"/>
      <c r="O514" s="2"/>
      <c r="P514" s="2"/>
      <c r="Q514" s="197"/>
    </row>
    <row r="515" spans="1:17" ht="15" customHeight="1">
      <c r="A515" s="196">
        <v>554</v>
      </c>
      <c r="B515" s="71">
        <v>44025</v>
      </c>
      <c r="C515" s="2" t="s">
        <v>38</v>
      </c>
      <c r="D515" s="2" t="s">
        <v>372</v>
      </c>
      <c r="E515" s="2"/>
      <c r="F515" s="2">
        <v>7716</v>
      </c>
      <c r="G515" s="72"/>
      <c r="H515" s="72">
        <v>42.5</v>
      </c>
      <c r="I515" s="72"/>
      <c r="J515" s="72">
        <v>9.0500000000000007</v>
      </c>
      <c r="K515" s="21" t="s">
        <v>1286</v>
      </c>
      <c r="L515" s="21"/>
      <c r="M515" s="21">
        <v>235</v>
      </c>
      <c r="N515" s="21">
        <v>1825</v>
      </c>
      <c r="O515" s="2"/>
      <c r="P515" s="2"/>
      <c r="Q515" s="197"/>
    </row>
    <row r="516" spans="1:17" ht="15" customHeight="1">
      <c r="A516" s="196">
        <v>553</v>
      </c>
      <c r="B516" s="71">
        <v>44025</v>
      </c>
      <c r="C516" s="2" t="s">
        <v>38</v>
      </c>
      <c r="D516" s="2" t="s">
        <v>1280</v>
      </c>
      <c r="E516" s="2"/>
      <c r="F516" s="2">
        <v>7199</v>
      </c>
      <c r="G516" s="72"/>
      <c r="H516" s="72">
        <v>35</v>
      </c>
      <c r="I516" s="72"/>
      <c r="J516" s="72">
        <v>6.15</v>
      </c>
      <c r="K516" s="21" t="s">
        <v>1287</v>
      </c>
      <c r="L516" s="21"/>
      <c r="M516" s="21" t="s">
        <v>1288</v>
      </c>
      <c r="N516" s="21" t="s">
        <v>1289</v>
      </c>
      <c r="O516" s="2"/>
      <c r="P516" s="2"/>
      <c r="Q516" s="197"/>
    </row>
    <row r="517" spans="1:17" ht="15" customHeight="1">
      <c r="A517" s="196">
        <v>552</v>
      </c>
      <c r="B517" s="71">
        <v>44025</v>
      </c>
      <c r="C517" s="2" t="s">
        <v>38</v>
      </c>
      <c r="D517" s="2" t="s">
        <v>1290</v>
      </c>
      <c r="E517" s="2"/>
      <c r="F517" s="2">
        <v>7199</v>
      </c>
      <c r="G517" s="72"/>
      <c r="H517" s="72">
        <v>35</v>
      </c>
      <c r="I517" s="72"/>
      <c r="J517" s="72">
        <v>5.85</v>
      </c>
      <c r="K517" s="21">
        <v>278</v>
      </c>
      <c r="L517" s="21"/>
      <c r="M517" s="21">
        <v>282</v>
      </c>
      <c r="N517" s="21">
        <v>2065</v>
      </c>
      <c r="O517" s="2"/>
      <c r="P517" s="2"/>
      <c r="Q517" s="197"/>
    </row>
    <row r="518" spans="1:17" ht="15" customHeight="1">
      <c r="A518" s="196">
        <v>551</v>
      </c>
      <c r="B518" s="71">
        <v>44025</v>
      </c>
      <c r="C518" s="2" t="s">
        <v>38</v>
      </c>
      <c r="D518" s="2" t="s">
        <v>1279</v>
      </c>
      <c r="E518" s="2"/>
      <c r="F518" s="2">
        <v>7199</v>
      </c>
      <c r="G518" s="72"/>
      <c r="H518" s="72">
        <v>35</v>
      </c>
      <c r="I518" s="72"/>
      <c r="J518" s="72">
        <v>9.25</v>
      </c>
      <c r="K518" s="21" t="s">
        <v>1291</v>
      </c>
      <c r="L518" s="21"/>
      <c r="M518" s="21" t="s">
        <v>1292</v>
      </c>
      <c r="N518" s="21">
        <v>1485</v>
      </c>
      <c r="O518" s="2"/>
      <c r="P518" s="2"/>
      <c r="Q518" s="197"/>
    </row>
    <row r="519" spans="1:17" ht="15" customHeight="1">
      <c r="A519" s="196">
        <v>550</v>
      </c>
      <c r="B519" s="71">
        <v>44025</v>
      </c>
      <c r="C519" s="2" t="s">
        <v>38</v>
      </c>
      <c r="D519" s="2" t="s">
        <v>1281</v>
      </c>
      <c r="E519" s="2"/>
      <c r="F519" s="2">
        <v>7199</v>
      </c>
      <c r="G519" s="72"/>
      <c r="H519" s="72">
        <v>35</v>
      </c>
      <c r="I519" s="72"/>
      <c r="J519" s="72">
        <v>9.75</v>
      </c>
      <c r="K519" s="21" t="s">
        <v>1293</v>
      </c>
      <c r="L519" s="21"/>
      <c r="M519" s="21" t="s">
        <v>1292</v>
      </c>
      <c r="N519" s="21">
        <v>1340</v>
      </c>
      <c r="O519" s="2"/>
      <c r="P519" s="2"/>
      <c r="Q519" s="197"/>
    </row>
    <row r="520" spans="1:17" ht="15" customHeight="1">
      <c r="A520" s="196">
        <v>549</v>
      </c>
      <c r="B520" s="71">
        <v>44023</v>
      </c>
      <c r="C520" s="2" t="s">
        <v>105</v>
      </c>
      <c r="D520" s="2" t="s">
        <v>372</v>
      </c>
      <c r="E520" s="2"/>
      <c r="F520" s="2">
        <v>7716</v>
      </c>
      <c r="G520" s="72"/>
      <c r="H520" s="72">
        <v>42.5</v>
      </c>
      <c r="I520" s="72"/>
      <c r="J520" s="72">
        <v>9.1</v>
      </c>
      <c r="K520" s="21">
        <v>228</v>
      </c>
      <c r="L520" s="21">
        <v>1385</v>
      </c>
      <c r="M520" s="21">
        <v>236</v>
      </c>
      <c r="N520" s="21">
        <v>1792</v>
      </c>
      <c r="O520" s="2"/>
      <c r="P520" s="2"/>
      <c r="Q520" s="197"/>
    </row>
    <row r="521" spans="1:17" ht="15" customHeight="1">
      <c r="A521" s="196">
        <v>548</v>
      </c>
      <c r="B521" s="71">
        <v>44022</v>
      </c>
      <c r="C521" s="2" t="s">
        <v>105</v>
      </c>
      <c r="D521" s="2" t="s">
        <v>1111</v>
      </c>
      <c r="E521" s="2"/>
      <c r="F521" s="2">
        <v>7716</v>
      </c>
      <c r="G521" s="72"/>
      <c r="H521" s="72">
        <v>42.5</v>
      </c>
      <c r="I521" s="72"/>
      <c r="J521" s="72">
        <v>9.26</v>
      </c>
      <c r="K521" s="21">
        <v>228</v>
      </c>
      <c r="L521" s="21"/>
      <c r="M521" s="21">
        <v>236</v>
      </c>
      <c r="N521" s="21">
        <v>1740</v>
      </c>
      <c r="O521" s="2"/>
      <c r="P521" s="2"/>
      <c r="Q521" s="197"/>
    </row>
    <row r="522" spans="1:17" ht="15" customHeight="1">
      <c r="A522" s="196">
        <v>547</v>
      </c>
      <c r="B522" s="71">
        <v>44021</v>
      </c>
      <c r="C522" s="2" t="s">
        <v>38</v>
      </c>
      <c r="D522" s="2" t="s">
        <v>1285</v>
      </c>
      <c r="E522" s="2"/>
      <c r="F522" s="2">
        <v>7316</v>
      </c>
      <c r="G522" s="72"/>
      <c r="H522" s="72">
        <v>42.5</v>
      </c>
      <c r="I522" s="72"/>
      <c r="J522" s="72">
        <v>10.54</v>
      </c>
      <c r="K522" s="21">
        <v>254</v>
      </c>
      <c r="L522" s="21">
        <v>1066</v>
      </c>
      <c r="M522" s="21">
        <v>259</v>
      </c>
      <c r="N522" s="21">
        <v>1550</v>
      </c>
      <c r="O522" s="2"/>
      <c r="P522" s="2"/>
      <c r="Q522" s="197"/>
    </row>
    <row r="523" spans="1:17" ht="15" customHeight="1">
      <c r="A523" s="196">
        <v>546</v>
      </c>
      <c r="B523" s="71">
        <v>44021</v>
      </c>
      <c r="C523" s="2" t="s">
        <v>38</v>
      </c>
      <c r="D523" s="2" t="s">
        <v>1058</v>
      </c>
      <c r="E523" s="2"/>
      <c r="F523" s="2">
        <v>7717</v>
      </c>
      <c r="G523" s="72"/>
      <c r="H523" s="72">
        <v>35</v>
      </c>
      <c r="I523" s="72"/>
      <c r="J523" s="72">
        <v>9.5</v>
      </c>
      <c r="K523" s="21">
        <v>189</v>
      </c>
      <c r="L523" s="21">
        <v>1085</v>
      </c>
      <c r="M523" s="21">
        <v>190</v>
      </c>
      <c r="N523" s="21">
        <v>1195</v>
      </c>
      <c r="O523" s="2"/>
      <c r="P523" s="2" t="s">
        <v>36</v>
      </c>
      <c r="Q523" s="197" t="s">
        <v>1103</v>
      </c>
    </row>
    <row r="524" spans="1:17" ht="15" customHeight="1">
      <c r="A524" s="196">
        <v>545</v>
      </c>
      <c r="B524" s="71">
        <v>44020</v>
      </c>
      <c r="C524" s="2" t="s">
        <v>105</v>
      </c>
      <c r="D524" s="2" t="s">
        <v>1279</v>
      </c>
      <c r="E524" s="2"/>
      <c r="F524" s="2">
        <v>7199</v>
      </c>
      <c r="G524" s="72"/>
      <c r="H524" s="72">
        <v>35</v>
      </c>
      <c r="I524" s="72"/>
      <c r="J524" s="72">
        <v>9.3000000000000007</v>
      </c>
      <c r="K524" s="21">
        <v>872</v>
      </c>
      <c r="L524" s="21">
        <v>198</v>
      </c>
      <c r="M524" s="21">
        <v>209</v>
      </c>
      <c r="N524" s="21">
        <v>1450</v>
      </c>
      <c r="O524" s="2"/>
      <c r="P524" s="2"/>
      <c r="Q524" s="197"/>
    </row>
    <row r="525" spans="1:17" ht="15" customHeight="1">
      <c r="A525" s="196">
        <v>544</v>
      </c>
      <c r="B525" s="71">
        <v>44020</v>
      </c>
      <c r="C525" s="2" t="s">
        <v>105</v>
      </c>
      <c r="D525" s="2" t="s">
        <v>1280</v>
      </c>
      <c r="E525" s="2"/>
      <c r="F525" s="2">
        <v>7199</v>
      </c>
      <c r="G525" s="72"/>
      <c r="H525" s="72">
        <v>35</v>
      </c>
      <c r="I525" s="72"/>
      <c r="J525" s="72">
        <v>6</v>
      </c>
      <c r="K525" s="21">
        <v>1490</v>
      </c>
      <c r="L525" s="21">
        <v>279</v>
      </c>
      <c r="M525" s="21">
        <v>283</v>
      </c>
      <c r="N525" s="21">
        <v>2030</v>
      </c>
      <c r="O525" s="2"/>
      <c r="P525" s="2"/>
      <c r="Q525" s="197"/>
    </row>
    <row r="526" spans="1:17" ht="15" customHeight="1">
      <c r="A526" s="196">
        <v>543</v>
      </c>
      <c r="B526" s="71">
        <v>44020</v>
      </c>
      <c r="C526" s="2" t="s">
        <v>105</v>
      </c>
      <c r="D526" s="2" t="s">
        <v>1279</v>
      </c>
      <c r="E526" s="2"/>
      <c r="F526" s="2">
        <v>7199</v>
      </c>
      <c r="G526" s="72"/>
      <c r="H526" s="72">
        <v>350</v>
      </c>
      <c r="I526" s="72"/>
      <c r="J526" s="72">
        <v>9.6</v>
      </c>
      <c r="K526" s="21">
        <v>885</v>
      </c>
      <c r="L526" s="21" t="s">
        <v>1282</v>
      </c>
      <c r="M526" s="21" t="s">
        <v>1283</v>
      </c>
      <c r="N526" s="21" t="s">
        <v>1284</v>
      </c>
      <c r="O526" s="2"/>
      <c r="P526" s="2"/>
      <c r="Q526" s="197"/>
    </row>
    <row r="527" spans="1:17" ht="15" customHeight="1">
      <c r="A527" s="196">
        <v>542</v>
      </c>
      <c r="B527" s="71">
        <v>44020</v>
      </c>
      <c r="C527" s="2" t="s">
        <v>38</v>
      </c>
      <c r="D527" s="2" t="s">
        <v>1281</v>
      </c>
      <c r="E527" s="2"/>
      <c r="F527" s="2">
        <v>7199</v>
      </c>
      <c r="G527" s="72"/>
      <c r="H527" s="72">
        <v>35</v>
      </c>
      <c r="I527" s="72"/>
      <c r="J527" s="72">
        <v>9.82</v>
      </c>
      <c r="K527" s="21">
        <v>201</v>
      </c>
      <c r="L527" s="21">
        <v>852</v>
      </c>
      <c r="M527" s="21">
        <v>209</v>
      </c>
      <c r="N527" s="21">
        <v>1312</v>
      </c>
      <c r="O527" s="2"/>
      <c r="P527" s="2"/>
      <c r="Q527" s="197"/>
    </row>
    <row r="528" spans="1:17" ht="15" customHeight="1">
      <c r="A528" s="196">
        <v>541</v>
      </c>
      <c r="B528" s="71">
        <v>44019</v>
      </c>
      <c r="C528" s="2" t="s">
        <v>105</v>
      </c>
      <c r="D528" s="2" t="s">
        <v>1281</v>
      </c>
      <c r="E528" s="2"/>
      <c r="F528" s="2">
        <v>7717</v>
      </c>
      <c r="G528" s="72"/>
      <c r="H528" s="72">
        <v>35</v>
      </c>
      <c r="I528" s="72"/>
      <c r="J528" s="72">
        <v>9.5500000000000007</v>
      </c>
      <c r="K528" s="21">
        <v>885</v>
      </c>
      <c r="L528" s="21" t="s">
        <v>1282</v>
      </c>
      <c r="M528" s="21">
        <v>210</v>
      </c>
      <c r="N528" s="21">
        <v>1330</v>
      </c>
      <c r="O528" s="2"/>
      <c r="P528" s="2"/>
      <c r="Q528" s="197"/>
    </row>
    <row r="529" spans="1:17" ht="15" customHeight="1">
      <c r="A529" s="196">
        <v>540</v>
      </c>
      <c r="B529" s="71">
        <v>44013</v>
      </c>
      <c r="C529" s="2" t="s">
        <v>105</v>
      </c>
      <c r="D529" s="2" t="s">
        <v>351</v>
      </c>
      <c r="E529" s="2"/>
      <c r="F529" s="2">
        <v>7716</v>
      </c>
      <c r="G529" s="72"/>
      <c r="H529" s="72">
        <v>42.5</v>
      </c>
      <c r="I529" s="72"/>
      <c r="J529" s="72">
        <v>8.6</v>
      </c>
      <c r="K529" s="21">
        <v>245</v>
      </c>
      <c r="L529" s="21">
        <v>1390</v>
      </c>
      <c r="M529" s="21">
        <v>248</v>
      </c>
      <c r="N529" s="21">
        <v>1810</v>
      </c>
      <c r="O529" s="2"/>
      <c r="P529" s="2"/>
      <c r="Q529" s="197"/>
    </row>
    <row r="530" spans="1:17" ht="15" customHeight="1">
      <c r="A530" s="196">
        <v>539</v>
      </c>
      <c r="B530" s="71">
        <v>44005</v>
      </c>
      <c r="C530" s="2" t="s">
        <v>105</v>
      </c>
      <c r="D530" s="2" t="s">
        <v>1280</v>
      </c>
      <c r="E530" s="2"/>
      <c r="F530" s="2">
        <v>7199</v>
      </c>
      <c r="G530" s="72"/>
      <c r="H530" s="72">
        <v>35</v>
      </c>
      <c r="I530" s="72"/>
      <c r="J530" s="72">
        <v>5.75</v>
      </c>
      <c r="K530" s="21">
        <v>283</v>
      </c>
      <c r="L530" s="21">
        <v>1570</v>
      </c>
      <c r="M530" s="21">
        <v>285</v>
      </c>
      <c r="N530" s="21">
        <v>1970</v>
      </c>
      <c r="O530" s="2"/>
      <c r="P530" s="2"/>
      <c r="Q530" s="197"/>
    </row>
    <row r="531" spans="1:17" ht="15" customHeight="1">
      <c r="A531" s="196">
        <v>538</v>
      </c>
      <c r="B531" s="71">
        <v>44005</v>
      </c>
      <c r="C531" s="2" t="s">
        <v>38</v>
      </c>
      <c r="D531" s="2" t="s">
        <v>1280</v>
      </c>
      <c r="E531" s="2"/>
      <c r="F531" s="2">
        <v>7199</v>
      </c>
      <c r="G531" s="72"/>
      <c r="H531" s="72">
        <v>35</v>
      </c>
      <c r="I531" s="72"/>
      <c r="J531" s="72">
        <v>5.9</v>
      </c>
      <c r="K531" s="21">
        <v>282</v>
      </c>
      <c r="L531" s="21">
        <v>1550</v>
      </c>
      <c r="M531" s="21">
        <v>284</v>
      </c>
      <c r="N531" s="21">
        <v>2050</v>
      </c>
      <c r="O531" s="2"/>
      <c r="P531" s="2"/>
      <c r="Q531" s="197"/>
    </row>
    <row r="532" spans="1:17" ht="15" customHeight="1">
      <c r="A532" s="196">
        <v>537</v>
      </c>
      <c r="B532" s="71">
        <v>44005</v>
      </c>
      <c r="C532" s="2" t="s">
        <v>38</v>
      </c>
      <c r="D532" s="2" t="s">
        <v>1279</v>
      </c>
      <c r="E532" s="2"/>
      <c r="F532" s="2">
        <v>7199</v>
      </c>
      <c r="G532" s="72"/>
      <c r="H532" s="72">
        <v>35</v>
      </c>
      <c r="I532" s="72"/>
      <c r="J532" s="72">
        <v>8.8000000000000007</v>
      </c>
      <c r="K532" s="21">
        <v>203</v>
      </c>
      <c r="L532" s="21">
        <v>980</v>
      </c>
      <c r="M532" s="21">
        <v>208</v>
      </c>
      <c r="N532" s="21">
        <v>1470</v>
      </c>
      <c r="O532" s="2"/>
      <c r="P532" s="2"/>
      <c r="Q532" s="197"/>
    </row>
    <row r="533" spans="1:17" ht="15" customHeight="1">
      <c r="A533" s="196">
        <v>536</v>
      </c>
      <c r="B533" s="71">
        <v>44004</v>
      </c>
      <c r="C533" s="2" t="s">
        <v>105</v>
      </c>
      <c r="D533" s="2" t="s">
        <v>1254</v>
      </c>
      <c r="E533" s="2"/>
      <c r="F533" s="2">
        <v>7716</v>
      </c>
      <c r="G533" s="72"/>
      <c r="H533" s="72">
        <v>42.5</v>
      </c>
      <c r="I533" s="72"/>
      <c r="J533" s="72">
        <v>9.0500000000000007</v>
      </c>
      <c r="K533" s="21">
        <v>237</v>
      </c>
      <c r="L533" s="21">
        <v>1280</v>
      </c>
      <c r="M533" s="21">
        <v>238</v>
      </c>
      <c r="N533" s="21">
        <v>1620</v>
      </c>
      <c r="O533" s="2"/>
      <c r="P533" s="2"/>
      <c r="Q533" s="197"/>
    </row>
    <row r="534" spans="1:17" ht="15" customHeight="1">
      <c r="A534" s="196">
        <v>535</v>
      </c>
      <c r="B534" s="71">
        <v>44002</v>
      </c>
      <c r="C534" s="2" t="s">
        <v>105</v>
      </c>
      <c r="D534" s="2" t="s">
        <v>1275</v>
      </c>
      <c r="E534" s="2"/>
      <c r="F534" s="2">
        <v>752</v>
      </c>
      <c r="G534" s="72"/>
      <c r="H534" s="72">
        <v>35</v>
      </c>
      <c r="I534" s="72"/>
      <c r="J534" s="72">
        <v>8.8000000000000007</v>
      </c>
      <c r="K534" s="21">
        <v>192</v>
      </c>
      <c r="L534" s="21">
        <v>1140</v>
      </c>
      <c r="M534" s="21">
        <v>193</v>
      </c>
      <c r="N534" s="21">
        <v>1395</v>
      </c>
      <c r="O534" s="2"/>
      <c r="P534" s="2"/>
      <c r="Q534" s="197"/>
    </row>
    <row r="535" spans="1:17" ht="15" customHeight="1">
      <c r="A535" s="196">
        <v>534</v>
      </c>
      <c r="B535" s="71">
        <v>44002</v>
      </c>
      <c r="C535" s="2" t="s">
        <v>105</v>
      </c>
      <c r="D535" s="2" t="s">
        <v>1280</v>
      </c>
      <c r="E535" s="2"/>
      <c r="F535" s="2">
        <v>7199</v>
      </c>
      <c r="G535" s="72"/>
      <c r="H535" s="72">
        <v>35</v>
      </c>
      <c r="I535" s="72"/>
      <c r="J535" s="72">
        <v>5.7</v>
      </c>
      <c r="K535" s="21">
        <v>282</v>
      </c>
      <c r="L535" s="21">
        <v>1580</v>
      </c>
      <c r="M535" s="21">
        <v>284</v>
      </c>
      <c r="N535" s="21">
        <v>2030</v>
      </c>
      <c r="O535" s="2"/>
      <c r="P535" s="2"/>
      <c r="Q535" s="197"/>
    </row>
    <row r="536" spans="1:17" ht="15" customHeight="1">
      <c r="A536" s="196">
        <v>533</v>
      </c>
      <c r="B536" s="71">
        <v>44002</v>
      </c>
      <c r="C536" s="2" t="s">
        <v>105</v>
      </c>
      <c r="D536" s="2" t="s">
        <v>1279</v>
      </c>
      <c r="E536" s="2"/>
      <c r="F536" s="2">
        <v>7199</v>
      </c>
      <c r="G536" s="72"/>
      <c r="H536" s="72">
        <v>35</v>
      </c>
      <c r="I536" s="72"/>
      <c r="J536" s="72">
        <v>8.75</v>
      </c>
      <c r="K536" s="21">
        <v>203</v>
      </c>
      <c r="L536" s="21">
        <v>980</v>
      </c>
      <c r="M536" s="21">
        <v>208</v>
      </c>
      <c r="N536" s="21">
        <v>1450</v>
      </c>
      <c r="O536" s="2"/>
      <c r="P536" s="2"/>
      <c r="Q536" s="197"/>
    </row>
    <row r="537" spans="1:17" ht="15" customHeight="1">
      <c r="A537" s="196">
        <v>532</v>
      </c>
      <c r="B537" s="71">
        <v>44001</v>
      </c>
      <c r="C537" s="2" t="s">
        <v>105</v>
      </c>
      <c r="D537" s="2" t="s">
        <v>1278</v>
      </c>
      <c r="E537" s="2"/>
      <c r="F537" s="2">
        <v>7199</v>
      </c>
      <c r="G537" s="72"/>
      <c r="H537" s="72">
        <v>35</v>
      </c>
      <c r="I537" s="72"/>
      <c r="J537" s="72">
        <v>5.45</v>
      </c>
      <c r="K537" s="21">
        <v>283</v>
      </c>
      <c r="L537" s="21">
        <v>1680</v>
      </c>
      <c r="M537" s="21">
        <v>284</v>
      </c>
      <c r="N537" s="21">
        <v>2125</v>
      </c>
      <c r="O537" s="2"/>
      <c r="P537" s="2"/>
      <c r="Q537" s="197"/>
    </row>
    <row r="538" spans="1:17" ht="15" customHeight="1">
      <c r="A538" s="196">
        <v>531</v>
      </c>
      <c r="B538" s="71">
        <v>44001</v>
      </c>
      <c r="C538" s="2" t="s">
        <v>105</v>
      </c>
      <c r="D538" s="2" t="s">
        <v>1279</v>
      </c>
      <c r="E538" s="2"/>
      <c r="F538" s="2">
        <v>7199</v>
      </c>
      <c r="G538" s="72"/>
      <c r="H538" s="72">
        <v>35</v>
      </c>
      <c r="I538" s="72"/>
      <c r="J538" s="72">
        <v>9.25</v>
      </c>
      <c r="K538" s="21">
        <v>202</v>
      </c>
      <c r="L538" s="21"/>
      <c r="M538" s="21">
        <v>208</v>
      </c>
      <c r="N538" s="21"/>
      <c r="O538" s="2"/>
      <c r="P538" s="2"/>
      <c r="Q538" s="197"/>
    </row>
    <row r="539" spans="1:17" ht="15" customHeight="1">
      <c r="A539" s="196">
        <v>530</v>
      </c>
      <c r="B539" s="71">
        <v>44001</v>
      </c>
      <c r="C539" s="2" t="s">
        <v>105</v>
      </c>
      <c r="D539" s="2" t="s">
        <v>1275</v>
      </c>
      <c r="E539" s="2"/>
      <c r="F539" s="2">
        <v>752</v>
      </c>
      <c r="G539" s="72"/>
      <c r="H539" s="72">
        <v>35</v>
      </c>
      <c r="I539" s="72"/>
      <c r="J539" s="72">
        <v>9.1</v>
      </c>
      <c r="K539" s="21">
        <v>192</v>
      </c>
      <c r="L539" s="21">
        <v>1050</v>
      </c>
      <c r="M539" s="21">
        <v>194</v>
      </c>
      <c r="N539" s="21"/>
      <c r="O539" s="2"/>
      <c r="P539" s="2"/>
      <c r="Q539" s="197"/>
    </row>
    <row r="540" spans="1:17" ht="15" customHeight="1">
      <c r="A540" s="196">
        <v>529</v>
      </c>
      <c r="B540" s="71">
        <v>44001</v>
      </c>
      <c r="C540" s="2" t="s">
        <v>105</v>
      </c>
      <c r="D540" s="2" t="s">
        <v>119</v>
      </c>
      <c r="E540" s="2"/>
      <c r="F540" s="2" t="s">
        <v>1242</v>
      </c>
      <c r="G540" s="72"/>
      <c r="H540" s="72" t="s">
        <v>1277</v>
      </c>
      <c r="I540" s="72"/>
      <c r="J540" s="72">
        <v>7</v>
      </c>
      <c r="K540" s="21">
        <v>293</v>
      </c>
      <c r="L540" s="21">
        <v>1690</v>
      </c>
      <c r="M540" s="21">
        <v>295</v>
      </c>
      <c r="N540" s="21">
        <v>2110</v>
      </c>
      <c r="O540" s="2"/>
      <c r="P540" s="2"/>
      <c r="Q540" s="197"/>
    </row>
    <row r="541" spans="1:17" ht="15" customHeight="1">
      <c r="A541" s="196">
        <v>528</v>
      </c>
      <c r="B541" s="71">
        <v>44000</v>
      </c>
      <c r="C541" s="2" t="s">
        <v>105</v>
      </c>
      <c r="D541" s="2" t="s">
        <v>1276</v>
      </c>
      <c r="E541" s="2"/>
      <c r="F541" s="2" t="s">
        <v>1242</v>
      </c>
      <c r="G541" s="72"/>
      <c r="H541" s="72" t="s">
        <v>1277</v>
      </c>
      <c r="I541" s="72"/>
      <c r="J541" s="72"/>
      <c r="K541" s="21"/>
      <c r="L541" s="21"/>
      <c r="M541" s="21"/>
      <c r="N541" s="21"/>
      <c r="O541" s="2"/>
      <c r="P541" s="2"/>
      <c r="Q541" s="197"/>
    </row>
    <row r="542" spans="1:17" ht="15" customHeight="1">
      <c r="A542" s="196">
        <v>527</v>
      </c>
      <c r="B542" s="71">
        <v>44000</v>
      </c>
      <c r="C542" s="2" t="s">
        <v>105</v>
      </c>
      <c r="D542" s="2" t="s">
        <v>1278</v>
      </c>
      <c r="E542" s="2"/>
      <c r="F542" s="2">
        <v>7199</v>
      </c>
      <c r="G542" s="72"/>
      <c r="H542" s="72">
        <v>35</v>
      </c>
      <c r="I542" s="72"/>
      <c r="J542" s="72">
        <v>5.8</v>
      </c>
      <c r="K542" s="21">
        <v>283</v>
      </c>
      <c r="L542" s="21"/>
      <c r="M542" s="21">
        <v>284</v>
      </c>
      <c r="N542" s="21">
        <v>2090</v>
      </c>
      <c r="O542" s="2"/>
      <c r="P542" s="2"/>
      <c r="Q542" s="197"/>
    </row>
    <row r="543" spans="1:17" ht="15" customHeight="1">
      <c r="A543" s="196">
        <v>526</v>
      </c>
      <c r="B543" s="71">
        <v>44000</v>
      </c>
      <c r="C543" s="2" t="s">
        <v>38</v>
      </c>
      <c r="D543" s="2" t="s">
        <v>1279</v>
      </c>
      <c r="E543" s="2"/>
      <c r="F543" s="2">
        <v>7199</v>
      </c>
      <c r="G543" s="72"/>
      <c r="H543" s="72">
        <v>35</v>
      </c>
      <c r="I543" s="72"/>
      <c r="J543" s="72">
        <v>9.34</v>
      </c>
      <c r="K543" s="21">
        <v>856</v>
      </c>
      <c r="L543" s="21">
        <v>203</v>
      </c>
      <c r="M543" s="21">
        <v>211</v>
      </c>
      <c r="N543" s="21">
        <v>1410</v>
      </c>
      <c r="O543" s="2"/>
      <c r="P543" s="2"/>
      <c r="Q543" s="197"/>
    </row>
    <row r="544" spans="1:17" ht="15" customHeight="1">
      <c r="A544" s="196">
        <v>525</v>
      </c>
      <c r="B544" s="71">
        <v>43999</v>
      </c>
      <c r="C544" s="2" t="s">
        <v>105</v>
      </c>
      <c r="D544" s="2" t="s">
        <v>1274</v>
      </c>
      <c r="E544" s="2"/>
      <c r="F544" s="2">
        <v>7716</v>
      </c>
      <c r="G544" s="72"/>
      <c r="H544" s="72">
        <v>35</v>
      </c>
      <c r="I544" s="72"/>
      <c r="J544" s="72">
        <v>10.65</v>
      </c>
      <c r="K544" s="21">
        <v>870</v>
      </c>
      <c r="L544" s="21">
        <v>186</v>
      </c>
      <c r="M544" s="21">
        <v>190</v>
      </c>
      <c r="N544" s="21">
        <v>1165</v>
      </c>
      <c r="O544" s="2"/>
      <c r="P544" s="2"/>
      <c r="Q544" s="197"/>
    </row>
    <row r="545" spans="1:17" ht="15" customHeight="1">
      <c r="A545" s="196">
        <v>524</v>
      </c>
      <c r="B545" s="71">
        <v>43999</v>
      </c>
      <c r="C545" s="2" t="s">
        <v>105</v>
      </c>
      <c r="D545" s="2" t="s">
        <v>359</v>
      </c>
      <c r="E545" s="2"/>
      <c r="F545" s="2">
        <v>7716</v>
      </c>
      <c r="G545" s="72"/>
      <c r="H545" s="72">
        <v>35</v>
      </c>
      <c r="I545" s="72"/>
      <c r="J545" s="72">
        <v>10.65</v>
      </c>
      <c r="K545" s="21">
        <v>880</v>
      </c>
      <c r="L545" s="21">
        <v>186</v>
      </c>
      <c r="M545" s="21">
        <v>190</v>
      </c>
      <c r="N545" s="21">
        <v>1178</v>
      </c>
      <c r="O545" s="2"/>
      <c r="P545" s="2"/>
      <c r="Q545" s="197"/>
    </row>
    <row r="546" spans="1:17" ht="15" customHeight="1">
      <c r="A546" s="196">
        <v>523</v>
      </c>
      <c r="B546" s="71">
        <v>43999</v>
      </c>
      <c r="C546" s="2" t="s">
        <v>37</v>
      </c>
      <c r="D546" s="2" t="s">
        <v>1276</v>
      </c>
      <c r="E546" s="2"/>
      <c r="F546" s="2" t="s">
        <v>1242</v>
      </c>
      <c r="G546" s="72"/>
      <c r="H546" s="72" t="s">
        <v>1277</v>
      </c>
      <c r="I546" s="72"/>
      <c r="J546" s="72">
        <v>6.8</v>
      </c>
      <c r="K546" s="21">
        <v>1700</v>
      </c>
      <c r="L546" s="21">
        <v>295</v>
      </c>
      <c r="M546" s="21">
        <v>296</v>
      </c>
      <c r="N546" s="21"/>
      <c r="O546" s="2"/>
      <c r="P546" s="2"/>
      <c r="Q546" s="197"/>
    </row>
    <row r="547" spans="1:17" ht="15" customHeight="1">
      <c r="A547" s="196">
        <v>522</v>
      </c>
      <c r="B547" s="71">
        <v>43999</v>
      </c>
      <c r="C547" s="2" t="s">
        <v>38</v>
      </c>
      <c r="D547" s="2" t="s">
        <v>1278</v>
      </c>
      <c r="E547" s="2"/>
      <c r="F547" s="2">
        <v>7199</v>
      </c>
      <c r="G547" s="72"/>
      <c r="H547" s="72">
        <v>37</v>
      </c>
      <c r="I547" s="72"/>
      <c r="J547" s="72">
        <v>5.6</v>
      </c>
      <c r="K547" s="21">
        <v>285</v>
      </c>
      <c r="L547" s="21">
        <v>1710</v>
      </c>
      <c r="M547" s="21">
        <v>285</v>
      </c>
      <c r="N547" s="21">
        <v>2300</v>
      </c>
      <c r="O547" s="2"/>
      <c r="P547" s="2"/>
      <c r="Q547" s="197"/>
    </row>
    <row r="548" spans="1:17" ht="15" customHeight="1">
      <c r="A548" s="196">
        <v>521</v>
      </c>
      <c r="B548" s="71">
        <v>43997</v>
      </c>
      <c r="C548" s="2" t="s">
        <v>105</v>
      </c>
      <c r="D548" s="2" t="s">
        <v>1228</v>
      </c>
      <c r="E548" s="2"/>
      <c r="F548" s="2">
        <v>7716</v>
      </c>
      <c r="G548" s="72"/>
      <c r="H548" s="72">
        <v>35</v>
      </c>
      <c r="I548" s="72"/>
      <c r="J548" s="72">
        <v>10.75</v>
      </c>
      <c r="K548" s="21">
        <v>875</v>
      </c>
      <c r="L548" s="21">
        <v>185</v>
      </c>
      <c r="M548" s="21">
        <v>189</v>
      </c>
      <c r="N548" s="21">
        <v>1200</v>
      </c>
      <c r="O548" s="2"/>
      <c r="P548" s="2"/>
      <c r="Q548" s="197"/>
    </row>
    <row r="549" spans="1:17" ht="15" customHeight="1">
      <c r="A549" s="196">
        <v>520</v>
      </c>
      <c r="B549" s="71">
        <v>43997</v>
      </c>
      <c r="C549" s="2" t="s">
        <v>105</v>
      </c>
      <c r="D549" s="2" t="s">
        <v>1274</v>
      </c>
      <c r="E549" s="2"/>
      <c r="F549" s="2">
        <v>7716</v>
      </c>
      <c r="G549" s="72"/>
      <c r="H549" s="72">
        <v>35</v>
      </c>
      <c r="I549" s="72"/>
      <c r="J549" s="72">
        <v>10.6</v>
      </c>
      <c r="K549" s="21">
        <v>870</v>
      </c>
      <c r="L549" s="21">
        <v>186</v>
      </c>
      <c r="M549" s="21">
        <v>190</v>
      </c>
      <c r="N549" s="21"/>
      <c r="O549" s="2"/>
      <c r="P549" s="2"/>
      <c r="Q549" s="197"/>
    </row>
    <row r="550" spans="1:17" ht="15" customHeight="1">
      <c r="A550" s="196">
        <v>519</v>
      </c>
      <c r="B550" s="71">
        <v>43997</v>
      </c>
      <c r="C550" s="2" t="s">
        <v>105</v>
      </c>
      <c r="D550" s="2" t="s">
        <v>1275</v>
      </c>
      <c r="E550" s="2"/>
      <c r="F550" s="2">
        <v>752</v>
      </c>
      <c r="G550" s="72"/>
      <c r="H550" s="72">
        <v>35</v>
      </c>
      <c r="I550" s="72"/>
      <c r="J550" s="72">
        <v>9.4499999999999993</v>
      </c>
      <c r="K550" s="21">
        <v>195</v>
      </c>
      <c r="L550" s="21"/>
      <c r="M550" s="21">
        <v>194</v>
      </c>
      <c r="N550" s="21">
        <v>1300</v>
      </c>
      <c r="O550" s="2"/>
      <c r="P550" s="2"/>
      <c r="Q550" s="197"/>
    </row>
    <row r="551" spans="1:17" ht="15" customHeight="1">
      <c r="A551" s="196">
        <v>518</v>
      </c>
      <c r="B551" s="71">
        <v>43997</v>
      </c>
      <c r="C551" s="2" t="s">
        <v>38</v>
      </c>
      <c r="D551" s="2" t="s">
        <v>1274</v>
      </c>
      <c r="E551" s="2"/>
      <c r="F551" s="2">
        <v>7716</v>
      </c>
      <c r="G551" s="72"/>
      <c r="H551" s="72">
        <v>35</v>
      </c>
      <c r="I551" s="72"/>
      <c r="J551" s="72">
        <v>11.2</v>
      </c>
      <c r="K551" s="21">
        <v>186</v>
      </c>
      <c r="L551" s="21">
        <v>820</v>
      </c>
      <c r="M551" s="21">
        <v>190</v>
      </c>
      <c r="N551" s="21">
        <v>1140</v>
      </c>
      <c r="O551" s="2"/>
      <c r="P551" s="2"/>
      <c r="Q551" s="197"/>
    </row>
    <row r="552" spans="1:17" ht="15" customHeight="1">
      <c r="A552" s="196">
        <v>517</v>
      </c>
      <c r="B552" s="71">
        <v>43997</v>
      </c>
      <c r="C552" s="2" t="s">
        <v>38</v>
      </c>
      <c r="D552" s="2" t="s">
        <v>1265</v>
      </c>
      <c r="E552" s="2"/>
      <c r="F552" s="2">
        <v>7199</v>
      </c>
      <c r="G552" s="72"/>
      <c r="H552" s="72">
        <v>35</v>
      </c>
      <c r="I552" s="72"/>
      <c r="J552" s="72">
        <v>9.4</v>
      </c>
      <c r="K552" s="21">
        <v>204</v>
      </c>
      <c r="L552" s="21">
        <v>955</v>
      </c>
      <c r="M552" s="21">
        <v>209</v>
      </c>
      <c r="N552" s="21">
        <v>1287</v>
      </c>
      <c r="O552" s="2"/>
      <c r="P552" s="2"/>
      <c r="Q552" s="197"/>
    </row>
    <row r="553" spans="1:17" ht="15" customHeight="1">
      <c r="A553" s="196">
        <v>516</v>
      </c>
      <c r="B553" s="71">
        <v>43996</v>
      </c>
      <c r="C553" s="2" t="s">
        <v>105</v>
      </c>
      <c r="D553" s="2" t="s">
        <v>1228</v>
      </c>
      <c r="E553" s="2"/>
      <c r="F553" s="2">
        <v>7716</v>
      </c>
      <c r="G553" s="72"/>
      <c r="H553" s="72">
        <v>35</v>
      </c>
      <c r="I553" s="72"/>
      <c r="J553" s="72">
        <v>10.5</v>
      </c>
      <c r="K553" s="21">
        <v>870</v>
      </c>
      <c r="L553" s="21">
        <v>186</v>
      </c>
      <c r="M553" s="21">
        <v>189</v>
      </c>
      <c r="N553" s="21">
        <v>1200</v>
      </c>
      <c r="O553" s="2"/>
      <c r="P553" s="2"/>
      <c r="Q553" s="197"/>
    </row>
    <row r="554" spans="1:17" ht="15" customHeight="1">
      <c r="A554" s="196">
        <v>515</v>
      </c>
      <c r="B554" s="71">
        <v>43996</v>
      </c>
      <c r="C554" s="2" t="s">
        <v>105</v>
      </c>
      <c r="D554" s="2" t="s">
        <v>1274</v>
      </c>
      <c r="E554" s="2"/>
      <c r="F554" s="2">
        <v>7716</v>
      </c>
      <c r="G554" s="72"/>
      <c r="H554" s="72">
        <v>35</v>
      </c>
      <c r="I554" s="72"/>
      <c r="J554" s="72">
        <v>10.5</v>
      </c>
      <c r="K554" s="21">
        <v>880</v>
      </c>
      <c r="L554" s="21">
        <v>186</v>
      </c>
      <c r="M554" s="21">
        <v>190</v>
      </c>
      <c r="N554" s="21">
        <v>1205</v>
      </c>
      <c r="O554" s="2"/>
      <c r="P554" s="2"/>
      <c r="Q554" s="197"/>
    </row>
    <row r="555" spans="1:17" ht="15" customHeight="1">
      <c r="A555" s="196">
        <v>514</v>
      </c>
      <c r="B555" s="71">
        <v>43995</v>
      </c>
      <c r="C555" s="2" t="s">
        <v>105</v>
      </c>
      <c r="D555" s="2" t="s">
        <v>119</v>
      </c>
      <c r="E555" s="2"/>
      <c r="F555" s="2" t="s">
        <v>1242</v>
      </c>
      <c r="G555" s="72"/>
      <c r="H555" s="72" t="s">
        <v>1273</v>
      </c>
      <c r="I555" s="72"/>
      <c r="J555" s="72">
        <v>6.9</v>
      </c>
      <c r="K555" s="21">
        <v>291</v>
      </c>
      <c r="L555" s="21">
        <v>1640</v>
      </c>
      <c r="M555" s="21">
        <v>293</v>
      </c>
      <c r="N555" s="21">
        <v>2120</v>
      </c>
      <c r="O555" s="2"/>
      <c r="P555" s="2"/>
      <c r="Q555" s="197"/>
    </row>
    <row r="556" spans="1:17" ht="15" customHeight="1">
      <c r="A556" s="196">
        <v>513</v>
      </c>
      <c r="B556" s="71">
        <v>43992</v>
      </c>
      <c r="C556" s="2" t="s">
        <v>105</v>
      </c>
      <c r="D556" s="2" t="s">
        <v>1270</v>
      </c>
      <c r="E556" s="2"/>
      <c r="F556" s="2">
        <v>7717</v>
      </c>
      <c r="G556" s="72"/>
      <c r="H556" s="72">
        <v>40</v>
      </c>
      <c r="I556" s="72"/>
      <c r="J556" s="72">
        <v>9.3000000000000007</v>
      </c>
      <c r="K556" s="21">
        <v>211</v>
      </c>
      <c r="L556" s="21">
        <v>1210</v>
      </c>
      <c r="M556" s="21">
        <v>210</v>
      </c>
      <c r="N556" s="21">
        <v>1520</v>
      </c>
      <c r="O556" s="2"/>
      <c r="P556" s="2"/>
      <c r="Q556" s="197"/>
    </row>
    <row r="557" spans="1:17" ht="15" customHeight="1">
      <c r="A557" s="196">
        <v>512</v>
      </c>
      <c r="B557" s="71">
        <v>43992</v>
      </c>
      <c r="C557" s="2" t="s">
        <v>105</v>
      </c>
      <c r="D557" s="2" t="s">
        <v>1271</v>
      </c>
      <c r="E557" s="2"/>
      <c r="F557" s="2">
        <v>7199</v>
      </c>
      <c r="G557" s="72"/>
      <c r="H557" s="72">
        <v>35</v>
      </c>
      <c r="I557" s="72"/>
      <c r="J557" s="72">
        <v>8.6</v>
      </c>
      <c r="K557" s="21">
        <v>204</v>
      </c>
      <c r="L557" s="21">
        <v>970</v>
      </c>
      <c r="M557" s="21">
        <v>210</v>
      </c>
      <c r="N557" s="21"/>
      <c r="O557" s="2"/>
      <c r="P557" s="2"/>
      <c r="Q557" s="197"/>
    </row>
    <row r="558" spans="1:17" ht="15" customHeight="1">
      <c r="A558" s="196">
        <v>511</v>
      </c>
      <c r="B558" s="71">
        <v>43992</v>
      </c>
      <c r="C558" s="2" t="s">
        <v>105</v>
      </c>
      <c r="D558" s="2" t="s">
        <v>119</v>
      </c>
      <c r="E558" s="2"/>
      <c r="F558" s="2" t="s">
        <v>1242</v>
      </c>
      <c r="G558" s="72"/>
      <c r="H558" s="72" t="s">
        <v>1272</v>
      </c>
      <c r="I558" s="72"/>
      <c r="J558" s="72">
        <v>7.1</v>
      </c>
      <c r="K558" s="21">
        <v>291</v>
      </c>
      <c r="L558" s="21">
        <v>1602</v>
      </c>
      <c r="M558" s="21">
        <v>292</v>
      </c>
      <c r="N558" s="21">
        <v>2060</v>
      </c>
      <c r="O558" s="2"/>
      <c r="P558" s="2"/>
      <c r="Q558" s="197"/>
    </row>
    <row r="559" spans="1:17" ht="15" customHeight="1">
      <c r="A559" s="196">
        <v>510</v>
      </c>
      <c r="B559" s="71">
        <v>43992</v>
      </c>
      <c r="C559" s="2" t="s">
        <v>37</v>
      </c>
      <c r="D559" s="2" t="s">
        <v>1270</v>
      </c>
      <c r="E559" s="2"/>
      <c r="F559" s="2">
        <v>7717</v>
      </c>
      <c r="G559" s="72"/>
      <c r="H559" s="72">
        <v>39.799999999999997</v>
      </c>
      <c r="I559" s="72"/>
      <c r="J559" s="72">
        <v>9.5</v>
      </c>
      <c r="K559" s="21">
        <v>210</v>
      </c>
      <c r="L559" s="21">
        <v>1210</v>
      </c>
      <c r="M559" s="21">
        <v>209</v>
      </c>
      <c r="N559" s="21">
        <v>1500</v>
      </c>
      <c r="O559" s="2"/>
      <c r="P559" s="2"/>
      <c r="Q559" s="197"/>
    </row>
    <row r="560" spans="1:17" ht="15" customHeight="1">
      <c r="A560" s="196">
        <v>509</v>
      </c>
      <c r="B560" s="71">
        <v>43992</v>
      </c>
      <c r="C560" s="2" t="s">
        <v>37</v>
      </c>
      <c r="D560" s="2" t="s">
        <v>1271</v>
      </c>
      <c r="E560" s="2"/>
      <c r="F560" s="2">
        <v>7199</v>
      </c>
      <c r="G560" s="72"/>
      <c r="H560" s="72">
        <v>35</v>
      </c>
      <c r="I560" s="72"/>
      <c r="J560" s="72">
        <v>8.4499999999999993</v>
      </c>
      <c r="K560" s="21">
        <v>1035</v>
      </c>
      <c r="L560" s="21">
        <v>205</v>
      </c>
      <c r="M560" s="21">
        <v>210</v>
      </c>
      <c r="N560" s="21">
        <v>1465</v>
      </c>
      <c r="O560" s="2"/>
      <c r="P560" s="2"/>
      <c r="Q560" s="197"/>
    </row>
    <row r="561" spans="1:17" ht="15" customHeight="1">
      <c r="A561" s="196">
        <v>508</v>
      </c>
      <c r="B561" s="71">
        <v>43992</v>
      </c>
      <c r="C561" s="2" t="s">
        <v>37</v>
      </c>
      <c r="D561" s="2" t="s">
        <v>1236</v>
      </c>
      <c r="E561" s="2"/>
      <c r="F561" s="2">
        <v>7716</v>
      </c>
      <c r="G561" s="72"/>
      <c r="H561" s="72">
        <v>42.5</v>
      </c>
      <c r="I561" s="72"/>
      <c r="J561" s="72">
        <v>11.65</v>
      </c>
      <c r="K561" s="21">
        <v>960</v>
      </c>
      <c r="L561" s="21">
        <v>205</v>
      </c>
      <c r="M561" s="21">
        <v>209</v>
      </c>
      <c r="N561" s="21">
        <v>1380</v>
      </c>
      <c r="O561" s="2"/>
      <c r="P561" s="2"/>
      <c r="Q561" s="197"/>
    </row>
    <row r="562" spans="1:17" ht="15" customHeight="1">
      <c r="A562" s="196">
        <v>507</v>
      </c>
      <c r="B562" s="71">
        <v>43991</v>
      </c>
      <c r="C562" s="2" t="s">
        <v>38</v>
      </c>
      <c r="D562" s="2" t="s">
        <v>1104</v>
      </c>
      <c r="E562" s="2"/>
      <c r="F562" s="2">
        <v>752</v>
      </c>
      <c r="G562" s="72"/>
      <c r="H562" s="72">
        <v>35</v>
      </c>
      <c r="I562" s="72"/>
      <c r="J562" s="72">
        <v>9.35</v>
      </c>
      <c r="K562" s="21">
        <v>192</v>
      </c>
      <c r="L562" s="21">
        <v>1045</v>
      </c>
      <c r="M562" s="21">
        <v>195</v>
      </c>
      <c r="N562" s="21">
        <v>1340</v>
      </c>
      <c r="O562" s="2"/>
      <c r="P562" s="2"/>
      <c r="Q562" s="197"/>
    </row>
    <row r="563" spans="1:17" ht="15" customHeight="1">
      <c r="A563" s="196">
        <v>506</v>
      </c>
      <c r="B563" s="71">
        <v>43991</v>
      </c>
      <c r="C563" s="2" t="s">
        <v>105</v>
      </c>
      <c r="D563" s="2" t="s">
        <v>119</v>
      </c>
      <c r="E563" s="2"/>
      <c r="F563" s="2" t="s">
        <v>1242</v>
      </c>
      <c r="G563" s="72"/>
      <c r="H563" s="72" t="s">
        <v>1269</v>
      </c>
      <c r="I563" s="72"/>
      <c r="J563" s="72">
        <v>6.7</v>
      </c>
      <c r="K563" s="21">
        <v>293</v>
      </c>
      <c r="L563" s="21">
        <v>1640</v>
      </c>
      <c r="M563" s="21">
        <v>294</v>
      </c>
      <c r="N563" s="21">
        <v>2115</v>
      </c>
      <c r="O563" s="2"/>
      <c r="P563" s="2"/>
      <c r="Q563" s="197"/>
    </row>
    <row r="564" spans="1:17" ht="15" customHeight="1">
      <c r="A564" s="196">
        <v>505</v>
      </c>
      <c r="B564" s="71">
        <v>43990</v>
      </c>
      <c r="C564" s="2" t="s">
        <v>105</v>
      </c>
      <c r="D564" s="2" t="s">
        <v>1254</v>
      </c>
      <c r="E564" s="2"/>
      <c r="F564" s="2">
        <v>7716</v>
      </c>
      <c r="G564" s="72"/>
      <c r="H564" s="72">
        <v>42.5</v>
      </c>
      <c r="I564" s="72"/>
      <c r="J564" s="72">
        <v>9.5500000000000007</v>
      </c>
      <c r="K564" s="21">
        <v>238</v>
      </c>
      <c r="L564" s="21">
        <v>1265</v>
      </c>
      <c r="M564" s="21">
        <v>240</v>
      </c>
      <c r="N564" s="21">
        <v>1638</v>
      </c>
      <c r="O564" s="2"/>
      <c r="P564" s="2"/>
      <c r="Q564" s="197"/>
    </row>
    <row r="565" spans="1:17" ht="15" customHeight="1">
      <c r="A565" s="196">
        <v>504</v>
      </c>
      <c r="B565" s="71">
        <v>43990</v>
      </c>
      <c r="C565" s="2" t="s">
        <v>105</v>
      </c>
      <c r="D565" s="2" t="s">
        <v>334</v>
      </c>
      <c r="E565" s="2"/>
      <c r="F565" s="2">
        <v>7716</v>
      </c>
      <c r="G565" s="72"/>
      <c r="H565" s="72">
        <v>42.5</v>
      </c>
      <c r="I565" s="72"/>
      <c r="J565" s="72">
        <v>8.5</v>
      </c>
      <c r="K565" s="21">
        <v>232</v>
      </c>
      <c r="L565" s="21">
        <v>1410</v>
      </c>
      <c r="M565" s="21">
        <v>230</v>
      </c>
      <c r="N565" s="21">
        <v>1810</v>
      </c>
      <c r="O565" s="2"/>
      <c r="P565" s="2"/>
      <c r="Q565" s="197"/>
    </row>
    <row r="566" spans="1:17" ht="15" customHeight="1">
      <c r="A566" s="196">
        <v>503</v>
      </c>
      <c r="B566" s="71">
        <v>43990</v>
      </c>
      <c r="C566" s="2" t="s">
        <v>105</v>
      </c>
      <c r="D566" s="2" t="s">
        <v>337</v>
      </c>
      <c r="E566" s="2"/>
      <c r="F566" s="2">
        <v>7716</v>
      </c>
      <c r="G566" s="72"/>
      <c r="H566" s="72">
        <v>42.5</v>
      </c>
      <c r="I566" s="72"/>
      <c r="J566" s="72">
        <v>10.039999999999999</v>
      </c>
      <c r="K566" s="21">
        <v>224</v>
      </c>
      <c r="L566" s="21">
        <v>1100</v>
      </c>
      <c r="M566" s="21">
        <v>225</v>
      </c>
      <c r="N566" s="21">
        <v>1455</v>
      </c>
      <c r="O566" s="2"/>
      <c r="P566" s="2"/>
      <c r="Q566" s="197"/>
    </row>
    <row r="567" spans="1:17" ht="15" customHeight="1">
      <c r="A567" s="196">
        <v>502</v>
      </c>
      <c r="B567" s="71">
        <v>43990</v>
      </c>
      <c r="C567" s="2" t="s">
        <v>105</v>
      </c>
      <c r="D567" s="2" t="s">
        <v>1266</v>
      </c>
      <c r="E567" s="2"/>
      <c r="F567" s="2">
        <v>7199</v>
      </c>
      <c r="G567" s="72"/>
      <c r="H567" s="72">
        <v>35</v>
      </c>
      <c r="I567" s="72"/>
      <c r="J567" s="72">
        <v>8.85</v>
      </c>
      <c r="K567" s="21">
        <v>205</v>
      </c>
      <c r="L567" s="21">
        <v>995</v>
      </c>
      <c r="M567" s="21">
        <v>210</v>
      </c>
      <c r="N567" s="21">
        <v>1410</v>
      </c>
      <c r="O567" s="2"/>
      <c r="P567" s="2"/>
      <c r="Q567" s="197"/>
    </row>
    <row r="568" spans="1:17" ht="15" customHeight="1">
      <c r="A568" s="196">
        <v>501</v>
      </c>
      <c r="B568" s="71">
        <v>43990</v>
      </c>
      <c r="C568" s="2" t="s">
        <v>105</v>
      </c>
      <c r="D568" s="2" t="s">
        <v>1267</v>
      </c>
      <c r="E568" s="2"/>
      <c r="F568" s="2">
        <v>7199</v>
      </c>
      <c r="G568" s="72"/>
      <c r="H568" s="72">
        <v>35</v>
      </c>
      <c r="I568" s="72"/>
      <c r="J568" s="72">
        <v>6.1</v>
      </c>
      <c r="K568" s="21">
        <v>1530</v>
      </c>
      <c r="L568" s="21">
        <v>282</v>
      </c>
      <c r="M568" s="21">
        <v>286</v>
      </c>
      <c r="N568" s="21">
        <v>1970</v>
      </c>
      <c r="O568" s="2"/>
      <c r="P568" s="2"/>
      <c r="Q568" s="197"/>
    </row>
    <row r="569" spans="1:17" ht="15" customHeight="1">
      <c r="A569" s="196">
        <v>500</v>
      </c>
      <c r="B569" s="71">
        <v>43988</v>
      </c>
      <c r="C569" s="2" t="s">
        <v>105</v>
      </c>
      <c r="D569" s="2" t="s">
        <v>1266</v>
      </c>
      <c r="E569" s="2"/>
      <c r="F569" s="2">
        <v>7199</v>
      </c>
      <c r="G569" s="72"/>
      <c r="H569" s="72">
        <v>35</v>
      </c>
      <c r="I569" s="72"/>
      <c r="J569" s="72">
        <v>9.3000000000000007</v>
      </c>
      <c r="K569" s="21">
        <v>203</v>
      </c>
      <c r="L569" s="21">
        <v>950</v>
      </c>
      <c r="M569" s="21">
        <v>210</v>
      </c>
      <c r="N569" s="21">
        <v>1382</v>
      </c>
      <c r="O569" s="2"/>
      <c r="P569" s="2"/>
      <c r="Q569" s="197"/>
    </row>
    <row r="570" spans="1:17" ht="15" customHeight="1">
      <c r="A570" s="196">
        <v>499</v>
      </c>
      <c r="B570" s="71">
        <v>43988</v>
      </c>
      <c r="C570" s="2" t="s">
        <v>105</v>
      </c>
      <c r="D570" s="2" t="s">
        <v>1268</v>
      </c>
      <c r="E570" s="2"/>
      <c r="F570" s="2">
        <v>7199</v>
      </c>
      <c r="G570" s="72"/>
      <c r="H570" s="72">
        <v>35</v>
      </c>
      <c r="I570" s="72"/>
      <c r="J570" s="72">
        <v>6</v>
      </c>
      <c r="K570" s="21">
        <v>283</v>
      </c>
      <c r="L570" s="21">
        <v>1520</v>
      </c>
      <c r="M570" s="21">
        <v>284</v>
      </c>
      <c r="N570" s="21">
        <v>1904</v>
      </c>
      <c r="O570" s="2"/>
      <c r="P570" s="2"/>
      <c r="Q570" s="197"/>
    </row>
    <row r="571" spans="1:17" ht="15" customHeight="1">
      <c r="A571" s="196">
        <v>498</v>
      </c>
      <c r="B571" s="71">
        <v>43988</v>
      </c>
      <c r="C571" s="2" t="s">
        <v>105</v>
      </c>
      <c r="D571" s="2" t="s">
        <v>1265</v>
      </c>
      <c r="E571" s="2"/>
      <c r="F571" s="2">
        <v>7199</v>
      </c>
      <c r="G571" s="72"/>
      <c r="H571" s="72">
        <v>35</v>
      </c>
      <c r="I571" s="72"/>
      <c r="J571" s="72">
        <v>9.4</v>
      </c>
      <c r="K571" s="21">
        <v>204</v>
      </c>
      <c r="L571" s="21">
        <v>936</v>
      </c>
      <c r="M571" s="21">
        <v>208</v>
      </c>
      <c r="N571" s="21">
        <v>1290</v>
      </c>
      <c r="O571" s="2"/>
      <c r="P571" s="2"/>
      <c r="Q571" s="197"/>
    </row>
    <row r="572" spans="1:17" ht="15" customHeight="1">
      <c r="A572" s="196">
        <v>497</v>
      </c>
      <c r="B572" s="71">
        <v>43988</v>
      </c>
      <c r="C572" s="2" t="s">
        <v>38</v>
      </c>
      <c r="D572" s="2" t="s">
        <v>1266</v>
      </c>
      <c r="E572" s="2"/>
      <c r="F572" s="2">
        <v>7199</v>
      </c>
      <c r="G572" s="72"/>
      <c r="H572" s="72">
        <v>35</v>
      </c>
      <c r="I572" s="72"/>
      <c r="J572" s="72">
        <v>9.1</v>
      </c>
      <c r="K572" s="21">
        <v>202</v>
      </c>
      <c r="L572" s="21">
        <v>950</v>
      </c>
      <c r="M572" s="21">
        <v>208</v>
      </c>
      <c r="N572" s="21"/>
      <c r="O572" s="2"/>
      <c r="P572" s="2"/>
      <c r="Q572" s="197"/>
    </row>
    <row r="573" spans="1:17" ht="15" customHeight="1">
      <c r="A573" s="196">
        <v>496</v>
      </c>
      <c r="B573" s="71">
        <v>43988</v>
      </c>
      <c r="C573" s="2" t="s">
        <v>38</v>
      </c>
      <c r="D573" s="2" t="s">
        <v>1267</v>
      </c>
      <c r="E573" s="2"/>
      <c r="F573" s="2">
        <v>7199</v>
      </c>
      <c r="G573" s="72"/>
      <c r="H573" s="72">
        <v>35</v>
      </c>
      <c r="I573" s="72"/>
      <c r="J573" s="72">
        <v>6.15</v>
      </c>
      <c r="K573" s="21">
        <v>279</v>
      </c>
      <c r="L573" s="21">
        <v>1500</v>
      </c>
      <c r="M573" s="21"/>
      <c r="N573" s="21"/>
      <c r="O573" s="2"/>
      <c r="P573" s="2"/>
      <c r="Q573" s="197"/>
    </row>
    <row r="574" spans="1:17" ht="15" customHeight="1">
      <c r="A574" s="196">
        <v>495</v>
      </c>
      <c r="B574" s="71">
        <v>43988</v>
      </c>
      <c r="C574" s="2" t="s">
        <v>38</v>
      </c>
      <c r="D574" s="2" t="s">
        <v>1265</v>
      </c>
      <c r="E574" s="2"/>
      <c r="F574" s="2">
        <v>7199</v>
      </c>
      <c r="G574" s="72"/>
      <c r="H574" s="72">
        <v>35</v>
      </c>
      <c r="I574" s="72"/>
      <c r="J574" s="72">
        <v>9.35</v>
      </c>
      <c r="K574" s="21">
        <v>204</v>
      </c>
      <c r="L574" s="21">
        <v>945</v>
      </c>
      <c r="M574" s="21">
        <v>208</v>
      </c>
      <c r="N574" s="21">
        <v>1305</v>
      </c>
      <c r="O574" s="2"/>
      <c r="P574" s="2"/>
      <c r="Q574" s="197"/>
    </row>
    <row r="575" spans="1:17" ht="15" customHeight="1">
      <c r="A575" s="196">
        <v>494</v>
      </c>
      <c r="B575" s="71">
        <v>43988</v>
      </c>
      <c r="C575" s="2" t="s">
        <v>38</v>
      </c>
      <c r="D575" s="2" t="s">
        <v>1254</v>
      </c>
      <c r="E575" s="2"/>
      <c r="F575" s="2">
        <v>7716</v>
      </c>
      <c r="G575" s="72"/>
      <c r="H575" s="72">
        <v>42.5</v>
      </c>
      <c r="I575" s="72"/>
      <c r="J575" s="72">
        <v>9.6</v>
      </c>
      <c r="K575" s="21">
        <v>238</v>
      </c>
      <c r="L575" s="21">
        <v>1260</v>
      </c>
      <c r="M575" s="21">
        <v>240</v>
      </c>
      <c r="N575" s="21">
        <v>1630</v>
      </c>
      <c r="O575" s="2"/>
      <c r="P575" s="2"/>
      <c r="Q575" s="197"/>
    </row>
    <row r="576" spans="1:17" ht="15" customHeight="1">
      <c r="A576" s="196">
        <v>493</v>
      </c>
      <c r="B576" s="71">
        <v>43988</v>
      </c>
      <c r="C576" s="2" t="s">
        <v>38</v>
      </c>
      <c r="D576" s="2" t="s">
        <v>334</v>
      </c>
      <c r="E576" s="2"/>
      <c r="F576" s="2">
        <v>7716</v>
      </c>
      <c r="G576" s="72"/>
      <c r="H576" s="72">
        <v>42.5</v>
      </c>
      <c r="I576" s="72"/>
      <c r="J576" s="72">
        <v>8.5500000000000007</v>
      </c>
      <c r="K576" s="21">
        <v>231</v>
      </c>
      <c r="L576" s="21">
        <v>1400</v>
      </c>
      <c r="M576" s="21">
        <v>230</v>
      </c>
      <c r="N576" s="21">
        <v>1800</v>
      </c>
      <c r="O576" s="2"/>
      <c r="P576" s="2"/>
      <c r="Q576" s="197"/>
    </row>
    <row r="577" spans="1:17" ht="15" customHeight="1">
      <c r="A577" s="196">
        <v>492</v>
      </c>
      <c r="B577" s="71">
        <v>43988</v>
      </c>
      <c r="C577" s="2" t="s">
        <v>38</v>
      </c>
      <c r="D577" s="2" t="s">
        <v>337</v>
      </c>
      <c r="E577" s="2"/>
      <c r="F577" s="2">
        <v>7716</v>
      </c>
      <c r="G577" s="72"/>
      <c r="H577" s="72">
        <v>42.5</v>
      </c>
      <c r="I577" s="72"/>
      <c r="J577" s="72">
        <v>10.15</v>
      </c>
      <c r="K577" s="21">
        <v>224</v>
      </c>
      <c r="L577" s="21">
        <v>1090</v>
      </c>
      <c r="M577" s="21">
        <v>225</v>
      </c>
      <c r="N577" s="21">
        <v>1450</v>
      </c>
      <c r="O577" s="2"/>
      <c r="P577" s="2"/>
      <c r="Q577" s="197"/>
    </row>
    <row r="578" spans="1:17" ht="15" customHeight="1">
      <c r="A578" s="196">
        <v>491</v>
      </c>
      <c r="B578" s="71">
        <v>43986</v>
      </c>
      <c r="C578" s="2" t="s">
        <v>105</v>
      </c>
      <c r="D578" s="2" t="s">
        <v>1252</v>
      </c>
      <c r="E578" s="2"/>
      <c r="F578" s="2">
        <v>7716</v>
      </c>
      <c r="G578" s="72"/>
      <c r="H578" s="72">
        <v>42.5</v>
      </c>
      <c r="I578" s="72"/>
      <c r="J578" s="72">
        <v>42.5</v>
      </c>
      <c r="K578" s="21">
        <v>7</v>
      </c>
      <c r="L578" s="21">
        <v>295</v>
      </c>
      <c r="M578" s="21">
        <v>1705</v>
      </c>
      <c r="N578" s="21"/>
      <c r="O578" s="2"/>
      <c r="P578" s="2"/>
      <c r="Q578" s="197"/>
    </row>
    <row r="579" spans="1:17" ht="15" customHeight="1">
      <c r="A579" s="196">
        <v>490</v>
      </c>
      <c r="B579" s="71">
        <v>43986</v>
      </c>
      <c r="C579" s="2" t="s">
        <v>105</v>
      </c>
      <c r="D579" s="2" t="s">
        <v>1253</v>
      </c>
      <c r="E579" s="2"/>
      <c r="F579" s="2">
        <v>7716</v>
      </c>
      <c r="G579" s="72"/>
      <c r="H579" s="72">
        <v>42.5</v>
      </c>
      <c r="I579" s="72"/>
      <c r="J579" s="72">
        <v>7.5</v>
      </c>
      <c r="K579" s="21">
        <v>257</v>
      </c>
      <c r="L579" s="21">
        <v>1600</v>
      </c>
      <c r="M579" s="21">
        <v>255</v>
      </c>
      <c r="N579" s="21">
        <v>2025</v>
      </c>
      <c r="O579" s="2"/>
      <c r="P579" s="2"/>
      <c r="Q579" s="197"/>
    </row>
    <row r="580" spans="1:17" ht="15" customHeight="1">
      <c r="A580" s="196">
        <v>489</v>
      </c>
      <c r="B580" s="71">
        <v>43986</v>
      </c>
      <c r="C580" s="2" t="s">
        <v>105</v>
      </c>
      <c r="D580" s="2" t="s">
        <v>1254</v>
      </c>
      <c r="E580" s="2"/>
      <c r="F580" s="2">
        <v>7716</v>
      </c>
      <c r="G580" s="72"/>
      <c r="H580" s="72">
        <v>42.5</v>
      </c>
      <c r="I580" s="72"/>
      <c r="J580" s="72">
        <v>9.25</v>
      </c>
      <c r="K580" s="21">
        <v>239</v>
      </c>
      <c r="L580" s="21">
        <v>1230</v>
      </c>
      <c r="M580" s="21">
        <v>240</v>
      </c>
      <c r="N580" s="21">
        <v>1645</v>
      </c>
      <c r="O580" s="2"/>
      <c r="P580" s="2"/>
      <c r="Q580" s="197"/>
    </row>
    <row r="581" spans="1:17" ht="15" customHeight="1">
      <c r="A581" s="196">
        <v>488</v>
      </c>
      <c r="B581" s="71">
        <v>43986</v>
      </c>
      <c r="C581" s="2" t="s">
        <v>105</v>
      </c>
      <c r="D581" s="2" t="s">
        <v>334</v>
      </c>
      <c r="E581" s="2"/>
      <c r="F581" s="2">
        <v>7716</v>
      </c>
      <c r="G581" s="72"/>
      <c r="H581" s="72">
        <v>42.5</v>
      </c>
      <c r="I581" s="72"/>
      <c r="J581" s="72">
        <v>8.5</v>
      </c>
      <c r="K581" s="21">
        <v>231</v>
      </c>
      <c r="L581" s="21">
        <v>1395</v>
      </c>
      <c r="M581" s="21">
        <v>229</v>
      </c>
      <c r="N581" s="21">
        <v>1795</v>
      </c>
      <c r="O581" s="2"/>
      <c r="P581" s="2"/>
      <c r="Q581" s="197"/>
    </row>
    <row r="582" spans="1:17" ht="15" customHeight="1">
      <c r="A582" s="196">
        <v>487</v>
      </c>
      <c r="B582" s="71">
        <v>43986</v>
      </c>
      <c r="C582" s="2" t="s">
        <v>105</v>
      </c>
      <c r="D582" s="2" t="s">
        <v>337</v>
      </c>
      <c r="E582" s="2"/>
      <c r="F582" s="2">
        <v>7716</v>
      </c>
      <c r="G582" s="72"/>
      <c r="H582" s="72">
        <v>42.5</v>
      </c>
      <c r="I582" s="72"/>
      <c r="J582" s="72">
        <v>8.3000000000000007</v>
      </c>
      <c r="K582" s="21">
        <v>224</v>
      </c>
      <c r="L582" s="21">
        <v>1105</v>
      </c>
      <c r="M582" s="21">
        <v>225</v>
      </c>
      <c r="N582" s="21">
        <v>1450</v>
      </c>
      <c r="O582" s="2"/>
      <c r="P582" s="2"/>
      <c r="Q582" s="197"/>
    </row>
    <row r="583" spans="1:17" ht="15" customHeight="1">
      <c r="A583" s="196">
        <v>486</v>
      </c>
      <c r="B583" s="71">
        <v>43986</v>
      </c>
      <c r="C583" s="2" t="s">
        <v>105</v>
      </c>
      <c r="D583" s="2" t="s">
        <v>119</v>
      </c>
      <c r="E583" s="2"/>
      <c r="F583" s="2" t="s">
        <v>1242</v>
      </c>
      <c r="G583" s="72"/>
      <c r="H583" s="72" t="s">
        <v>1264</v>
      </c>
      <c r="I583" s="72"/>
      <c r="J583" s="72">
        <v>6.65</v>
      </c>
      <c r="K583" s="21">
        <v>294</v>
      </c>
      <c r="L583" s="21">
        <v>1670</v>
      </c>
      <c r="M583" s="21">
        <v>296</v>
      </c>
      <c r="N583" s="21">
        <v>2095</v>
      </c>
      <c r="O583" s="2"/>
      <c r="P583" s="2"/>
      <c r="Q583" s="197"/>
    </row>
    <row r="584" spans="1:17" ht="15" customHeight="1">
      <c r="A584" s="196">
        <v>485</v>
      </c>
      <c r="B584" s="71">
        <v>43986</v>
      </c>
      <c r="C584" s="2" t="s">
        <v>105</v>
      </c>
      <c r="D584" s="2" t="s">
        <v>1265</v>
      </c>
      <c r="E584" s="2"/>
      <c r="F584" s="2">
        <v>7199</v>
      </c>
      <c r="G584" s="72"/>
      <c r="H584" s="72">
        <v>35</v>
      </c>
      <c r="I584" s="72"/>
      <c r="J584" s="72">
        <v>9.25</v>
      </c>
      <c r="K584" s="21">
        <v>206</v>
      </c>
      <c r="L584" s="21">
        <v>940</v>
      </c>
      <c r="M584" s="21">
        <v>210</v>
      </c>
      <c r="N584" s="21">
        <v>1300</v>
      </c>
      <c r="O584" s="2"/>
      <c r="P584" s="2"/>
      <c r="Q584" s="197"/>
    </row>
    <row r="585" spans="1:17" ht="15" customHeight="1">
      <c r="A585" s="196">
        <v>484</v>
      </c>
      <c r="B585" s="71">
        <v>43986</v>
      </c>
      <c r="C585" s="2" t="s">
        <v>38</v>
      </c>
      <c r="D585" s="2" t="s">
        <v>1265</v>
      </c>
      <c r="E585" s="2"/>
      <c r="F585" s="2">
        <v>7199</v>
      </c>
      <c r="G585" s="72"/>
      <c r="H585" s="72">
        <v>35</v>
      </c>
      <c r="I585" s="72"/>
      <c r="J585" s="72">
        <v>9.1999999999999993</v>
      </c>
      <c r="K585" s="21">
        <v>205</v>
      </c>
      <c r="L585" s="21">
        <v>930</v>
      </c>
      <c r="M585" s="21">
        <v>209</v>
      </c>
      <c r="N585" s="21">
        <v>1290</v>
      </c>
      <c r="O585" s="2"/>
      <c r="P585" s="2"/>
      <c r="Q585" s="197"/>
    </row>
    <row r="586" spans="1:17" ht="15" customHeight="1">
      <c r="A586" s="196">
        <v>483</v>
      </c>
      <c r="B586" s="71">
        <v>43986</v>
      </c>
      <c r="C586" s="2" t="s">
        <v>38</v>
      </c>
      <c r="D586" s="2" t="s">
        <v>1266</v>
      </c>
      <c r="E586" s="2"/>
      <c r="F586" s="2">
        <v>7199</v>
      </c>
      <c r="G586" s="72"/>
      <c r="H586" s="72">
        <v>35</v>
      </c>
      <c r="I586" s="72"/>
      <c r="J586" s="72">
        <v>8.6</v>
      </c>
      <c r="K586" s="21">
        <v>202</v>
      </c>
      <c r="L586" s="21">
        <v>935</v>
      </c>
      <c r="M586" s="21">
        <v>208</v>
      </c>
      <c r="N586" s="21"/>
      <c r="O586" s="2"/>
      <c r="P586" s="2"/>
      <c r="Q586" s="197"/>
    </row>
    <row r="587" spans="1:17" ht="15" customHeight="1">
      <c r="A587" s="196">
        <v>482</v>
      </c>
      <c r="B587" s="71">
        <v>43986</v>
      </c>
      <c r="C587" s="2" t="s">
        <v>38</v>
      </c>
      <c r="D587" s="2" t="s">
        <v>1267</v>
      </c>
      <c r="E587" s="2"/>
      <c r="F587" s="2">
        <v>7199</v>
      </c>
      <c r="G587" s="72"/>
      <c r="H587" s="72">
        <v>35</v>
      </c>
      <c r="I587" s="72"/>
      <c r="J587" s="72">
        <v>6.6</v>
      </c>
      <c r="K587" s="21">
        <v>279</v>
      </c>
      <c r="L587" s="21">
        <v>1245</v>
      </c>
      <c r="M587" s="21">
        <v>285</v>
      </c>
      <c r="N587" s="21">
        <v>1950</v>
      </c>
      <c r="O587" s="2"/>
      <c r="P587" s="2"/>
      <c r="Q587" s="197"/>
    </row>
    <row r="588" spans="1:17" ht="15" customHeight="1">
      <c r="A588" s="196">
        <v>481</v>
      </c>
      <c r="B588" s="71">
        <v>43985</v>
      </c>
      <c r="C588" s="2" t="s">
        <v>105</v>
      </c>
      <c r="D588" s="2" t="s">
        <v>1253</v>
      </c>
      <c r="E588" s="2"/>
      <c r="F588" s="2">
        <v>7716</v>
      </c>
      <c r="G588" s="72"/>
      <c r="H588" s="72">
        <v>42.5</v>
      </c>
      <c r="I588" s="72"/>
      <c r="J588" s="72">
        <v>7.06</v>
      </c>
      <c r="K588" s="21">
        <v>257</v>
      </c>
      <c r="L588" s="21">
        <v>1680</v>
      </c>
      <c r="M588" s="21"/>
      <c r="N588" s="21"/>
      <c r="O588" s="2"/>
      <c r="P588" s="2"/>
      <c r="Q588" s="197"/>
    </row>
    <row r="589" spans="1:17" ht="15" customHeight="1">
      <c r="A589" s="196">
        <v>480</v>
      </c>
      <c r="B589" s="71">
        <v>43985</v>
      </c>
      <c r="C589" s="2" t="s">
        <v>105</v>
      </c>
      <c r="D589" s="2" t="s">
        <v>1252</v>
      </c>
      <c r="E589" s="2"/>
      <c r="F589" s="2">
        <v>7716</v>
      </c>
      <c r="G589" s="72"/>
      <c r="H589" s="72">
        <v>42.5</v>
      </c>
      <c r="I589" s="72"/>
      <c r="J589" s="72">
        <v>7</v>
      </c>
      <c r="K589" s="21">
        <v>293</v>
      </c>
      <c r="L589" s="21">
        <v>1720</v>
      </c>
      <c r="M589" s="21"/>
      <c r="N589" s="21"/>
      <c r="O589" s="2"/>
      <c r="P589" s="2"/>
      <c r="Q589" s="197"/>
    </row>
    <row r="590" spans="1:17" ht="15" customHeight="1">
      <c r="A590" s="196">
        <v>479</v>
      </c>
      <c r="B590" s="71">
        <v>43985</v>
      </c>
      <c r="C590" s="2" t="s">
        <v>105</v>
      </c>
      <c r="D590" s="2" t="s">
        <v>334</v>
      </c>
      <c r="E590" s="2"/>
      <c r="F590" s="2">
        <v>7716</v>
      </c>
      <c r="G590" s="72"/>
      <c r="H590" s="72">
        <v>42.5</v>
      </c>
      <c r="I590" s="72"/>
      <c r="J590" s="72">
        <v>8.4499999999999993</v>
      </c>
      <c r="K590" s="21">
        <v>227</v>
      </c>
      <c r="L590" s="21">
        <v>1370</v>
      </c>
      <c r="M590" s="21"/>
      <c r="N590" s="21"/>
      <c r="O590" s="2"/>
      <c r="P590" s="2"/>
      <c r="Q590" s="197"/>
    </row>
    <row r="591" spans="1:17" ht="15" customHeight="1">
      <c r="A591" s="196">
        <v>478</v>
      </c>
      <c r="B591" s="71">
        <v>43985</v>
      </c>
      <c r="C591" s="2" t="s">
        <v>105</v>
      </c>
      <c r="D591" s="2" t="s">
        <v>337</v>
      </c>
      <c r="E591" s="2"/>
      <c r="F591" s="2">
        <v>7716</v>
      </c>
      <c r="G591" s="72"/>
      <c r="H591" s="72">
        <v>42.5</v>
      </c>
      <c r="I591" s="72"/>
      <c r="J591" s="72">
        <v>9.8000000000000007</v>
      </c>
      <c r="K591" s="21">
        <v>222</v>
      </c>
      <c r="L591" s="21">
        <v>1180</v>
      </c>
      <c r="M591" s="21"/>
      <c r="N591" s="21"/>
      <c r="O591" s="2"/>
      <c r="P591" s="2"/>
      <c r="Q591" s="197"/>
    </row>
    <row r="592" spans="1:17" ht="15" customHeight="1">
      <c r="A592" s="196">
        <v>477</v>
      </c>
      <c r="B592" s="71">
        <v>43985</v>
      </c>
      <c r="C592" s="2" t="s">
        <v>105</v>
      </c>
      <c r="D592" s="2" t="s">
        <v>1263</v>
      </c>
      <c r="E592" s="2"/>
      <c r="F592" s="2">
        <v>7716</v>
      </c>
      <c r="G592" s="72"/>
      <c r="H592" s="72">
        <v>42.5</v>
      </c>
      <c r="I592" s="72"/>
      <c r="J592" s="72">
        <v>9.6</v>
      </c>
      <c r="K592" s="21">
        <v>238</v>
      </c>
      <c r="L592" s="21"/>
      <c r="M592" s="21"/>
      <c r="N592" s="21"/>
      <c r="O592" s="2"/>
      <c r="P592" s="2"/>
      <c r="Q592" s="197"/>
    </row>
    <row r="593" spans="1:17" ht="15" customHeight="1">
      <c r="A593" s="196">
        <v>476</v>
      </c>
      <c r="B593" s="71">
        <v>43985</v>
      </c>
      <c r="C593" s="2" t="s">
        <v>105</v>
      </c>
      <c r="D593" s="2" t="s">
        <v>1250</v>
      </c>
      <c r="E593" s="2"/>
      <c r="F593" s="2">
        <v>7716</v>
      </c>
      <c r="G593" s="72"/>
      <c r="H593" s="72">
        <v>35</v>
      </c>
      <c r="I593" s="72"/>
      <c r="J593" s="72">
        <v>10.9</v>
      </c>
      <c r="K593" s="21">
        <v>182</v>
      </c>
      <c r="L593" s="21"/>
      <c r="M593" s="21">
        <v>188</v>
      </c>
      <c r="N593" s="21">
        <v>1156</v>
      </c>
      <c r="O593" s="2"/>
      <c r="P593" s="2"/>
      <c r="Q593" s="197"/>
    </row>
    <row r="594" spans="1:17" ht="15" customHeight="1">
      <c r="A594" s="196">
        <v>475</v>
      </c>
      <c r="B594" s="71">
        <v>43985</v>
      </c>
      <c r="C594" s="2" t="s">
        <v>105</v>
      </c>
      <c r="D594" s="2" t="s">
        <v>1252</v>
      </c>
      <c r="E594" s="2"/>
      <c r="F594" s="2">
        <v>7716</v>
      </c>
      <c r="G594" s="72"/>
      <c r="H594" s="72">
        <v>42.5</v>
      </c>
      <c r="I594" s="72"/>
      <c r="J594" s="72">
        <v>6.95</v>
      </c>
      <c r="K594" s="21">
        <v>295</v>
      </c>
      <c r="L594" s="21">
        <v>1700</v>
      </c>
      <c r="M594" s="21"/>
      <c r="N594" s="21"/>
      <c r="O594" s="2"/>
      <c r="P594" s="2"/>
      <c r="Q594" s="197"/>
    </row>
    <row r="595" spans="1:17" ht="15" customHeight="1">
      <c r="A595" s="196">
        <v>474</v>
      </c>
      <c r="B595" s="71">
        <v>43985</v>
      </c>
      <c r="C595" s="2" t="s">
        <v>105</v>
      </c>
      <c r="D595" s="2" t="s">
        <v>1253</v>
      </c>
      <c r="E595" s="2"/>
      <c r="F595" s="2">
        <v>7716</v>
      </c>
      <c r="G595" s="72"/>
      <c r="H595" s="72">
        <v>42.5</v>
      </c>
      <c r="I595" s="72"/>
      <c r="J595" s="72">
        <v>7.2</v>
      </c>
      <c r="K595" s="21">
        <v>253</v>
      </c>
      <c r="L595" s="21">
        <v>1640</v>
      </c>
      <c r="M595" s="21">
        <v>255</v>
      </c>
      <c r="N595" s="21">
        <v>2060</v>
      </c>
      <c r="O595" s="2"/>
      <c r="P595" s="2"/>
      <c r="Q595" s="197"/>
    </row>
    <row r="596" spans="1:17" ht="15" customHeight="1">
      <c r="A596" s="196">
        <v>473</v>
      </c>
      <c r="B596" s="71">
        <v>43984</v>
      </c>
      <c r="C596" s="2" t="s">
        <v>105</v>
      </c>
      <c r="D596" s="2" t="s">
        <v>1250</v>
      </c>
      <c r="E596" s="2"/>
      <c r="F596" s="2">
        <v>7716</v>
      </c>
      <c r="G596" s="72"/>
      <c r="H596" s="72">
        <v>35</v>
      </c>
      <c r="I596" s="72"/>
      <c r="J596" s="72">
        <v>10.3</v>
      </c>
      <c r="K596" s="21">
        <v>188</v>
      </c>
      <c r="L596" s="21">
        <v>870</v>
      </c>
      <c r="M596" s="21"/>
      <c r="N596" s="21"/>
      <c r="O596" s="2"/>
      <c r="P596" s="2"/>
      <c r="Q596" s="197"/>
    </row>
    <row r="597" spans="1:17" ht="15" customHeight="1">
      <c r="A597" s="196">
        <v>472</v>
      </c>
      <c r="B597" s="71">
        <v>43984</v>
      </c>
      <c r="C597" s="2" t="s">
        <v>105</v>
      </c>
      <c r="D597" s="2" t="s">
        <v>1252</v>
      </c>
      <c r="E597" s="2"/>
      <c r="F597" s="2">
        <v>7716</v>
      </c>
      <c r="G597" s="72"/>
      <c r="H597" s="72">
        <v>42.5</v>
      </c>
      <c r="I597" s="72"/>
      <c r="J597" s="72">
        <v>7.2</v>
      </c>
      <c r="K597" s="21">
        <v>293</v>
      </c>
      <c r="L597" s="21">
        <v>1660</v>
      </c>
      <c r="M597" s="21"/>
      <c r="N597" s="21"/>
      <c r="O597" s="2"/>
      <c r="P597" s="2"/>
      <c r="Q597" s="197"/>
    </row>
    <row r="598" spans="1:17" ht="15" customHeight="1">
      <c r="A598" s="196">
        <v>471</v>
      </c>
      <c r="B598" s="71">
        <v>43984</v>
      </c>
      <c r="C598" s="2" t="s">
        <v>105</v>
      </c>
      <c r="D598" s="2" t="s">
        <v>1253</v>
      </c>
      <c r="E598" s="2"/>
      <c r="F598" s="2">
        <v>7716</v>
      </c>
      <c r="G598" s="72"/>
      <c r="H598" s="72">
        <v>42.5</v>
      </c>
      <c r="I598" s="72"/>
      <c r="J598" s="72">
        <v>7.25</v>
      </c>
      <c r="K598" s="21">
        <v>257</v>
      </c>
      <c r="L598" s="21">
        <v>1645</v>
      </c>
      <c r="M598" s="21"/>
      <c r="N598" s="21"/>
      <c r="O598" s="2"/>
      <c r="P598" s="2"/>
      <c r="Q598" s="197"/>
    </row>
    <row r="599" spans="1:17" ht="15" customHeight="1">
      <c r="A599" s="196">
        <v>470</v>
      </c>
      <c r="B599" s="71">
        <v>43984</v>
      </c>
      <c r="C599" s="2" t="s">
        <v>105</v>
      </c>
      <c r="D599" s="2" t="s">
        <v>1254</v>
      </c>
      <c r="E599" s="2"/>
      <c r="F599" s="2">
        <v>7716</v>
      </c>
      <c r="G599" s="72"/>
      <c r="H599" s="72">
        <v>42.5</v>
      </c>
      <c r="I599" s="72"/>
      <c r="J599" s="72">
        <v>9</v>
      </c>
      <c r="K599" s="21"/>
      <c r="L599" s="21"/>
      <c r="M599" s="21"/>
      <c r="N599" s="21"/>
      <c r="O599" s="2"/>
      <c r="P599" s="2"/>
      <c r="Q599" s="197"/>
    </row>
    <row r="600" spans="1:17" ht="15" customHeight="1">
      <c r="A600" s="196">
        <v>469</v>
      </c>
      <c r="B600" s="71">
        <v>43983</v>
      </c>
      <c r="C600" s="2" t="s">
        <v>105</v>
      </c>
      <c r="D600" s="2" t="s">
        <v>1104</v>
      </c>
      <c r="E600" s="2"/>
      <c r="F600" s="2">
        <v>752</v>
      </c>
      <c r="G600" s="72"/>
      <c r="H600" s="72">
        <v>35</v>
      </c>
      <c r="I600" s="72"/>
      <c r="J600" s="72">
        <v>9.3000000000000007</v>
      </c>
      <c r="K600" s="21">
        <v>191</v>
      </c>
      <c r="L600" s="21">
        <v>1030</v>
      </c>
      <c r="M600" s="21">
        <v>193</v>
      </c>
      <c r="N600" s="21">
        <v>1325</v>
      </c>
      <c r="O600" s="2"/>
      <c r="P600" s="2"/>
      <c r="Q600" s="197"/>
    </row>
    <row r="601" spans="1:17" ht="15" customHeight="1">
      <c r="A601" s="196">
        <v>468</v>
      </c>
      <c r="B601" s="71">
        <v>43981</v>
      </c>
      <c r="C601" s="2" t="s">
        <v>105</v>
      </c>
      <c r="D601" s="2" t="s">
        <v>1104</v>
      </c>
      <c r="E601" s="2"/>
      <c r="F601" s="2">
        <v>752</v>
      </c>
      <c r="G601" s="72"/>
      <c r="H601" s="72">
        <v>35</v>
      </c>
      <c r="I601" s="72"/>
      <c r="J601" s="72">
        <v>9.25</v>
      </c>
      <c r="K601" s="21">
        <v>191</v>
      </c>
      <c r="L601" s="21">
        <v>1030</v>
      </c>
      <c r="M601" s="21">
        <v>193</v>
      </c>
      <c r="N601" s="21">
        <v>1320</v>
      </c>
      <c r="O601" s="2"/>
      <c r="P601" s="2"/>
      <c r="Q601" s="197"/>
    </row>
    <row r="602" spans="1:17" ht="15" customHeight="1">
      <c r="A602" s="196">
        <v>467</v>
      </c>
      <c r="B602" s="71">
        <v>43980</v>
      </c>
      <c r="C602" s="2" t="s">
        <v>105</v>
      </c>
      <c r="D602" s="2" t="s">
        <v>1259</v>
      </c>
      <c r="E602" s="2"/>
      <c r="F602" s="2">
        <v>7717</v>
      </c>
      <c r="G602" s="72"/>
      <c r="H602" s="72">
        <v>42.5</v>
      </c>
      <c r="I602" s="72"/>
      <c r="J602" s="72">
        <v>8.6</v>
      </c>
      <c r="K602" s="21">
        <v>233</v>
      </c>
      <c r="L602" s="21">
        <v>1380</v>
      </c>
      <c r="M602" s="21">
        <v>234</v>
      </c>
      <c r="N602" s="21">
        <v>1800</v>
      </c>
      <c r="O602" s="2"/>
      <c r="P602" s="2"/>
      <c r="Q602" s="197"/>
    </row>
    <row r="603" spans="1:17" ht="15" customHeight="1">
      <c r="A603" s="196">
        <v>466</v>
      </c>
      <c r="B603" s="71">
        <v>43980</v>
      </c>
      <c r="C603" s="2" t="s">
        <v>105</v>
      </c>
      <c r="D603" s="2" t="s">
        <v>1261</v>
      </c>
      <c r="E603" s="2"/>
      <c r="F603" s="2">
        <v>7717</v>
      </c>
      <c r="G603" s="72"/>
      <c r="H603" s="72">
        <v>35</v>
      </c>
      <c r="I603" s="72"/>
      <c r="J603" s="72">
        <v>10.3</v>
      </c>
      <c r="K603" s="21">
        <v>193</v>
      </c>
      <c r="L603" s="21">
        <v>910</v>
      </c>
      <c r="M603" s="21"/>
      <c r="N603" s="21"/>
      <c r="O603" s="2"/>
      <c r="P603" s="2"/>
      <c r="Q603" s="197"/>
    </row>
    <row r="604" spans="1:17" ht="15" customHeight="1">
      <c r="A604" s="196">
        <v>465</v>
      </c>
      <c r="B604" s="71">
        <v>43980</v>
      </c>
      <c r="C604" s="2" t="s">
        <v>105</v>
      </c>
      <c r="D604" s="2" t="s">
        <v>1262</v>
      </c>
      <c r="E604" s="2"/>
      <c r="F604" s="2">
        <v>7717</v>
      </c>
      <c r="G604" s="72"/>
      <c r="H604" s="72">
        <v>35</v>
      </c>
      <c r="I604" s="72"/>
      <c r="J604" s="72">
        <v>10.3</v>
      </c>
      <c r="K604" s="21">
        <v>183</v>
      </c>
      <c r="L604" s="21">
        <v>910</v>
      </c>
      <c r="M604" s="21">
        <v>185</v>
      </c>
      <c r="N604" s="21">
        <v>1200</v>
      </c>
      <c r="O604" s="2"/>
      <c r="P604" s="2"/>
      <c r="Q604" s="197"/>
    </row>
    <row r="605" spans="1:17" ht="15" customHeight="1">
      <c r="A605" s="196">
        <v>464</v>
      </c>
      <c r="B605" s="71">
        <v>43980</v>
      </c>
      <c r="C605" s="2" t="s">
        <v>105</v>
      </c>
      <c r="D605" s="2" t="s">
        <v>1259</v>
      </c>
      <c r="E605" s="2"/>
      <c r="F605" s="2">
        <v>7717</v>
      </c>
      <c r="G605" s="72"/>
      <c r="H605" s="72">
        <v>42.5</v>
      </c>
      <c r="I605" s="72"/>
      <c r="J605" s="72">
        <v>8.6</v>
      </c>
      <c r="K605" s="21">
        <v>234</v>
      </c>
      <c r="L605" s="21">
        <v>1420</v>
      </c>
      <c r="M605" s="21">
        <v>234</v>
      </c>
      <c r="N605" s="21">
        <v>1810</v>
      </c>
      <c r="O605" s="2"/>
      <c r="P605" s="2"/>
      <c r="Q605" s="197"/>
    </row>
    <row r="606" spans="1:17" ht="15" customHeight="1">
      <c r="A606" s="196">
        <v>463</v>
      </c>
      <c r="B606" s="71">
        <v>43980</v>
      </c>
      <c r="C606" s="2" t="s">
        <v>105</v>
      </c>
      <c r="D606" s="2" t="s">
        <v>1261</v>
      </c>
      <c r="E606" s="2"/>
      <c r="F606" s="2">
        <v>7717</v>
      </c>
      <c r="G606" s="72"/>
      <c r="H606" s="72">
        <v>35</v>
      </c>
      <c r="I606" s="72"/>
      <c r="J606" s="72">
        <v>10.199999999999999</v>
      </c>
      <c r="K606" s="21">
        <v>193</v>
      </c>
      <c r="L606" s="21">
        <v>870</v>
      </c>
      <c r="M606" s="21">
        <v>195</v>
      </c>
      <c r="N606" s="21">
        <v>1270</v>
      </c>
      <c r="O606" s="2"/>
      <c r="P606" s="2"/>
      <c r="Q606" s="197"/>
    </row>
    <row r="607" spans="1:17" ht="15" customHeight="1">
      <c r="A607" s="196">
        <v>462</v>
      </c>
      <c r="B607" s="71">
        <v>43980</v>
      </c>
      <c r="C607" s="2" t="s">
        <v>105</v>
      </c>
      <c r="D607" s="2" t="s">
        <v>1262</v>
      </c>
      <c r="E607" s="2"/>
      <c r="F607" s="2">
        <v>7717</v>
      </c>
      <c r="G607" s="72"/>
      <c r="H607" s="72">
        <v>35</v>
      </c>
      <c r="I607" s="72"/>
      <c r="J607" s="72">
        <v>10.6</v>
      </c>
      <c r="K607" s="21">
        <v>184</v>
      </c>
      <c r="L607" s="21">
        <v>877</v>
      </c>
      <c r="M607" s="21">
        <v>184</v>
      </c>
      <c r="N607" s="21">
        <v>1190</v>
      </c>
      <c r="O607" s="2"/>
      <c r="P607" s="2"/>
      <c r="Q607" s="197"/>
    </row>
    <row r="608" spans="1:17" ht="15" customHeight="1">
      <c r="A608" s="196">
        <v>461</v>
      </c>
      <c r="B608" s="71">
        <v>43980</v>
      </c>
      <c r="C608" s="2" t="s">
        <v>105</v>
      </c>
      <c r="D608" s="2" t="s">
        <v>1259</v>
      </c>
      <c r="E608" s="2"/>
      <c r="F608" s="2">
        <v>7717</v>
      </c>
      <c r="G608" s="72"/>
      <c r="H608" s="72">
        <v>42.5</v>
      </c>
      <c r="I608" s="72"/>
      <c r="J608" s="72">
        <v>8</v>
      </c>
      <c r="K608" s="21">
        <v>233</v>
      </c>
      <c r="L608" s="21">
        <v>1420</v>
      </c>
      <c r="M608" s="21">
        <v>234</v>
      </c>
      <c r="N608" s="21">
        <v>1810</v>
      </c>
      <c r="O608" s="2"/>
      <c r="P608" s="2"/>
      <c r="Q608" s="197"/>
    </row>
    <row r="609" spans="1:17" ht="15" customHeight="1">
      <c r="A609" s="196">
        <v>460</v>
      </c>
      <c r="B609" s="71">
        <v>43980</v>
      </c>
      <c r="C609" s="2" t="s">
        <v>105</v>
      </c>
      <c r="D609" s="2" t="s">
        <v>1262</v>
      </c>
      <c r="E609" s="2"/>
      <c r="F609" s="2">
        <v>7717</v>
      </c>
      <c r="G609" s="72"/>
      <c r="H609" s="72">
        <v>35</v>
      </c>
      <c r="I609" s="72"/>
      <c r="J609" s="72">
        <v>10.4</v>
      </c>
      <c r="K609" s="21">
        <v>184</v>
      </c>
      <c r="L609" s="21">
        <v>900</v>
      </c>
      <c r="M609" s="21">
        <v>185</v>
      </c>
      <c r="N609" s="21">
        <v>1180</v>
      </c>
      <c r="O609" s="2"/>
      <c r="P609" s="2"/>
      <c r="Q609" s="197"/>
    </row>
    <row r="610" spans="1:17" ht="15" customHeight="1">
      <c r="A610" s="196">
        <v>459</v>
      </c>
      <c r="B610" s="71">
        <v>43980</v>
      </c>
      <c r="C610" s="2" t="s">
        <v>105</v>
      </c>
      <c r="D610" s="2" t="s">
        <v>1261</v>
      </c>
      <c r="E610" s="2"/>
      <c r="F610" s="2">
        <v>7717</v>
      </c>
      <c r="G610" s="72"/>
      <c r="H610" s="72">
        <v>35</v>
      </c>
      <c r="I610" s="72"/>
      <c r="J610" s="72">
        <v>10.5</v>
      </c>
      <c r="K610" s="21">
        <v>194</v>
      </c>
      <c r="L610" s="21">
        <v>940</v>
      </c>
      <c r="M610" s="21">
        <v>195</v>
      </c>
      <c r="N610" s="21"/>
      <c r="O610" s="2"/>
      <c r="P610" s="2"/>
      <c r="Q610" s="197"/>
    </row>
    <row r="611" spans="1:17" ht="15" customHeight="1">
      <c r="A611" s="196">
        <v>458</v>
      </c>
      <c r="B611" s="71">
        <v>43980</v>
      </c>
      <c r="C611" s="2" t="s">
        <v>105</v>
      </c>
      <c r="D611" s="2" t="s">
        <v>1261</v>
      </c>
      <c r="E611" s="2"/>
      <c r="F611" s="2">
        <v>7717</v>
      </c>
      <c r="G611" s="72"/>
      <c r="H611" s="72">
        <v>35</v>
      </c>
      <c r="I611" s="72"/>
      <c r="J611" s="72">
        <v>9.75</v>
      </c>
      <c r="K611" s="21">
        <v>194</v>
      </c>
      <c r="L611" s="21">
        <v>950</v>
      </c>
      <c r="M611" s="21">
        <v>195</v>
      </c>
      <c r="N611" s="21">
        <v>1275</v>
      </c>
      <c r="O611" s="2"/>
      <c r="P611" s="2"/>
      <c r="Q611" s="197"/>
    </row>
    <row r="612" spans="1:17" ht="15" customHeight="1">
      <c r="A612" s="196">
        <v>457</v>
      </c>
      <c r="B612" s="71">
        <v>43980</v>
      </c>
      <c r="C612" s="2" t="s">
        <v>37</v>
      </c>
      <c r="D612" s="2" t="s">
        <v>1071</v>
      </c>
      <c r="E612" s="2"/>
      <c r="F612" s="2" t="s">
        <v>69</v>
      </c>
      <c r="G612" s="72"/>
      <c r="H612" s="72">
        <v>42.5</v>
      </c>
      <c r="I612" s="72"/>
      <c r="J612" s="72">
        <v>11</v>
      </c>
      <c r="K612" s="21">
        <v>206.5</v>
      </c>
      <c r="L612" s="21">
        <v>1145</v>
      </c>
      <c r="M612" s="21">
        <v>211</v>
      </c>
      <c r="N612" s="21">
        <v>1385</v>
      </c>
      <c r="O612" s="2"/>
      <c r="P612" s="2" t="s">
        <v>36</v>
      </c>
      <c r="Q612" s="197" t="s">
        <v>1072</v>
      </c>
    </row>
    <row r="613" spans="1:17" ht="15" customHeight="1">
      <c r="A613" s="196">
        <v>456</v>
      </c>
      <c r="B613" s="71">
        <v>43980</v>
      </c>
      <c r="C613" s="2" t="s">
        <v>37</v>
      </c>
      <c r="D613" s="2" t="s">
        <v>1060</v>
      </c>
      <c r="E613" s="2"/>
      <c r="F613" s="2" t="s">
        <v>69</v>
      </c>
      <c r="G613" s="72"/>
      <c r="H613" s="72">
        <v>42.5</v>
      </c>
      <c r="I613" s="72"/>
      <c r="J613" s="72">
        <v>8.9499999999999993</v>
      </c>
      <c r="K613" s="21">
        <v>236.5</v>
      </c>
      <c r="L613" s="21">
        <v>1410</v>
      </c>
      <c r="M613" s="21">
        <v>241</v>
      </c>
      <c r="N613" s="21">
        <v>1690</v>
      </c>
      <c r="O613" s="2"/>
      <c r="P613" s="2" t="s">
        <v>36</v>
      </c>
      <c r="Q613" s="197"/>
    </row>
    <row r="614" spans="1:17" ht="15" customHeight="1">
      <c r="A614" s="196">
        <v>455</v>
      </c>
      <c r="B614" s="71">
        <v>43973</v>
      </c>
      <c r="C614" s="2" t="s">
        <v>105</v>
      </c>
      <c r="D614" s="2" t="s">
        <v>1250</v>
      </c>
      <c r="E614" s="2"/>
      <c r="F614" s="2">
        <v>7716</v>
      </c>
      <c r="G614" s="72"/>
      <c r="H614" s="72">
        <v>35</v>
      </c>
      <c r="I614" s="72"/>
      <c r="J614" s="72">
        <v>10.199999999999999</v>
      </c>
      <c r="K614" s="21">
        <v>188</v>
      </c>
      <c r="L614" s="21">
        <v>900</v>
      </c>
      <c r="M614" s="21">
        <v>190</v>
      </c>
      <c r="N614" s="21">
        <v>1195</v>
      </c>
      <c r="O614" s="2"/>
      <c r="P614" s="2"/>
      <c r="Q614" s="197"/>
    </row>
    <row r="615" spans="1:17" ht="15" customHeight="1">
      <c r="A615" s="196">
        <v>454</v>
      </c>
      <c r="B615" s="71">
        <v>43973</v>
      </c>
      <c r="C615" s="2" t="s">
        <v>105</v>
      </c>
      <c r="D615" s="2" t="s">
        <v>1252</v>
      </c>
      <c r="E615" s="2"/>
      <c r="F615" s="2">
        <v>7716</v>
      </c>
      <c r="G615" s="72"/>
      <c r="H615" s="72">
        <v>42.5</v>
      </c>
      <c r="I615" s="72"/>
      <c r="J615" s="72">
        <v>7.2</v>
      </c>
      <c r="K615" s="21">
        <v>293</v>
      </c>
      <c r="L615" s="21">
        <v>1670</v>
      </c>
      <c r="M615" s="21">
        <v>295</v>
      </c>
      <c r="N615" s="21">
        <v>2095</v>
      </c>
      <c r="O615" s="2"/>
      <c r="P615" s="2"/>
      <c r="Q615" s="197"/>
    </row>
    <row r="616" spans="1:17" ht="15" customHeight="1">
      <c r="A616" s="196">
        <v>453</v>
      </c>
      <c r="B616" s="71">
        <v>43973</v>
      </c>
      <c r="C616" s="2" t="s">
        <v>105</v>
      </c>
      <c r="D616" s="2" t="s">
        <v>1253</v>
      </c>
      <c r="E616" s="2"/>
      <c r="F616" s="2">
        <v>7716</v>
      </c>
      <c r="G616" s="72"/>
      <c r="H616" s="72">
        <v>42.5</v>
      </c>
      <c r="I616" s="72"/>
      <c r="J616" s="72">
        <v>7.2</v>
      </c>
      <c r="K616" s="21">
        <v>253</v>
      </c>
      <c r="L616" s="21">
        <v>1640</v>
      </c>
      <c r="M616" s="21">
        <v>255</v>
      </c>
      <c r="N616" s="21">
        <v>2060</v>
      </c>
      <c r="O616" s="2"/>
      <c r="P616" s="2"/>
      <c r="Q616" s="197"/>
    </row>
    <row r="617" spans="1:17" ht="15" customHeight="1">
      <c r="A617" s="196">
        <v>452</v>
      </c>
      <c r="B617" s="71">
        <v>43970</v>
      </c>
      <c r="C617" s="2" t="s">
        <v>105</v>
      </c>
      <c r="D617" s="2" t="s">
        <v>1251</v>
      </c>
      <c r="E617" s="2"/>
      <c r="F617" s="2">
        <v>7716</v>
      </c>
      <c r="G617" s="72"/>
      <c r="H617" s="72">
        <v>35</v>
      </c>
      <c r="I617" s="72"/>
      <c r="J617" s="72">
        <v>8.6999999999999993</v>
      </c>
      <c r="K617" s="21">
        <v>197</v>
      </c>
      <c r="L617" s="21">
        <v>1095</v>
      </c>
      <c r="M617" s="21">
        <v>200</v>
      </c>
      <c r="N617" s="21">
        <v>1410</v>
      </c>
      <c r="O617" s="2"/>
      <c r="P617" s="2"/>
      <c r="Q617" s="197"/>
    </row>
    <row r="618" spans="1:17" ht="15" customHeight="1">
      <c r="A618" s="196">
        <v>451</v>
      </c>
      <c r="B618" s="71">
        <v>43970</v>
      </c>
      <c r="C618" s="2" t="s">
        <v>105</v>
      </c>
      <c r="D618" s="2" t="s">
        <v>351</v>
      </c>
      <c r="E618" s="2"/>
      <c r="F618" s="2">
        <v>7716</v>
      </c>
      <c r="G618" s="72"/>
      <c r="H618" s="72">
        <v>42.5</v>
      </c>
      <c r="I618" s="72"/>
      <c r="J618" s="72">
        <v>8.4</v>
      </c>
      <c r="K618" s="21">
        <v>246</v>
      </c>
      <c r="L618" s="21">
        <v>1390</v>
      </c>
      <c r="M618" s="21">
        <v>249</v>
      </c>
      <c r="N618" s="21">
        <v>1795</v>
      </c>
      <c r="O618" s="2"/>
      <c r="P618" s="2"/>
      <c r="Q618" s="197"/>
    </row>
    <row r="619" spans="1:17" ht="15" customHeight="1">
      <c r="A619" s="196">
        <v>450</v>
      </c>
      <c r="B619" s="71">
        <v>43970</v>
      </c>
      <c r="C619" s="2" t="s">
        <v>105</v>
      </c>
      <c r="D619" s="2" t="s">
        <v>354</v>
      </c>
      <c r="E619" s="2"/>
      <c r="F619" s="2">
        <v>7716</v>
      </c>
      <c r="G619" s="72"/>
      <c r="H619" s="72">
        <v>35</v>
      </c>
      <c r="I619" s="72"/>
      <c r="J619" s="72">
        <v>10.5</v>
      </c>
      <c r="K619" s="21">
        <v>193</v>
      </c>
      <c r="L619" s="21">
        <v>880</v>
      </c>
      <c r="M619" s="21">
        <v>195</v>
      </c>
      <c r="N619" s="21">
        <v>1165</v>
      </c>
      <c r="O619" s="2"/>
      <c r="P619" s="2"/>
      <c r="Q619" s="197"/>
    </row>
    <row r="620" spans="1:17" ht="15" customHeight="1">
      <c r="A620" s="196">
        <v>449</v>
      </c>
      <c r="B620" s="71">
        <v>43969</v>
      </c>
      <c r="C620" s="2" t="s">
        <v>105</v>
      </c>
      <c r="D620" s="2" t="s">
        <v>354</v>
      </c>
      <c r="E620" s="2"/>
      <c r="F620" s="2">
        <v>7716</v>
      </c>
      <c r="G620" s="72"/>
      <c r="H620" s="72">
        <v>35</v>
      </c>
      <c r="I620" s="72"/>
      <c r="J620" s="72">
        <v>10.8</v>
      </c>
      <c r="K620" s="21">
        <v>192</v>
      </c>
      <c r="L620" s="21">
        <v>840</v>
      </c>
      <c r="M620" s="21">
        <v>195</v>
      </c>
      <c r="N620" s="21">
        <v>1145</v>
      </c>
      <c r="O620" s="2"/>
      <c r="P620" s="2"/>
      <c r="Q620" s="197"/>
    </row>
    <row r="621" spans="1:17" ht="15" customHeight="1">
      <c r="A621" s="196">
        <v>448</v>
      </c>
      <c r="B621" s="71">
        <v>43969</v>
      </c>
      <c r="C621" s="2" t="s">
        <v>105</v>
      </c>
      <c r="D621" s="2" t="s">
        <v>1251</v>
      </c>
      <c r="E621" s="2"/>
      <c r="F621" s="2">
        <v>7716</v>
      </c>
      <c r="G621" s="72"/>
      <c r="H621" s="72">
        <v>35</v>
      </c>
      <c r="I621" s="72"/>
      <c r="J621" s="72">
        <v>8.6999999999999993</v>
      </c>
      <c r="K621" s="21">
        <v>197</v>
      </c>
      <c r="L621" s="21">
        <v>1095</v>
      </c>
      <c r="M621" s="21">
        <v>200</v>
      </c>
      <c r="N621" s="21">
        <v>1405</v>
      </c>
      <c r="O621" s="2"/>
      <c r="P621" s="2"/>
      <c r="Q621" s="197"/>
    </row>
    <row r="622" spans="1:17" ht="15" customHeight="1">
      <c r="A622" s="196">
        <v>447</v>
      </c>
      <c r="B622" s="71">
        <v>43966</v>
      </c>
      <c r="C622" s="2" t="s">
        <v>105</v>
      </c>
      <c r="D622" s="2" t="s">
        <v>354</v>
      </c>
      <c r="E622" s="2"/>
      <c r="F622" s="2">
        <v>7716</v>
      </c>
      <c r="G622" s="72"/>
      <c r="H622" s="72">
        <v>35</v>
      </c>
      <c r="I622" s="72"/>
      <c r="J622" s="72">
        <v>11.5</v>
      </c>
      <c r="K622" s="21">
        <v>186</v>
      </c>
      <c r="L622" s="21">
        <v>765</v>
      </c>
      <c r="M622" s="21">
        <v>192</v>
      </c>
      <c r="N622" s="21">
        <v>1090</v>
      </c>
      <c r="O622" s="2"/>
      <c r="P622" s="2"/>
      <c r="Q622" s="197"/>
    </row>
    <row r="623" spans="1:17" ht="15" customHeight="1">
      <c r="A623" s="196">
        <v>446</v>
      </c>
      <c r="B623" s="71">
        <v>43966</v>
      </c>
      <c r="C623" s="2" t="s">
        <v>105</v>
      </c>
      <c r="D623" s="2" t="s">
        <v>351</v>
      </c>
      <c r="E623" s="2"/>
      <c r="F623" s="2">
        <v>7716</v>
      </c>
      <c r="G623" s="72"/>
      <c r="H623" s="72">
        <v>42.5</v>
      </c>
      <c r="I623" s="72"/>
      <c r="J623" s="72">
        <v>8.4</v>
      </c>
      <c r="K623" s="21">
        <v>245</v>
      </c>
      <c r="L623" s="21">
        <v>1390</v>
      </c>
      <c r="M623" s="21">
        <v>148</v>
      </c>
      <c r="N623" s="21">
        <v>1795</v>
      </c>
      <c r="O623" s="2"/>
      <c r="P623" s="2"/>
      <c r="Q623" s="197"/>
    </row>
    <row r="624" spans="1:17" ht="15" customHeight="1">
      <c r="A624" s="196">
        <v>445</v>
      </c>
      <c r="B624" s="71">
        <v>43966</v>
      </c>
      <c r="C624" s="2" t="s">
        <v>105</v>
      </c>
      <c r="D624" s="2" t="s">
        <v>1251</v>
      </c>
      <c r="E624" s="2"/>
      <c r="F624" s="2">
        <v>7716</v>
      </c>
      <c r="G624" s="72"/>
      <c r="H624" s="72">
        <v>35</v>
      </c>
      <c r="I624" s="72"/>
      <c r="J624" s="72">
        <v>9.1</v>
      </c>
      <c r="K624" s="21">
        <v>193</v>
      </c>
      <c r="L624" s="21">
        <v>1010</v>
      </c>
      <c r="M624" s="21">
        <v>197</v>
      </c>
      <c r="N624" s="21">
        <v>1340</v>
      </c>
      <c r="O624" s="2"/>
      <c r="P624" s="2"/>
      <c r="Q624" s="197"/>
    </row>
    <row r="625" spans="1:17" ht="15" customHeight="1">
      <c r="A625" s="196">
        <v>444</v>
      </c>
      <c r="B625" s="71">
        <v>43963</v>
      </c>
      <c r="C625" s="2" t="s">
        <v>105</v>
      </c>
      <c r="D625" s="2" t="s">
        <v>1260</v>
      </c>
      <c r="E625" s="2"/>
      <c r="F625" s="2" t="s">
        <v>1258</v>
      </c>
      <c r="G625" s="72"/>
      <c r="H625" s="72">
        <v>40</v>
      </c>
      <c r="I625" s="72"/>
      <c r="J625" s="72">
        <v>10</v>
      </c>
      <c r="K625" s="21"/>
      <c r="L625" s="21">
        <v>1120</v>
      </c>
      <c r="M625" s="21"/>
      <c r="N625" s="21">
        <v>1390</v>
      </c>
      <c r="O625" s="2"/>
      <c r="P625" s="2"/>
      <c r="Q625" s="197"/>
    </row>
    <row r="626" spans="1:17" ht="15" customHeight="1">
      <c r="A626" s="196">
        <v>443</v>
      </c>
      <c r="B626" s="71">
        <v>43963</v>
      </c>
      <c r="C626" s="2" t="s">
        <v>105</v>
      </c>
      <c r="D626" s="2" t="s">
        <v>1260</v>
      </c>
      <c r="E626" s="2"/>
      <c r="F626" s="2" t="s">
        <v>1258</v>
      </c>
      <c r="G626" s="72"/>
      <c r="H626" s="72">
        <v>40</v>
      </c>
      <c r="I626" s="72"/>
      <c r="J626" s="72">
        <v>9.25</v>
      </c>
      <c r="K626" s="21">
        <v>208</v>
      </c>
      <c r="L626" s="21">
        <v>1225</v>
      </c>
      <c r="M626" s="21">
        <v>209</v>
      </c>
      <c r="N626" s="21">
        <v>1490</v>
      </c>
      <c r="O626" s="2"/>
      <c r="P626" s="2"/>
      <c r="Q626" s="197"/>
    </row>
    <row r="627" spans="1:17" ht="15" customHeight="1">
      <c r="A627" s="196">
        <v>442</v>
      </c>
      <c r="B627" s="71">
        <v>43962</v>
      </c>
      <c r="C627" s="2" t="s">
        <v>105</v>
      </c>
      <c r="D627" s="2" t="s">
        <v>1236</v>
      </c>
      <c r="E627" s="2"/>
      <c r="F627" s="2">
        <v>7716</v>
      </c>
      <c r="G627" s="72"/>
      <c r="H627" s="72">
        <v>42.5</v>
      </c>
      <c r="I627" s="72"/>
      <c r="J627" s="72">
        <v>11.6</v>
      </c>
      <c r="K627" s="21">
        <v>202</v>
      </c>
      <c r="L627" s="21">
        <v>960</v>
      </c>
      <c r="M627" s="21">
        <v>210</v>
      </c>
      <c r="N627" s="21">
        <v>1395</v>
      </c>
      <c r="O627" s="2"/>
      <c r="P627" s="2"/>
      <c r="Q627" s="197"/>
    </row>
    <row r="628" spans="1:17" ht="15" customHeight="1">
      <c r="A628" s="196">
        <v>441</v>
      </c>
      <c r="B628" s="71">
        <v>43962</v>
      </c>
      <c r="C628" s="2" t="s">
        <v>105</v>
      </c>
      <c r="D628" s="2" t="s">
        <v>1260</v>
      </c>
      <c r="E628" s="2"/>
      <c r="F628" s="2" t="s">
        <v>1258</v>
      </c>
      <c r="G628" s="72"/>
      <c r="H628" s="72">
        <v>42.5</v>
      </c>
      <c r="I628" s="72"/>
      <c r="J628" s="72">
        <v>10.4</v>
      </c>
      <c r="K628" s="21">
        <v>202</v>
      </c>
      <c r="L628" s="21">
        <v>1130</v>
      </c>
      <c r="M628" s="21">
        <v>205</v>
      </c>
      <c r="N628" s="21"/>
      <c r="O628" s="2"/>
      <c r="P628" s="2"/>
      <c r="Q628" s="197"/>
    </row>
    <row r="629" spans="1:17" ht="15" customHeight="1">
      <c r="A629" s="196">
        <v>440</v>
      </c>
      <c r="B629" s="71">
        <v>43911</v>
      </c>
      <c r="C629" s="2" t="s">
        <v>37</v>
      </c>
      <c r="D629" s="2" t="s">
        <v>1259</v>
      </c>
      <c r="E629" s="2"/>
      <c r="F629" s="2">
        <v>7316</v>
      </c>
      <c r="G629" s="72"/>
      <c r="H629" s="72">
        <v>42.5</v>
      </c>
      <c r="I629" s="72"/>
      <c r="J629" s="72">
        <v>9.8000000000000007</v>
      </c>
      <c r="K629" s="21">
        <v>225</v>
      </c>
      <c r="L629" s="21">
        <v>1180</v>
      </c>
      <c r="M629" s="21">
        <v>235</v>
      </c>
      <c r="N629" s="21">
        <v>1770</v>
      </c>
      <c r="O629" s="2"/>
      <c r="P629" s="2"/>
      <c r="Q629" s="197"/>
    </row>
    <row r="630" spans="1:17" ht="15" customHeight="1">
      <c r="A630" s="196">
        <v>439</v>
      </c>
      <c r="B630" s="71">
        <v>43908</v>
      </c>
      <c r="C630" s="2" t="s">
        <v>105</v>
      </c>
      <c r="D630" s="2" t="s">
        <v>1230</v>
      </c>
      <c r="E630" s="2"/>
      <c r="F630" s="2" t="s">
        <v>1258</v>
      </c>
      <c r="G630" s="72"/>
      <c r="H630" s="72">
        <v>35</v>
      </c>
      <c r="I630" s="72"/>
      <c r="J630" s="72">
        <v>11.6</v>
      </c>
      <c r="K630" s="21">
        <v>197</v>
      </c>
      <c r="L630" s="21">
        <v>838</v>
      </c>
      <c r="M630" s="21">
        <v>200</v>
      </c>
      <c r="N630" s="21">
        <v>1110</v>
      </c>
      <c r="O630" s="2"/>
      <c r="P630" s="2"/>
      <c r="Q630" s="197"/>
    </row>
    <row r="631" spans="1:17" ht="15" customHeight="1">
      <c r="A631" s="196">
        <v>438</v>
      </c>
      <c r="B631" s="71">
        <v>43901</v>
      </c>
      <c r="C631" s="2" t="s">
        <v>105</v>
      </c>
      <c r="D631" s="2" t="s">
        <v>1254</v>
      </c>
      <c r="E631" s="2"/>
      <c r="F631" s="2">
        <v>314</v>
      </c>
      <c r="G631" s="72"/>
      <c r="H631" s="72">
        <v>42.5</v>
      </c>
      <c r="I631" s="72"/>
      <c r="J631" s="72">
        <v>9.6</v>
      </c>
      <c r="K631" s="21">
        <v>241</v>
      </c>
      <c r="L631" s="21">
        <v>1300</v>
      </c>
      <c r="M631" s="21">
        <v>240</v>
      </c>
      <c r="N631" s="21">
        <v>1608</v>
      </c>
      <c r="O631" s="2"/>
      <c r="P631" s="2"/>
      <c r="Q631" s="197"/>
    </row>
    <row r="632" spans="1:17" ht="15" customHeight="1">
      <c r="A632" s="196">
        <v>437</v>
      </c>
      <c r="B632" s="71">
        <v>43901</v>
      </c>
      <c r="C632" s="2" t="s">
        <v>105</v>
      </c>
      <c r="D632" s="2" t="s">
        <v>348</v>
      </c>
      <c r="E632" s="2"/>
      <c r="F632" s="2">
        <v>314</v>
      </c>
      <c r="G632" s="72"/>
      <c r="H632" s="72">
        <v>42.5</v>
      </c>
      <c r="I632" s="72"/>
      <c r="J632" s="72">
        <v>8.6999999999999993</v>
      </c>
      <c r="K632" s="21">
        <v>246</v>
      </c>
      <c r="L632" s="21">
        <v>1472</v>
      </c>
      <c r="M632" s="21">
        <v>245</v>
      </c>
      <c r="N632" s="21">
        <v>1816</v>
      </c>
      <c r="O632" s="2"/>
      <c r="P632" s="2"/>
      <c r="Q632" s="197"/>
    </row>
    <row r="633" spans="1:17" ht="15" customHeight="1">
      <c r="A633" s="196">
        <v>436</v>
      </c>
      <c r="B633" s="71">
        <v>43899</v>
      </c>
      <c r="C633" s="2" t="s">
        <v>38</v>
      </c>
      <c r="D633" s="2" t="s">
        <v>348</v>
      </c>
      <c r="E633" s="2"/>
      <c r="F633" s="2">
        <v>314</v>
      </c>
      <c r="G633" s="72"/>
      <c r="H633" s="72">
        <v>42.5</v>
      </c>
      <c r="I633" s="72"/>
      <c r="J633" s="72">
        <v>8.6</v>
      </c>
      <c r="K633" s="21">
        <v>247</v>
      </c>
      <c r="L633" s="21">
        <v>1430</v>
      </c>
      <c r="M633" s="21">
        <v>244</v>
      </c>
      <c r="N633" s="21">
        <v>1835</v>
      </c>
      <c r="O633" s="2"/>
      <c r="P633" s="2"/>
      <c r="Q633" s="197"/>
    </row>
    <row r="634" spans="1:17" ht="15" customHeight="1">
      <c r="A634" s="196">
        <v>435</v>
      </c>
      <c r="B634" s="71">
        <v>43899</v>
      </c>
      <c r="C634" s="2" t="s">
        <v>38</v>
      </c>
      <c r="D634" s="2" t="s">
        <v>337</v>
      </c>
      <c r="E634" s="2"/>
      <c r="F634" s="2">
        <v>314</v>
      </c>
      <c r="G634" s="72"/>
      <c r="H634" s="72">
        <v>42.5</v>
      </c>
      <c r="I634" s="72"/>
      <c r="J634" s="72">
        <v>10.9</v>
      </c>
      <c r="K634" s="21"/>
      <c r="L634" s="21">
        <v>1150</v>
      </c>
      <c r="M634" s="21">
        <v>223</v>
      </c>
      <c r="N634" s="21">
        <v>1450</v>
      </c>
      <c r="O634" s="2"/>
      <c r="P634" s="2"/>
      <c r="Q634" s="197"/>
    </row>
    <row r="635" spans="1:17" ht="15" customHeight="1">
      <c r="A635" s="196">
        <v>434</v>
      </c>
      <c r="B635" s="71">
        <v>43899</v>
      </c>
      <c r="C635" s="2" t="s">
        <v>38</v>
      </c>
      <c r="D635" s="2" t="s">
        <v>334</v>
      </c>
      <c r="E635" s="2"/>
      <c r="F635" s="2">
        <v>314</v>
      </c>
      <c r="G635" s="72"/>
      <c r="H635" s="72">
        <v>42.5</v>
      </c>
      <c r="I635" s="72"/>
      <c r="J635" s="72">
        <v>9.0500000000000007</v>
      </c>
      <c r="K635" s="21"/>
      <c r="L635" s="21">
        <v>1395</v>
      </c>
      <c r="M635" s="21">
        <v>228</v>
      </c>
      <c r="N635" s="21">
        <v>1775</v>
      </c>
      <c r="O635" s="2"/>
      <c r="P635" s="2"/>
      <c r="Q635" s="197"/>
    </row>
    <row r="636" spans="1:17" ht="15" customHeight="1">
      <c r="A636" s="196">
        <v>433</v>
      </c>
      <c r="B636" s="71">
        <v>43898</v>
      </c>
      <c r="C636" s="2" t="s">
        <v>105</v>
      </c>
      <c r="D636" s="2" t="s">
        <v>1254</v>
      </c>
      <c r="E636" s="2"/>
      <c r="F636" s="2">
        <v>314</v>
      </c>
      <c r="G636" s="72"/>
      <c r="H636" s="72">
        <v>42.5</v>
      </c>
      <c r="I636" s="72"/>
      <c r="J636" s="72">
        <v>9.4</v>
      </c>
      <c r="K636" s="21">
        <v>238</v>
      </c>
      <c r="L636" s="21">
        <v>1380</v>
      </c>
      <c r="M636" s="21">
        <v>237</v>
      </c>
      <c r="N636" s="21">
        <v>1580</v>
      </c>
      <c r="O636" s="2"/>
      <c r="P636" s="2"/>
      <c r="Q636" s="197"/>
    </row>
    <row r="637" spans="1:17" ht="15" customHeight="1">
      <c r="A637" s="196">
        <v>432</v>
      </c>
      <c r="B637" s="71">
        <v>43898</v>
      </c>
      <c r="C637" s="2" t="s">
        <v>105</v>
      </c>
      <c r="D637" s="2" t="s">
        <v>337</v>
      </c>
      <c r="E637" s="2"/>
      <c r="F637" s="2">
        <v>314</v>
      </c>
      <c r="G637" s="72"/>
      <c r="H637" s="72">
        <v>42.5</v>
      </c>
      <c r="I637" s="72"/>
      <c r="J637" s="72">
        <v>10.9</v>
      </c>
      <c r="K637" s="21">
        <v>224</v>
      </c>
      <c r="L637" s="21">
        <v>1100</v>
      </c>
      <c r="M637" s="21">
        <v>223</v>
      </c>
      <c r="N637" s="21">
        <v>1405</v>
      </c>
      <c r="O637" s="2"/>
      <c r="P637" s="2"/>
      <c r="Q637" s="197"/>
    </row>
    <row r="638" spans="1:17" ht="15" customHeight="1">
      <c r="A638" s="196">
        <v>431</v>
      </c>
      <c r="B638" s="71">
        <v>43898</v>
      </c>
      <c r="C638" s="2" t="s">
        <v>105</v>
      </c>
      <c r="D638" s="2" t="s">
        <v>334</v>
      </c>
      <c r="E638" s="2"/>
      <c r="F638" s="2">
        <v>314</v>
      </c>
      <c r="G638" s="72"/>
      <c r="H638" s="72">
        <v>42.5</v>
      </c>
      <c r="I638" s="72"/>
      <c r="J638" s="72">
        <v>9.1199999999999992</v>
      </c>
      <c r="K638" s="21"/>
      <c r="L638" s="21">
        <v>1360</v>
      </c>
      <c r="M638" s="21">
        <v>230</v>
      </c>
      <c r="N638" s="21">
        <v>1760</v>
      </c>
      <c r="O638" s="2"/>
      <c r="P638" s="2"/>
      <c r="Q638" s="197"/>
    </row>
    <row r="639" spans="1:17" ht="15" customHeight="1">
      <c r="A639" s="196">
        <v>430</v>
      </c>
      <c r="B639" s="71">
        <v>43898</v>
      </c>
      <c r="C639" s="2" t="s">
        <v>105</v>
      </c>
      <c r="D639" s="2" t="s">
        <v>348</v>
      </c>
      <c r="E639" s="2"/>
      <c r="F639" s="2">
        <v>314</v>
      </c>
      <c r="G639" s="72"/>
      <c r="H639" s="72">
        <v>42.5</v>
      </c>
      <c r="I639" s="72"/>
      <c r="J639" s="72">
        <v>8.6999999999999993</v>
      </c>
      <c r="K639" s="21">
        <v>246</v>
      </c>
      <c r="L639" s="21"/>
      <c r="M639" s="21">
        <v>245</v>
      </c>
      <c r="N639" s="21">
        <v>1870</v>
      </c>
      <c r="O639" s="2"/>
      <c r="P639" s="2"/>
      <c r="Q639" s="197"/>
    </row>
    <row r="640" spans="1:17" ht="15" customHeight="1">
      <c r="A640" s="196">
        <v>429</v>
      </c>
      <c r="B640" s="71">
        <v>43897</v>
      </c>
      <c r="C640" s="2" t="s">
        <v>38</v>
      </c>
      <c r="D640" s="2" t="s">
        <v>337</v>
      </c>
      <c r="E640" s="2"/>
      <c r="F640" s="2">
        <v>314</v>
      </c>
      <c r="G640" s="72"/>
      <c r="H640" s="72">
        <v>42.5</v>
      </c>
      <c r="I640" s="72"/>
      <c r="J640" s="72">
        <v>11</v>
      </c>
      <c r="K640" s="21">
        <v>223</v>
      </c>
      <c r="L640" s="21">
        <v>1090</v>
      </c>
      <c r="M640" s="21"/>
      <c r="N640" s="21">
        <v>1400</v>
      </c>
      <c r="O640" s="2"/>
      <c r="P640" s="2"/>
      <c r="Q640" s="197"/>
    </row>
    <row r="641" spans="1:17" ht="15" customHeight="1">
      <c r="A641" s="196">
        <v>428</v>
      </c>
      <c r="B641" s="71">
        <v>43897</v>
      </c>
      <c r="C641" s="2" t="s">
        <v>38</v>
      </c>
      <c r="D641" s="2" t="s">
        <v>334</v>
      </c>
      <c r="E641" s="2"/>
      <c r="F641" s="2">
        <v>314</v>
      </c>
      <c r="G641" s="72"/>
      <c r="H641" s="72">
        <v>42.5</v>
      </c>
      <c r="I641" s="72"/>
      <c r="J641" s="72">
        <v>9.15</v>
      </c>
      <c r="K641" s="21">
        <v>228</v>
      </c>
      <c r="L641" s="21">
        <v>1340</v>
      </c>
      <c r="M641" s="21"/>
      <c r="N641" s="21">
        <v>1725</v>
      </c>
      <c r="O641" s="2"/>
      <c r="P641" s="2"/>
      <c r="Q641" s="197"/>
    </row>
    <row r="642" spans="1:17" ht="15" customHeight="1">
      <c r="A642" s="196">
        <v>427</v>
      </c>
      <c r="B642" s="71">
        <v>43896</v>
      </c>
      <c r="C642" s="2" t="s">
        <v>38</v>
      </c>
      <c r="D642" s="2" t="s">
        <v>348</v>
      </c>
      <c r="E642" s="2"/>
      <c r="F642" s="2">
        <v>314</v>
      </c>
      <c r="G642" s="72"/>
      <c r="H642" s="72">
        <v>42.5</v>
      </c>
      <c r="I642" s="72"/>
      <c r="J642" s="72">
        <v>10</v>
      </c>
      <c r="K642" s="21">
        <v>246</v>
      </c>
      <c r="L642" s="21">
        <v>1400</v>
      </c>
      <c r="M642" s="21"/>
      <c r="N642" s="21">
        <v>1770</v>
      </c>
      <c r="O642" s="2"/>
      <c r="P642" s="2"/>
      <c r="Q642" s="197"/>
    </row>
    <row r="643" spans="1:17" ht="15" customHeight="1">
      <c r="A643" s="196">
        <v>426</v>
      </c>
      <c r="B643" s="206">
        <v>43896</v>
      </c>
      <c r="C643" s="2" t="s">
        <v>38</v>
      </c>
      <c r="D643" s="2" t="s">
        <v>1254</v>
      </c>
      <c r="E643" s="2"/>
      <c r="F643" s="2">
        <v>314</v>
      </c>
      <c r="G643" s="72"/>
      <c r="H643" s="72">
        <v>42.5</v>
      </c>
      <c r="I643" s="72"/>
      <c r="J643" s="72">
        <v>8.9499999999999993</v>
      </c>
      <c r="K643" s="21">
        <v>241</v>
      </c>
      <c r="L643" s="21">
        <v>1410</v>
      </c>
      <c r="M643" s="21"/>
      <c r="N643" s="21">
        <v>1720</v>
      </c>
      <c r="O643" s="2"/>
      <c r="P643" s="2"/>
      <c r="Q643" s="197"/>
    </row>
    <row r="644" spans="1:17" ht="15" customHeight="1">
      <c r="A644" s="196">
        <v>425</v>
      </c>
      <c r="B644" s="206">
        <v>43896</v>
      </c>
      <c r="C644" s="2" t="s">
        <v>38</v>
      </c>
      <c r="D644" s="2" t="s">
        <v>334</v>
      </c>
      <c r="E644" s="2"/>
      <c r="F644" s="2">
        <v>314</v>
      </c>
      <c r="G644" s="72"/>
      <c r="H644" s="72">
        <v>42.5</v>
      </c>
      <c r="I644" s="72"/>
      <c r="J644" s="72">
        <v>8.6999999999999993</v>
      </c>
      <c r="K644" s="21">
        <v>223</v>
      </c>
      <c r="L644" s="21">
        <v>1425</v>
      </c>
      <c r="M644" s="21"/>
      <c r="N644" s="21"/>
      <c r="O644" s="2"/>
      <c r="P644" s="2"/>
      <c r="Q644" s="197"/>
    </row>
    <row r="645" spans="1:17" ht="15" customHeight="1">
      <c r="A645" s="196">
        <v>424</v>
      </c>
      <c r="B645" s="206">
        <v>43896</v>
      </c>
      <c r="C645" s="2" t="s">
        <v>38</v>
      </c>
      <c r="D645" s="2" t="s">
        <v>337</v>
      </c>
      <c r="E645" s="2"/>
      <c r="F645" s="2">
        <v>314</v>
      </c>
      <c r="G645" s="72"/>
      <c r="H645" s="72">
        <v>42.5</v>
      </c>
      <c r="I645" s="72"/>
      <c r="J645" s="72">
        <v>10.1</v>
      </c>
      <c r="K645" s="21">
        <v>225</v>
      </c>
      <c r="L645" s="21">
        <v>1250</v>
      </c>
      <c r="M645" s="21"/>
      <c r="N645" s="21">
        <v>1580</v>
      </c>
      <c r="O645" s="2"/>
      <c r="P645" s="2"/>
      <c r="Q645" s="197"/>
    </row>
    <row r="646" spans="1:17" ht="15" customHeight="1">
      <c r="A646" s="196">
        <v>423</v>
      </c>
      <c r="B646" s="71">
        <v>43895</v>
      </c>
      <c r="C646" s="2" t="s">
        <v>105</v>
      </c>
      <c r="D646" s="2" t="s">
        <v>1250</v>
      </c>
      <c r="E646" s="2"/>
      <c r="F646" s="2">
        <v>314</v>
      </c>
      <c r="G646" s="72"/>
      <c r="H646" s="72">
        <v>35</v>
      </c>
      <c r="I646" s="72"/>
      <c r="J646" s="72">
        <v>12</v>
      </c>
      <c r="K646" s="21">
        <v>185</v>
      </c>
      <c r="L646" s="21">
        <v>830</v>
      </c>
      <c r="M646" s="21">
        <v>188</v>
      </c>
      <c r="N646" s="21">
        <v>1140</v>
      </c>
      <c r="O646" s="2"/>
      <c r="P646" s="2"/>
      <c r="Q646" s="197"/>
    </row>
    <row r="647" spans="1:17" ht="15" customHeight="1">
      <c r="A647" s="196">
        <v>422</v>
      </c>
      <c r="B647" s="71">
        <v>43895</v>
      </c>
      <c r="C647" s="2" t="s">
        <v>105</v>
      </c>
      <c r="D647" s="2" t="s">
        <v>1194</v>
      </c>
      <c r="E647" s="2"/>
      <c r="F647" s="2">
        <v>314</v>
      </c>
      <c r="G647" s="72"/>
      <c r="H647" s="72">
        <v>42.5</v>
      </c>
      <c r="I647" s="72"/>
      <c r="J647" s="72">
        <v>8.4499999999999993</v>
      </c>
      <c r="K647" s="21">
        <v>251</v>
      </c>
      <c r="L647" s="21">
        <v>1470</v>
      </c>
      <c r="M647" s="21">
        <v>251</v>
      </c>
      <c r="N647" s="21">
        <v>1810</v>
      </c>
      <c r="O647" s="2"/>
      <c r="P647" s="2"/>
      <c r="Q647" s="197"/>
    </row>
    <row r="648" spans="1:17" ht="15" customHeight="1">
      <c r="A648" s="196">
        <v>421</v>
      </c>
      <c r="B648" s="71">
        <v>43895</v>
      </c>
      <c r="C648" s="2" t="s">
        <v>105</v>
      </c>
      <c r="D648" s="2" t="s">
        <v>1193</v>
      </c>
      <c r="E648" s="2"/>
      <c r="F648" s="2">
        <v>314</v>
      </c>
      <c r="G648" s="72"/>
      <c r="H648" s="72">
        <v>35</v>
      </c>
      <c r="I648" s="72"/>
      <c r="J648" s="72">
        <v>10.4</v>
      </c>
      <c r="K648" s="21">
        <v>196</v>
      </c>
      <c r="L648" s="21">
        <v>950</v>
      </c>
      <c r="M648" s="21">
        <v>197</v>
      </c>
      <c r="N648" s="21">
        <v>1180</v>
      </c>
      <c r="O648" s="2"/>
      <c r="P648" s="2"/>
      <c r="Q648" s="197"/>
    </row>
    <row r="649" spans="1:17" ht="15" customHeight="1">
      <c r="A649" s="196">
        <v>420</v>
      </c>
      <c r="B649" s="71">
        <v>43894</v>
      </c>
      <c r="C649" s="2" t="s">
        <v>105</v>
      </c>
      <c r="D649" s="2" t="s">
        <v>1250</v>
      </c>
      <c r="E649" s="2"/>
      <c r="F649" s="2">
        <v>314</v>
      </c>
      <c r="G649" s="72"/>
      <c r="H649" s="72">
        <v>35</v>
      </c>
      <c r="I649" s="72"/>
      <c r="J649" s="72">
        <v>11.7</v>
      </c>
      <c r="K649" s="21">
        <v>187</v>
      </c>
      <c r="L649" s="21">
        <v>860</v>
      </c>
      <c r="M649" s="21">
        <v>190</v>
      </c>
      <c r="N649" s="21">
        <v>1135</v>
      </c>
      <c r="O649" s="2"/>
      <c r="P649" s="2"/>
      <c r="Q649" s="197"/>
    </row>
    <row r="650" spans="1:17" ht="15" customHeight="1">
      <c r="A650" s="196">
        <v>419</v>
      </c>
      <c r="B650" s="71">
        <v>43893</v>
      </c>
      <c r="C650" s="2" t="s">
        <v>105</v>
      </c>
      <c r="D650" s="2" t="s">
        <v>1250</v>
      </c>
      <c r="E650" s="2"/>
      <c r="F650" s="2">
        <v>314</v>
      </c>
      <c r="G650" s="72"/>
      <c r="H650" s="72">
        <v>35</v>
      </c>
      <c r="I650" s="72"/>
      <c r="J650" s="72">
        <v>11.6</v>
      </c>
      <c r="K650" s="21">
        <v>188</v>
      </c>
      <c r="L650" s="21">
        <v>850</v>
      </c>
      <c r="M650" s="21">
        <v>190</v>
      </c>
      <c r="N650" s="21">
        <v>1135</v>
      </c>
      <c r="O650" s="2"/>
      <c r="P650" s="2"/>
      <c r="Q650" s="197"/>
    </row>
    <row r="651" spans="1:17" ht="15" customHeight="1">
      <c r="A651" s="196">
        <v>418</v>
      </c>
      <c r="B651" s="71">
        <v>43892</v>
      </c>
      <c r="C651" s="2" t="s">
        <v>37</v>
      </c>
      <c r="D651" s="2" t="s">
        <v>1250</v>
      </c>
      <c r="E651" s="2"/>
      <c r="F651" s="2">
        <v>314</v>
      </c>
      <c r="G651" s="72"/>
      <c r="H651" s="72">
        <v>35</v>
      </c>
      <c r="I651" s="72"/>
      <c r="J651" s="72">
        <v>11.9</v>
      </c>
      <c r="K651" s="21">
        <v>186</v>
      </c>
      <c r="L651" s="21">
        <v>820</v>
      </c>
      <c r="M651" s="21">
        <v>189</v>
      </c>
      <c r="N651" s="21">
        <v>1120</v>
      </c>
      <c r="O651" s="2"/>
      <c r="P651" s="2"/>
      <c r="Q651" s="197"/>
    </row>
    <row r="652" spans="1:17" ht="15" customHeight="1">
      <c r="A652" s="196">
        <v>417</v>
      </c>
      <c r="B652" s="71">
        <v>43891</v>
      </c>
      <c r="C652" s="2" t="s">
        <v>105</v>
      </c>
      <c r="D652" s="2" t="s">
        <v>119</v>
      </c>
      <c r="E652" s="2"/>
      <c r="F652" s="2" t="s">
        <v>1242</v>
      </c>
      <c r="G652" s="72"/>
      <c r="H652" s="72" t="s">
        <v>1257</v>
      </c>
      <c r="I652" s="72"/>
      <c r="J652" s="72">
        <v>9.4</v>
      </c>
      <c r="K652" s="21">
        <v>292</v>
      </c>
      <c r="L652" s="21">
        <v>1645</v>
      </c>
      <c r="M652" s="21">
        <v>293</v>
      </c>
      <c r="N652" s="21">
        <v>2060</v>
      </c>
      <c r="O652" s="2"/>
      <c r="P652" s="2"/>
      <c r="Q652" s="197"/>
    </row>
    <row r="653" spans="1:17" ht="15" customHeight="1">
      <c r="A653" s="196">
        <v>416</v>
      </c>
      <c r="B653" s="71">
        <v>43887</v>
      </c>
      <c r="C653" s="2" t="s">
        <v>105</v>
      </c>
      <c r="D653" s="2" t="s">
        <v>119</v>
      </c>
      <c r="E653" s="2"/>
      <c r="F653" s="2" t="s">
        <v>1242</v>
      </c>
      <c r="G653" s="72"/>
      <c r="H653" s="72" t="s">
        <v>1257</v>
      </c>
      <c r="I653" s="72"/>
      <c r="J653" s="72">
        <v>9.1</v>
      </c>
      <c r="K653" s="21">
        <v>294</v>
      </c>
      <c r="L653" s="21">
        <v>1700</v>
      </c>
      <c r="M653" s="21">
        <v>296</v>
      </c>
      <c r="N653" s="21">
        <v>2095</v>
      </c>
      <c r="O653" s="2"/>
      <c r="P653" s="2"/>
      <c r="Q653" s="197"/>
    </row>
    <row r="654" spans="1:17" ht="15" customHeight="1">
      <c r="A654" s="196">
        <v>415</v>
      </c>
      <c r="B654" s="71">
        <v>43887</v>
      </c>
      <c r="C654" s="2" t="s">
        <v>105</v>
      </c>
      <c r="D654" s="2" t="s">
        <v>1253</v>
      </c>
      <c r="E654" s="2"/>
      <c r="F654" s="2">
        <v>314</v>
      </c>
      <c r="G654" s="72"/>
      <c r="H654" s="72">
        <v>42.5</v>
      </c>
      <c r="I654" s="72"/>
      <c r="J654" s="72">
        <v>7.9</v>
      </c>
      <c r="K654" s="21">
        <v>256</v>
      </c>
      <c r="L654" s="21">
        <v>1605</v>
      </c>
      <c r="M654" s="21">
        <v>255</v>
      </c>
      <c r="N654" s="21"/>
      <c r="O654" s="2"/>
      <c r="P654" s="2"/>
      <c r="Q654" s="197"/>
    </row>
    <row r="655" spans="1:17" ht="15" customHeight="1">
      <c r="A655" s="196">
        <v>414</v>
      </c>
      <c r="B655" s="71">
        <v>43887</v>
      </c>
      <c r="C655" s="2" t="s">
        <v>38</v>
      </c>
      <c r="D655" s="2" t="s">
        <v>1252</v>
      </c>
      <c r="E655" s="2"/>
      <c r="F655" s="2">
        <v>314</v>
      </c>
      <c r="G655" s="72"/>
      <c r="H655" s="72">
        <v>42.5</v>
      </c>
      <c r="I655" s="72"/>
      <c r="J655" s="72">
        <v>7.35</v>
      </c>
      <c r="K655" s="21">
        <v>295</v>
      </c>
      <c r="L655" s="21">
        <v>1710</v>
      </c>
      <c r="M655" s="21">
        <v>296</v>
      </c>
      <c r="N655" s="21">
        <v>2140</v>
      </c>
      <c r="O655" s="2"/>
      <c r="P655" s="2"/>
      <c r="Q655" s="197"/>
    </row>
    <row r="656" spans="1:17" ht="15" customHeight="1">
      <c r="A656" s="196">
        <v>413</v>
      </c>
      <c r="B656" s="71">
        <v>43887</v>
      </c>
      <c r="C656" s="2" t="s">
        <v>38</v>
      </c>
      <c r="D656" s="2" t="s">
        <v>1253</v>
      </c>
      <c r="E656" s="2"/>
      <c r="F656" s="2">
        <v>314</v>
      </c>
      <c r="G656" s="72"/>
      <c r="H656" s="72">
        <v>42.5</v>
      </c>
      <c r="I656" s="72"/>
      <c r="J656" s="72">
        <v>7.85</v>
      </c>
      <c r="K656" s="21">
        <v>255</v>
      </c>
      <c r="L656" s="21">
        <v>1580</v>
      </c>
      <c r="M656" s="21">
        <v>256</v>
      </c>
      <c r="N656" s="21">
        <v>2004</v>
      </c>
      <c r="O656" s="2"/>
      <c r="P656" s="2"/>
      <c r="Q656" s="197"/>
    </row>
    <row r="657" spans="1:17" ht="15" customHeight="1">
      <c r="A657" s="196">
        <v>412</v>
      </c>
      <c r="B657" s="71">
        <v>43886</v>
      </c>
      <c r="C657" s="2" t="s">
        <v>37</v>
      </c>
      <c r="D657" s="2" t="s">
        <v>1250</v>
      </c>
      <c r="E657" s="2"/>
      <c r="F657" s="2">
        <v>314</v>
      </c>
      <c r="G657" s="72"/>
      <c r="H657" s="72">
        <v>35</v>
      </c>
      <c r="I657" s="72"/>
      <c r="J657" s="72">
        <v>12.1</v>
      </c>
      <c r="K657" s="21">
        <v>186</v>
      </c>
      <c r="L657" s="21">
        <v>815</v>
      </c>
      <c r="M657" s="21">
        <v>190</v>
      </c>
      <c r="N657" s="21">
        <v>1090</v>
      </c>
      <c r="O657" s="2"/>
      <c r="P657" s="2"/>
      <c r="Q657" s="197"/>
    </row>
    <row r="658" spans="1:17" ht="15" customHeight="1">
      <c r="A658" s="196">
        <v>411</v>
      </c>
      <c r="B658" s="71">
        <v>43886</v>
      </c>
      <c r="C658" s="2" t="s">
        <v>37</v>
      </c>
      <c r="D658" s="2" t="s">
        <v>1251</v>
      </c>
      <c r="E658" s="2"/>
      <c r="F658" s="2">
        <v>314</v>
      </c>
      <c r="G658" s="72"/>
      <c r="H658" s="72">
        <v>35</v>
      </c>
      <c r="I658" s="72"/>
      <c r="J658" s="72">
        <v>9.35</v>
      </c>
      <c r="K658" s="21">
        <v>201</v>
      </c>
      <c r="L658" s="21">
        <v>1080</v>
      </c>
      <c r="M658" s="21">
        <v>200</v>
      </c>
      <c r="N658" s="21">
        <v>1340</v>
      </c>
      <c r="O658" s="2"/>
      <c r="P658" s="2"/>
      <c r="Q658" s="197"/>
    </row>
    <row r="659" spans="1:17" ht="15" customHeight="1">
      <c r="A659" s="196">
        <v>410</v>
      </c>
      <c r="B659" s="71">
        <v>43886</v>
      </c>
      <c r="C659" s="2" t="s">
        <v>37</v>
      </c>
      <c r="D659" s="2" t="s">
        <v>1253</v>
      </c>
      <c r="E659" s="2"/>
      <c r="F659" s="2">
        <v>314</v>
      </c>
      <c r="G659" s="72"/>
      <c r="H659" s="72">
        <v>42.5</v>
      </c>
      <c r="I659" s="72"/>
      <c r="J659" s="72">
        <v>8.1</v>
      </c>
      <c r="K659" s="21">
        <v>257</v>
      </c>
      <c r="L659" s="21">
        <v>1560</v>
      </c>
      <c r="M659" s="21">
        <v>255</v>
      </c>
      <c r="N659" s="21">
        <v>1950</v>
      </c>
      <c r="O659" s="2"/>
      <c r="P659" s="2"/>
      <c r="Q659" s="197"/>
    </row>
    <row r="660" spans="1:17" ht="15" customHeight="1">
      <c r="A660" s="196">
        <v>409</v>
      </c>
      <c r="B660" s="71">
        <v>43886</v>
      </c>
      <c r="C660" s="2" t="s">
        <v>37</v>
      </c>
      <c r="D660" s="2" t="s">
        <v>1252</v>
      </c>
      <c r="E660" s="2"/>
      <c r="F660" s="2">
        <v>314</v>
      </c>
      <c r="G660" s="72"/>
      <c r="H660" s="72">
        <v>42.5</v>
      </c>
      <c r="I660" s="72"/>
      <c r="J660" s="72">
        <v>8.15</v>
      </c>
      <c r="K660" s="21">
        <v>293</v>
      </c>
      <c r="L660" s="21">
        <v>1550</v>
      </c>
      <c r="M660" s="21">
        <v>291</v>
      </c>
      <c r="N660" s="21">
        <v>1940</v>
      </c>
      <c r="O660" s="2"/>
      <c r="P660" s="2"/>
      <c r="Q660" s="197"/>
    </row>
    <row r="661" spans="1:17" ht="15" customHeight="1">
      <c r="A661" s="196">
        <v>408</v>
      </c>
      <c r="B661" s="71">
        <v>43886</v>
      </c>
      <c r="C661" s="2" t="s">
        <v>38</v>
      </c>
      <c r="D661" s="2" t="s">
        <v>1253</v>
      </c>
      <c r="E661" s="2"/>
      <c r="F661" s="2">
        <v>314</v>
      </c>
      <c r="G661" s="72"/>
      <c r="H661" s="72">
        <v>42.5</v>
      </c>
      <c r="I661" s="72"/>
      <c r="J661" s="72">
        <v>8.1</v>
      </c>
      <c r="K661" s="21">
        <v>256</v>
      </c>
      <c r="L661" s="21">
        <v>1540</v>
      </c>
      <c r="M661" s="21">
        <v>255</v>
      </c>
      <c r="N661" s="21">
        <v>1900</v>
      </c>
      <c r="O661" s="2"/>
      <c r="P661" s="2"/>
      <c r="Q661" s="197"/>
    </row>
    <row r="662" spans="1:17" ht="15" customHeight="1">
      <c r="A662" s="196">
        <v>407</v>
      </c>
      <c r="B662" s="71">
        <v>43886</v>
      </c>
      <c r="C662" s="2" t="s">
        <v>38</v>
      </c>
      <c r="D662" s="2" t="s">
        <v>1252</v>
      </c>
      <c r="E662" s="2"/>
      <c r="F662" s="2">
        <v>314</v>
      </c>
      <c r="G662" s="72"/>
      <c r="H662" s="72">
        <v>42.5</v>
      </c>
      <c r="I662" s="72"/>
      <c r="J662" s="72">
        <v>7.5</v>
      </c>
      <c r="K662" s="21">
        <v>294</v>
      </c>
      <c r="L662" s="21">
        <v>1690</v>
      </c>
      <c r="M662" s="21">
        <v>295</v>
      </c>
      <c r="N662" s="21">
        <v>2070</v>
      </c>
      <c r="O662" s="2"/>
      <c r="P662" s="2"/>
      <c r="Q662" s="197"/>
    </row>
    <row r="663" spans="1:17" ht="15" customHeight="1">
      <c r="A663" s="196">
        <v>406</v>
      </c>
      <c r="B663" s="71">
        <v>43885</v>
      </c>
      <c r="C663" s="2" t="s">
        <v>105</v>
      </c>
      <c r="D663" s="2" t="s">
        <v>1255</v>
      </c>
      <c r="E663" s="2"/>
      <c r="F663" s="2" t="s">
        <v>1256</v>
      </c>
      <c r="G663" s="72"/>
      <c r="H663" s="72">
        <v>42.5</v>
      </c>
      <c r="I663" s="72"/>
      <c r="J663" s="72">
        <v>12.2</v>
      </c>
      <c r="K663" s="21">
        <v>205</v>
      </c>
      <c r="L663" s="21">
        <v>1005</v>
      </c>
      <c r="M663" s="21">
        <v>209</v>
      </c>
      <c r="N663" s="21">
        <v>1390</v>
      </c>
      <c r="O663" s="2"/>
      <c r="P663" s="2"/>
      <c r="Q663" s="197"/>
    </row>
    <row r="664" spans="1:17" ht="15" customHeight="1">
      <c r="A664" s="196">
        <v>405</v>
      </c>
      <c r="B664" s="71">
        <v>43885</v>
      </c>
      <c r="C664" s="2" t="s">
        <v>105</v>
      </c>
      <c r="D664" s="2" t="s">
        <v>1250</v>
      </c>
      <c r="E664" s="2"/>
      <c r="F664" s="2">
        <v>314</v>
      </c>
      <c r="G664" s="72"/>
      <c r="H664" s="72">
        <v>35</v>
      </c>
      <c r="I664" s="72"/>
      <c r="J664" s="72">
        <v>12.4</v>
      </c>
      <c r="K664" s="21">
        <v>185</v>
      </c>
      <c r="L664" s="21">
        <v>780</v>
      </c>
      <c r="M664" s="21">
        <v>188</v>
      </c>
      <c r="N664" s="21">
        <v>1080</v>
      </c>
      <c r="O664" s="2"/>
      <c r="P664" s="2"/>
      <c r="Q664" s="197"/>
    </row>
    <row r="665" spans="1:17" ht="15" customHeight="1">
      <c r="A665" s="196">
        <v>404</v>
      </c>
      <c r="B665" s="71">
        <v>43885</v>
      </c>
      <c r="C665" s="2" t="s">
        <v>105</v>
      </c>
      <c r="D665" s="2" t="s">
        <v>1251</v>
      </c>
      <c r="E665" s="2"/>
      <c r="F665" s="2">
        <v>314</v>
      </c>
      <c r="G665" s="72"/>
      <c r="H665" s="72">
        <v>35</v>
      </c>
      <c r="I665" s="72"/>
      <c r="J665" s="72">
        <v>9.65</v>
      </c>
      <c r="K665" s="21">
        <v>200</v>
      </c>
      <c r="L665" s="21">
        <v>1080</v>
      </c>
      <c r="M665" s="21"/>
      <c r="N665" s="21"/>
      <c r="O665" s="2"/>
      <c r="P665" s="2"/>
      <c r="Q665" s="197"/>
    </row>
    <row r="666" spans="1:17" ht="15" customHeight="1">
      <c r="A666" s="196">
        <v>403</v>
      </c>
      <c r="B666" s="71">
        <v>43885</v>
      </c>
      <c r="C666" s="2" t="s">
        <v>105</v>
      </c>
      <c r="D666" s="2" t="s">
        <v>1252</v>
      </c>
      <c r="E666" s="2"/>
      <c r="F666" s="2">
        <v>314</v>
      </c>
      <c r="G666" s="72"/>
      <c r="H666" s="72">
        <v>42.5</v>
      </c>
      <c r="I666" s="72"/>
      <c r="J666" s="72">
        <v>7.7</v>
      </c>
      <c r="K666" s="21">
        <v>294</v>
      </c>
      <c r="L666" s="21">
        <v>1650</v>
      </c>
      <c r="M666" s="21">
        <v>291</v>
      </c>
      <c r="N666" s="21">
        <v>2010</v>
      </c>
      <c r="O666" s="2"/>
      <c r="P666" s="2"/>
      <c r="Q666" s="197"/>
    </row>
    <row r="667" spans="1:17" ht="15" customHeight="1">
      <c r="A667" s="196">
        <v>402</v>
      </c>
      <c r="B667" s="71">
        <v>43885</v>
      </c>
      <c r="C667" s="2" t="s">
        <v>105</v>
      </c>
      <c r="D667" s="2" t="s">
        <v>1253</v>
      </c>
      <c r="E667" s="2"/>
      <c r="F667" s="2">
        <v>314</v>
      </c>
      <c r="G667" s="72"/>
      <c r="H667" s="72">
        <v>42.5</v>
      </c>
      <c r="I667" s="72"/>
      <c r="J667" s="72">
        <v>7.8</v>
      </c>
      <c r="K667" s="21">
        <v>254</v>
      </c>
      <c r="L667" s="21">
        <v>1610</v>
      </c>
      <c r="M667" s="21">
        <v>254</v>
      </c>
      <c r="N667" s="21">
        <v>1860</v>
      </c>
      <c r="O667" s="2"/>
      <c r="P667" s="2"/>
      <c r="Q667" s="197"/>
    </row>
    <row r="668" spans="1:17" ht="15" customHeight="1">
      <c r="A668" s="196">
        <v>401</v>
      </c>
      <c r="B668" s="71">
        <v>43885</v>
      </c>
      <c r="C668" s="2" t="s">
        <v>38</v>
      </c>
      <c r="D668" s="2" t="s">
        <v>1250</v>
      </c>
      <c r="E668" s="2"/>
      <c r="F668" s="2">
        <v>314</v>
      </c>
      <c r="G668" s="72"/>
      <c r="H668" s="72">
        <v>35</v>
      </c>
      <c r="I668" s="72"/>
      <c r="J668" s="72">
        <v>12.3</v>
      </c>
      <c r="K668" s="21">
        <v>185</v>
      </c>
      <c r="L668" s="21">
        <v>803</v>
      </c>
      <c r="M668" s="21">
        <v>189</v>
      </c>
      <c r="N668" s="21">
        <v>1076</v>
      </c>
      <c r="O668" s="2"/>
      <c r="P668" s="2"/>
      <c r="Q668" s="197"/>
    </row>
    <row r="669" spans="1:17" ht="15" customHeight="1">
      <c r="A669" s="196">
        <v>400</v>
      </c>
      <c r="B669" s="71">
        <v>43885</v>
      </c>
      <c r="C669" s="2" t="s">
        <v>38</v>
      </c>
      <c r="D669" s="2" t="s">
        <v>1251</v>
      </c>
      <c r="E669" s="2"/>
      <c r="F669" s="2">
        <v>314</v>
      </c>
      <c r="G669" s="72"/>
      <c r="H669" s="72">
        <v>35</v>
      </c>
      <c r="I669" s="72"/>
      <c r="J669" s="72">
        <v>9.5</v>
      </c>
      <c r="K669" s="21">
        <v>200</v>
      </c>
      <c r="L669" s="21">
        <v>1090</v>
      </c>
      <c r="M669" s="21"/>
      <c r="N669" s="21"/>
      <c r="O669" s="2"/>
      <c r="P669" s="2"/>
      <c r="Q669" s="197"/>
    </row>
    <row r="670" spans="1:17" ht="15" customHeight="1">
      <c r="A670" s="196">
        <v>399</v>
      </c>
      <c r="B670" s="71">
        <v>43884</v>
      </c>
      <c r="C670" s="2" t="s">
        <v>105</v>
      </c>
      <c r="D670" s="2" t="s">
        <v>1250</v>
      </c>
      <c r="E670" s="2"/>
      <c r="F670" s="2">
        <v>314</v>
      </c>
      <c r="G670" s="72"/>
      <c r="H670" s="72">
        <v>35</v>
      </c>
      <c r="I670" s="72"/>
      <c r="J670" s="72">
        <v>12.55</v>
      </c>
      <c r="K670" s="21">
        <v>186</v>
      </c>
      <c r="L670" s="21">
        <v>782</v>
      </c>
      <c r="M670" s="21">
        <v>190</v>
      </c>
      <c r="N670" s="21">
        <v>1086</v>
      </c>
      <c r="O670" s="2"/>
      <c r="P670" s="2"/>
      <c r="Q670" s="197"/>
    </row>
    <row r="671" spans="1:17" ht="15" customHeight="1">
      <c r="A671" s="196">
        <v>398</v>
      </c>
      <c r="B671" s="71">
        <v>43884</v>
      </c>
      <c r="C671" s="2" t="s">
        <v>105</v>
      </c>
      <c r="D671" s="2" t="s">
        <v>1251</v>
      </c>
      <c r="E671" s="2"/>
      <c r="F671" s="2">
        <v>314</v>
      </c>
      <c r="G671" s="72"/>
      <c r="H671" s="72">
        <v>35</v>
      </c>
      <c r="I671" s="72"/>
      <c r="J671" s="72">
        <v>9.6999999999999993</v>
      </c>
      <c r="K671" s="21">
        <v>200</v>
      </c>
      <c r="L671" s="21">
        <v>1050</v>
      </c>
      <c r="M671" s="21">
        <v>199</v>
      </c>
      <c r="N671" s="21">
        <v>1340</v>
      </c>
      <c r="O671" s="2"/>
      <c r="P671" s="2"/>
      <c r="Q671" s="197"/>
    </row>
    <row r="672" spans="1:17" ht="15" customHeight="1">
      <c r="A672" s="196">
        <v>397</v>
      </c>
      <c r="B672" s="71">
        <v>43884</v>
      </c>
      <c r="C672" s="2" t="s">
        <v>105</v>
      </c>
      <c r="D672" s="2" t="s">
        <v>1252</v>
      </c>
      <c r="E672" s="2"/>
      <c r="F672" s="2">
        <v>314</v>
      </c>
      <c r="G672" s="72"/>
      <c r="H672" s="72">
        <v>42.5</v>
      </c>
      <c r="I672" s="72"/>
      <c r="J672" s="72">
        <v>7.6</v>
      </c>
      <c r="K672" s="21">
        <v>290</v>
      </c>
      <c r="L672" s="21">
        <v>1740</v>
      </c>
      <c r="M672" s="21"/>
      <c r="N672" s="21"/>
      <c r="O672" s="2"/>
      <c r="P672" s="2"/>
      <c r="Q672" s="197"/>
    </row>
    <row r="673" spans="1:17" ht="15" customHeight="1">
      <c r="A673" s="196">
        <v>396</v>
      </c>
      <c r="B673" s="71">
        <v>43884</v>
      </c>
      <c r="C673" s="2" t="s">
        <v>105</v>
      </c>
      <c r="D673" s="2" t="s">
        <v>1253</v>
      </c>
      <c r="E673" s="2"/>
      <c r="F673" s="2">
        <v>314</v>
      </c>
      <c r="G673" s="72"/>
      <c r="H673" s="72">
        <v>42.5</v>
      </c>
      <c r="I673" s="72"/>
      <c r="J673" s="72">
        <v>7.6</v>
      </c>
      <c r="K673" s="21">
        <v>256</v>
      </c>
      <c r="L673" s="21">
        <v>1650</v>
      </c>
      <c r="M673" s="21">
        <v>255</v>
      </c>
      <c r="N673" s="21">
        <v>2020</v>
      </c>
      <c r="O673" s="2"/>
      <c r="P673" s="2"/>
      <c r="Q673" s="197"/>
    </row>
    <row r="674" spans="1:17" ht="15" customHeight="1">
      <c r="A674" s="196">
        <v>395</v>
      </c>
      <c r="B674" s="71">
        <v>43884</v>
      </c>
      <c r="C674" s="2" t="s">
        <v>105</v>
      </c>
      <c r="D674" s="2" t="s">
        <v>1254</v>
      </c>
      <c r="E674" s="2"/>
      <c r="F674" s="2">
        <v>314</v>
      </c>
      <c r="G674" s="72"/>
      <c r="H674" s="72">
        <v>42.5</v>
      </c>
      <c r="I674" s="72"/>
      <c r="J674" s="72">
        <v>8.4</v>
      </c>
      <c r="K674" s="21">
        <v>235</v>
      </c>
      <c r="L674" s="21"/>
      <c r="M674" s="21"/>
      <c r="N674" s="21"/>
      <c r="O674" s="2"/>
      <c r="P674" s="2"/>
      <c r="Q674" s="197"/>
    </row>
    <row r="675" spans="1:17" ht="15" customHeight="1">
      <c r="A675" s="196">
        <v>394</v>
      </c>
      <c r="B675" s="71">
        <v>43884</v>
      </c>
      <c r="C675" s="2" t="s">
        <v>38</v>
      </c>
      <c r="D675" s="2" t="s">
        <v>1253</v>
      </c>
      <c r="E675" s="2"/>
      <c r="F675" s="2">
        <v>314</v>
      </c>
      <c r="G675" s="72"/>
      <c r="H675" s="72">
        <v>42.5</v>
      </c>
      <c r="I675" s="72"/>
      <c r="J675" s="72">
        <v>7.7</v>
      </c>
      <c r="K675" s="21">
        <v>256</v>
      </c>
      <c r="L675" s="21">
        <v>1620</v>
      </c>
      <c r="M675" s="21"/>
      <c r="N675" s="21">
        <v>1980</v>
      </c>
      <c r="O675" s="2"/>
      <c r="P675" s="2"/>
      <c r="Q675" s="197"/>
    </row>
    <row r="676" spans="1:17" ht="15" customHeight="1">
      <c r="A676" s="196">
        <v>393</v>
      </c>
      <c r="B676" s="71">
        <v>43884</v>
      </c>
      <c r="C676" s="2" t="s">
        <v>38</v>
      </c>
      <c r="D676" s="2" t="s">
        <v>1251</v>
      </c>
      <c r="E676" s="2"/>
      <c r="F676" s="2">
        <v>314</v>
      </c>
      <c r="G676" s="72"/>
      <c r="H676" s="72">
        <v>35</v>
      </c>
      <c r="I676" s="72"/>
      <c r="J676" s="72">
        <v>9.6</v>
      </c>
      <c r="K676" s="21">
        <v>200</v>
      </c>
      <c r="L676" s="21">
        <v>1050</v>
      </c>
      <c r="M676" s="21"/>
      <c r="N676" s="21"/>
      <c r="O676" s="2"/>
      <c r="P676" s="2"/>
      <c r="Q676" s="197"/>
    </row>
    <row r="677" spans="1:17" ht="15" customHeight="1">
      <c r="A677" s="196">
        <v>392</v>
      </c>
      <c r="B677" s="71">
        <v>43881</v>
      </c>
      <c r="C677" s="2" t="s">
        <v>105</v>
      </c>
      <c r="D677" s="2" t="s">
        <v>1133</v>
      </c>
      <c r="E677" s="2"/>
      <c r="F677" s="2">
        <v>7316</v>
      </c>
      <c r="G677" s="72"/>
      <c r="H677" s="72">
        <v>35</v>
      </c>
      <c r="I677" s="72"/>
      <c r="J677" s="72">
        <v>11.6</v>
      </c>
      <c r="K677" s="21">
        <v>176</v>
      </c>
      <c r="L677" s="21">
        <v>808</v>
      </c>
      <c r="M677" s="21">
        <v>185</v>
      </c>
      <c r="N677" s="21">
        <v>1196</v>
      </c>
      <c r="O677" s="2"/>
      <c r="P677" s="2"/>
      <c r="Q677" s="197"/>
    </row>
    <row r="678" spans="1:17" ht="15" customHeight="1">
      <c r="A678" s="196">
        <v>391</v>
      </c>
      <c r="B678" s="71">
        <v>43881</v>
      </c>
      <c r="C678" s="2" t="s">
        <v>105</v>
      </c>
      <c r="D678" s="2" t="s">
        <v>1133</v>
      </c>
      <c r="E678" s="2"/>
      <c r="F678" s="2">
        <v>7316</v>
      </c>
      <c r="G678" s="72"/>
      <c r="H678" s="72">
        <v>35</v>
      </c>
      <c r="I678" s="72"/>
      <c r="J678" s="72">
        <v>12</v>
      </c>
      <c r="K678" s="21">
        <v>174</v>
      </c>
      <c r="L678" s="21">
        <v>770</v>
      </c>
      <c r="M678" s="21">
        <v>185</v>
      </c>
      <c r="N678" s="21">
        <v>1170</v>
      </c>
      <c r="O678" s="2"/>
      <c r="P678" s="2"/>
      <c r="Q678" s="197"/>
    </row>
    <row r="679" spans="1:17" ht="15" customHeight="1">
      <c r="A679" s="196">
        <v>390</v>
      </c>
      <c r="B679" s="71">
        <v>43881</v>
      </c>
      <c r="C679" s="2" t="s">
        <v>37</v>
      </c>
      <c r="D679" s="2" t="s">
        <v>1250</v>
      </c>
      <c r="E679" s="2"/>
      <c r="F679" s="2">
        <v>314</v>
      </c>
      <c r="G679" s="72"/>
      <c r="H679" s="72">
        <v>35</v>
      </c>
      <c r="I679" s="72"/>
      <c r="J679" s="72">
        <v>12.8</v>
      </c>
      <c r="K679" s="21">
        <v>187</v>
      </c>
      <c r="L679" s="21">
        <v>750</v>
      </c>
      <c r="M679" s="21"/>
      <c r="N679" s="21"/>
      <c r="O679" s="2"/>
      <c r="P679" s="2"/>
      <c r="Q679" s="197"/>
    </row>
    <row r="680" spans="1:17" ht="15" customHeight="1">
      <c r="A680" s="196">
        <v>389</v>
      </c>
      <c r="B680" s="71">
        <v>43881</v>
      </c>
      <c r="C680" s="2" t="s">
        <v>37</v>
      </c>
      <c r="D680" s="2" t="s">
        <v>1251</v>
      </c>
      <c r="E680" s="2"/>
      <c r="F680" s="2">
        <v>314</v>
      </c>
      <c r="G680" s="72"/>
      <c r="H680" s="72">
        <v>35</v>
      </c>
      <c r="I680" s="72"/>
      <c r="J680" s="72">
        <v>10.199999999999999</v>
      </c>
      <c r="K680" s="21">
        <v>194</v>
      </c>
      <c r="L680" s="21">
        <v>830</v>
      </c>
      <c r="M680" s="21">
        <v>194</v>
      </c>
      <c r="N680" s="21">
        <v>1226</v>
      </c>
      <c r="O680" s="2"/>
      <c r="P680" s="2"/>
      <c r="Q680" s="197"/>
    </row>
    <row r="681" spans="1:17" ht="15" customHeight="1">
      <c r="A681" s="196">
        <v>388</v>
      </c>
      <c r="B681" s="71">
        <v>43881</v>
      </c>
      <c r="C681" s="2" t="s">
        <v>37</v>
      </c>
      <c r="D681" s="2" t="s">
        <v>1252</v>
      </c>
      <c r="E681" s="2"/>
      <c r="F681" s="2">
        <v>314</v>
      </c>
      <c r="G681" s="72"/>
      <c r="H681" s="72">
        <v>42.5</v>
      </c>
      <c r="I681" s="72"/>
      <c r="J681" s="72">
        <v>7.5</v>
      </c>
      <c r="K681" s="21">
        <v>296</v>
      </c>
      <c r="L681" s="21">
        <v>1700</v>
      </c>
      <c r="M681" s="21">
        <v>295</v>
      </c>
      <c r="N681" s="21">
        <v>2026</v>
      </c>
      <c r="O681" s="2"/>
      <c r="P681" s="2"/>
      <c r="Q681" s="197"/>
    </row>
    <row r="682" spans="1:17" ht="15" customHeight="1">
      <c r="A682" s="196">
        <v>387</v>
      </c>
      <c r="B682" s="71">
        <v>43881</v>
      </c>
      <c r="C682" s="2" t="s">
        <v>37</v>
      </c>
      <c r="D682" s="2" t="s">
        <v>1253</v>
      </c>
      <c r="E682" s="2"/>
      <c r="F682" s="2">
        <v>314</v>
      </c>
      <c r="G682" s="72"/>
      <c r="H682" s="72">
        <v>42.5</v>
      </c>
      <c r="I682" s="72"/>
      <c r="J682" s="72">
        <v>7.55</v>
      </c>
      <c r="K682" s="21">
        <v>256</v>
      </c>
      <c r="L682" s="21">
        <v>1750</v>
      </c>
      <c r="M682" s="21">
        <v>255</v>
      </c>
      <c r="N682" s="21">
        <v>2110</v>
      </c>
      <c r="O682" s="2"/>
      <c r="P682" s="2"/>
      <c r="Q682" s="197"/>
    </row>
    <row r="683" spans="1:17" ht="15" customHeight="1">
      <c r="A683" s="196">
        <v>386</v>
      </c>
      <c r="B683" s="71">
        <v>43881</v>
      </c>
      <c r="C683" s="2" t="s">
        <v>37</v>
      </c>
      <c r="D683" s="2" t="s">
        <v>1250</v>
      </c>
      <c r="E683" s="2"/>
      <c r="F683" s="2">
        <v>314</v>
      </c>
      <c r="G683" s="72"/>
      <c r="H683" s="72">
        <v>35</v>
      </c>
      <c r="I683" s="72"/>
      <c r="J683" s="72">
        <v>12</v>
      </c>
      <c r="K683" s="21">
        <v>187</v>
      </c>
      <c r="L683" s="21">
        <v>818</v>
      </c>
      <c r="M683" s="21">
        <v>190</v>
      </c>
      <c r="N683" s="21">
        <v>1115</v>
      </c>
      <c r="O683" s="2"/>
      <c r="P683" s="2"/>
      <c r="Q683" s="197"/>
    </row>
    <row r="684" spans="1:17" ht="15" customHeight="1">
      <c r="A684" s="196">
        <v>385</v>
      </c>
      <c r="B684" s="71">
        <v>43881</v>
      </c>
      <c r="C684" s="2" t="s">
        <v>37</v>
      </c>
      <c r="D684" s="2" t="s">
        <v>1251</v>
      </c>
      <c r="E684" s="2"/>
      <c r="F684" s="2">
        <v>314</v>
      </c>
      <c r="G684" s="72"/>
      <c r="H684" s="72">
        <v>35</v>
      </c>
      <c r="I684" s="72"/>
      <c r="J684" s="72">
        <v>10.7</v>
      </c>
      <c r="K684" s="21">
        <v>196</v>
      </c>
      <c r="L684" s="21">
        <v>1000</v>
      </c>
      <c r="M684" s="21">
        <v>197</v>
      </c>
      <c r="N684" s="21">
        <v>1270</v>
      </c>
      <c r="O684" s="2"/>
      <c r="P684" s="2"/>
      <c r="Q684" s="197"/>
    </row>
    <row r="685" spans="1:17" ht="15" customHeight="1">
      <c r="A685" s="196">
        <v>384</v>
      </c>
      <c r="B685" s="71">
        <v>43880</v>
      </c>
      <c r="C685" s="2" t="s">
        <v>37</v>
      </c>
      <c r="D685" s="2" t="s">
        <v>1194</v>
      </c>
      <c r="E685" s="2"/>
      <c r="F685" s="2">
        <v>314</v>
      </c>
      <c r="G685" s="72"/>
      <c r="H685" s="72">
        <v>42.5</v>
      </c>
      <c r="I685" s="72"/>
      <c r="J685" s="72">
        <v>9.35</v>
      </c>
      <c r="K685" s="21">
        <v>247</v>
      </c>
      <c r="L685" s="21">
        <v>1380</v>
      </c>
      <c r="M685" s="21">
        <v>248</v>
      </c>
      <c r="N685" s="21">
        <v>1800</v>
      </c>
      <c r="O685" s="2"/>
      <c r="P685" s="2"/>
      <c r="Q685" s="197"/>
    </row>
    <row r="686" spans="1:17" ht="15" customHeight="1">
      <c r="A686" s="196">
        <v>383</v>
      </c>
      <c r="B686" s="71">
        <v>43880</v>
      </c>
      <c r="C686" s="2" t="s">
        <v>37</v>
      </c>
      <c r="D686" s="2" t="s">
        <v>1193</v>
      </c>
      <c r="E686" s="2"/>
      <c r="F686" s="2">
        <v>314</v>
      </c>
      <c r="G686" s="72"/>
      <c r="H686" s="72">
        <v>35</v>
      </c>
      <c r="I686" s="72"/>
      <c r="J686" s="72">
        <v>11.3</v>
      </c>
      <c r="K686" s="21">
        <v>195</v>
      </c>
      <c r="L686" s="21">
        <v>920</v>
      </c>
      <c r="M686" s="21">
        <v>197</v>
      </c>
      <c r="N686" s="21">
        <v>1195</v>
      </c>
      <c r="O686" s="2"/>
      <c r="P686" s="2"/>
      <c r="Q686" s="197"/>
    </row>
    <row r="687" spans="1:17" ht="15" customHeight="1">
      <c r="A687" s="196">
        <v>382</v>
      </c>
      <c r="B687" s="71">
        <v>43879</v>
      </c>
      <c r="C687" s="2" t="s">
        <v>105</v>
      </c>
      <c r="D687" s="2" t="s">
        <v>119</v>
      </c>
      <c r="E687" s="2"/>
      <c r="F687" s="2" t="s">
        <v>1242</v>
      </c>
      <c r="G687" s="72"/>
      <c r="H687" s="72" t="s">
        <v>1248</v>
      </c>
      <c r="I687" s="72"/>
      <c r="J687" s="72">
        <v>9.15</v>
      </c>
      <c r="K687" s="21">
        <v>294</v>
      </c>
      <c r="L687" s="21">
        <v>1700</v>
      </c>
      <c r="M687" s="21">
        <v>295</v>
      </c>
      <c r="N687" s="21">
        <v>2095</v>
      </c>
      <c r="O687" s="2"/>
      <c r="P687" s="2"/>
      <c r="Q687" s="197"/>
    </row>
    <row r="688" spans="1:17" ht="15" customHeight="1">
      <c r="A688" s="196">
        <v>381</v>
      </c>
      <c r="B688" s="71">
        <v>43879</v>
      </c>
      <c r="C688" s="2" t="s">
        <v>105</v>
      </c>
      <c r="D688" s="2" t="s">
        <v>1104</v>
      </c>
      <c r="E688" s="2"/>
      <c r="F688" s="2">
        <v>752</v>
      </c>
      <c r="G688" s="72"/>
      <c r="H688" s="72">
        <v>35</v>
      </c>
      <c r="I688" s="72"/>
      <c r="J688" s="72">
        <v>9.5500000000000007</v>
      </c>
      <c r="K688" s="21">
        <v>195</v>
      </c>
      <c r="L688" s="21">
        <v>1020</v>
      </c>
      <c r="M688" s="21">
        <v>195</v>
      </c>
      <c r="N688" s="21">
        <v>1323</v>
      </c>
      <c r="O688" s="2"/>
      <c r="P688" s="2"/>
      <c r="Q688" s="197"/>
    </row>
    <row r="689" spans="1:17" ht="15" customHeight="1">
      <c r="A689" s="196">
        <v>380</v>
      </c>
      <c r="B689" s="71">
        <v>43879</v>
      </c>
      <c r="C689" s="2" t="s">
        <v>37</v>
      </c>
      <c r="D689" s="2" t="s">
        <v>1230</v>
      </c>
      <c r="E689" s="2"/>
      <c r="F689" s="2">
        <v>7717</v>
      </c>
      <c r="G689" s="72"/>
      <c r="H689" s="72">
        <v>35</v>
      </c>
      <c r="I689" s="72"/>
      <c r="J689" s="72">
        <v>11.9</v>
      </c>
      <c r="K689" s="21">
        <v>197</v>
      </c>
      <c r="L689" s="21">
        <v>820</v>
      </c>
      <c r="M689" s="21">
        <v>200</v>
      </c>
      <c r="N689" s="21">
        <v>1180</v>
      </c>
      <c r="O689" s="2"/>
      <c r="P689" s="2"/>
      <c r="Q689" s="197"/>
    </row>
    <row r="690" spans="1:17" ht="15" customHeight="1">
      <c r="A690" s="196">
        <v>379</v>
      </c>
      <c r="B690" s="71">
        <v>43879</v>
      </c>
      <c r="C690" s="2" t="s">
        <v>37</v>
      </c>
      <c r="D690" s="2" t="s">
        <v>1228</v>
      </c>
      <c r="E690" s="2"/>
      <c r="F690" s="2">
        <v>7716</v>
      </c>
      <c r="G690" s="72"/>
      <c r="H690" s="72">
        <v>35</v>
      </c>
      <c r="I690" s="72"/>
      <c r="J690" s="72">
        <v>10.95</v>
      </c>
      <c r="K690" s="21">
        <v>186</v>
      </c>
      <c r="L690" s="21">
        <v>853</v>
      </c>
      <c r="M690" s="21">
        <v>190</v>
      </c>
      <c r="N690" s="21">
        <v>1065</v>
      </c>
      <c r="O690" s="2"/>
      <c r="P690" s="2"/>
      <c r="Q690" s="197"/>
    </row>
    <row r="691" spans="1:17" ht="15" customHeight="1">
      <c r="A691" s="196">
        <v>378</v>
      </c>
      <c r="B691" s="71">
        <v>43878</v>
      </c>
      <c r="C691" s="2" t="s">
        <v>105</v>
      </c>
      <c r="D691" s="2" t="s">
        <v>1104</v>
      </c>
      <c r="E691" s="2"/>
      <c r="F691" s="2">
        <v>752</v>
      </c>
      <c r="G691" s="72"/>
      <c r="H691" s="72">
        <v>35</v>
      </c>
      <c r="I691" s="72"/>
      <c r="J691" s="72">
        <v>9.6</v>
      </c>
      <c r="K691" s="21">
        <v>190</v>
      </c>
      <c r="L691" s="21">
        <v>996</v>
      </c>
      <c r="M691" s="21">
        <v>195</v>
      </c>
      <c r="N691" s="21">
        <v>1300</v>
      </c>
      <c r="O691" s="2"/>
      <c r="P691" s="2"/>
      <c r="Q691" s="197" t="s">
        <v>1247</v>
      </c>
    </row>
    <row r="692" spans="1:17" ht="15" customHeight="1">
      <c r="A692" s="196">
        <v>377</v>
      </c>
      <c r="B692" s="71">
        <v>43878</v>
      </c>
      <c r="C692" s="2" t="s">
        <v>105</v>
      </c>
      <c r="D692" s="2" t="s">
        <v>1133</v>
      </c>
      <c r="E692" s="2"/>
      <c r="F692" s="2">
        <v>7316</v>
      </c>
      <c r="G692" s="72"/>
      <c r="H692" s="72">
        <v>33</v>
      </c>
      <c r="I692" s="72"/>
      <c r="J692" s="72">
        <v>770</v>
      </c>
      <c r="K692" s="21">
        <v>177</v>
      </c>
      <c r="L692" s="21">
        <v>1195</v>
      </c>
      <c r="M692" s="21">
        <v>185</v>
      </c>
      <c r="N692" s="21"/>
      <c r="O692" s="2"/>
      <c r="P692" s="2"/>
      <c r="Q692" s="197" t="s">
        <v>1247</v>
      </c>
    </row>
    <row r="693" spans="1:17" ht="15" customHeight="1">
      <c r="A693" s="196">
        <v>376</v>
      </c>
      <c r="B693" s="71">
        <v>43878</v>
      </c>
      <c r="C693" s="2" t="s">
        <v>37</v>
      </c>
      <c r="D693" s="2" t="s">
        <v>119</v>
      </c>
      <c r="E693" s="2"/>
      <c r="F693" s="2" t="s">
        <v>1242</v>
      </c>
      <c r="G693" s="72"/>
      <c r="H693" s="72" t="s">
        <v>1248</v>
      </c>
      <c r="I693" s="72"/>
      <c r="J693" s="72">
        <v>9.1</v>
      </c>
      <c r="K693" s="21">
        <v>294</v>
      </c>
      <c r="L693" s="21">
        <v>1680</v>
      </c>
      <c r="M693" s="21">
        <v>295</v>
      </c>
      <c r="N693" s="21">
        <v>2090</v>
      </c>
      <c r="O693" s="2"/>
      <c r="P693" s="2"/>
      <c r="Q693" s="197" t="s">
        <v>1247</v>
      </c>
    </row>
    <row r="694" spans="1:17" ht="15" customHeight="1">
      <c r="A694" s="196">
        <v>375</v>
      </c>
      <c r="B694" s="71">
        <v>43878</v>
      </c>
      <c r="C694" s="2" t="s">
        <v>37</v>
      </c>
      <c r="D694" s="2" t="s">
        <v>1193</v>
      </c>
      <c r="E694" s="2"/>
      <c r="F694" s="2">
        <v>314</v>
      </c>
      <c r="G694" s="72"/>
      <c r="H694" s="72">
        <v>35</v>
      </c>
      <c r="I694" s="72"/>
      <c r="J694" s="72">
        <v>10.75</v>
      </c>
      <c r="K694" s="21">
        <v>194</v>
      </c>
      <c r="L694" s="21">
        <v>900</v>
      </c>
      <c r="M694" s="21">
        <v>196</v>
      </c>
      <c r="N694" s="21">
        <v>1145</v>
      </c>
      <c r="O694" s="2"/>
      <c r="P694" s="2"/>
      <c r="Q694" s="197" t="s">
        <v>191</v>
      </c>
    </row>
    <row r="695" spans="1:17" ht="15" customHeight="1">
      <c r="A695" s="196">
        <v>374</v>
      </c>
      <c r="B695" s="71">
        <v>43878</v>
      </c>
      <c r="C695" s="2" t="s">
        <v>37</v>
      </c>
      <c r="D695" s="2" t="s">
        <v>1194</v>
      </c>
      <c r="E695" s="2"/>
      <c r="F695" s="2">
        <v>314</v>
      </c>
      <c r="G695" s="72"/>
      <c r="H695" s="72">
        <v>42.5</v>
      </c>
      <c r="I695" s="72"/>
      <c r="J695" s="72">
        <v>8.8000000000000007</v>
      </c>
      <c r="K695" s="21">
        <v>248</v>
      </c>
      <c r="L695" s="21">
        <v>1430</v>
      </c>
      <c r="M695" s="21">
        <v>249</v>
      </c>
      <c r="N695" s="21">
        <v>1795</v>
      </c>
      <c r="O695" s="2"/>
      <c r="P695" s="2"/>
      <c r="Q695" s="197" t="s">
        <v>191</v>
      </c>
    </row>
    <row r="696" spans="1:17" ht="15" customHeight="1">
      <c r="A696" s="196">
        <v>373</v>
      </c>
      <c r="B696" s="71">
        <v>43878</v>
      </c>
      <c r="C696" s="2" t="s">
        <v>37</v>
      </c>
      <c r="D696" s="2" t="s">
        <v>1098</v>
      </c>
      <c r="E696" s="2"/>
      <c r="F696" s="2">
        <v>7199</v>
      </c>
      <c r="G696" s="72"/>
      <c r="H696" s="72">
        <v>35</v>
      </c>
      <c r="I696" s="72"/>
      <c r="J696" s="72">
        <v>9.5</v>
      </c>
      <c r="K696" s="21">
        <v>205</v>
      </c>
      <c r="L696" s="21">
        <v>940</v>
      </c>
      <c r="M696" s="21">
        <v>210</v>
      </c>
      <c r="N696" s="21">
        <v>1300</v>
      </c>
      <c r="O696" s="2"/>
      <c r="P696" s="2"/>
      <c r="Q696" s="197"/>
    </row>
    <row r="697" spans="1:17" ht="15" customHeight="1">
      <c r="A697" s="196">
        <v>372</v>
      </c>
      <c r="B697" s="71">
        <v>43878</v>
      </c>
      <c r="C697" s="2" t="s">
        <v>37</v>
      </c>
      <c r="D697" s="2" t="s">
        <v>1100</v>
      </c>
      <c r="E697" s="2"/>
      <c r="F697" s="2">
        <v>7199</v>
      </c>
      <c r="G697" s="72"/>
      <c r="H697" s="72">
        <v>35</v>
      </c>
      <c r="I697" s="72"/>
      <c r="J697" s="72">
        <v>5.9</v>
      </c>
      <c r="K697" s="21">
        <v>281</v>
      </c>
      <c r="L697" s="21">
        <v>1590</v>
      </c>
      <c r="M697" s="21">
        <v>284</v>
      </c>
      <c r="N697" s="21">
        <v>2035</v>
      </c>
      <c r="O697" s="2"/>
      <c r="P697" s="2"/>
      <c r="Q697" s="197"/>
    </row>
    <row r="698" spans="1:17" ht="15" customHeight="1">
      <c r="A698" s="196">
        <v>371</v>
      </c>
      <c r="B698" s="71">
        <v>43878</v>
      </c>
      <c r="C698" s="2" t="s">
        <v>37</v>
      </c>
      <c r="D698" s="2" t="s">
        <v>1249</v>
      </c>
      <c r="E698" s="2"/>
      <c r="F698" s="2">
        <v>7716</v>
      </c>
      <c r="G698" s="72"/>
      <c r="H698" s="72">
        <v>42.5</v>
      </c>
      <c r="I698" s="72"/>
      <c r="J698" s="72">
        <v>12.15</v>
      </c>
      <c r="K698" s="21">
        <v>205</v>
      </c>
      <c r="L698" s="21">
        <v>1015</v>
      </c>
      <c r="M698" s="21">
        <v>208</v>
      </c>
      <c r="N698" s="21">
        <v>1365</v>
      </c>
      <c r="O698" s="2"/>
      <c r="P698" s="2"/>
      <c r="Q698" s="197"/>
    </row>
    <row r="699" spans="1:17" ht="15" customHeight="1">
      <c r="A699" s="196">
        <v>370</v>
      </c>
      <c r="B699" s="71">
        <v>43876</v>
      </c>
      <c r="C699" s="2" t="s">
        <v>105</v>
      </c>
      <c r="D699" s="2" t="s">
        <v>1193</v>
      </c>
      <c r="E699" s="2"/>
      <c r="F699" s="2">
        <v>314</v>
      </c>
      <c r="G699" s="72"/>
      <c r="H699" s="72">
        <v>35</v>
      </c>
      <c r="I699" s="72"/>
      <c r="J699" s="72">
        <v>10.6</v>
      </c>
      <c r="K699" s="21">
        <v>194</v>
      </c>
      <c r="L699" s="21">
        <v>940</v>
      </c>
      <c r="M699" s="21">
        <v>198</v>
      </c>
      <c r="N699" s="21">
        <v>1184</v>
      </c>
      <c r="O699" s="2"/>
      <c r="P699" s="2"/>
      <c r="Q699" s="197" t="s">
        <v>1244</v>
      </c>
    </row>
    <row r="700" spans="1:17" ht="15" customHeight="1">
      <c r="A700" s="196">
        <v>369</v>
      </c>
      <c r="B700" s="71">
        <v>43876</v>
      </c>
      <c r="C700" s="2" t="s">
        <v>105</v>
      </c>
      <c r="D700" s="2" t="s">
        <v>1194</v>
      </c>
      <c r="E700" s="2"/>
      <c r="F700" s="2">
        <v>314</v>
      </c>
      <c r="G700" s="72"/>
      <c r="H700" s="72">
        <v>42.5</v>
      </c>
      <c r="I700" s="72"/>
      <c r="J700" s="72">
        <v>8.7200000000000006</v>
      </c>
      <c r="K700" s="21">
        <v>248</v>
      </c>
      <c r="L700" s="21">
        <v>1450</v>
      </c>
      <c r="M700" s="21">
        <v>249</v>
      </c>
      <c r="N700" s="21">
        <v>1820</v>
      </c>
      <c r="O700" s="2"/>
      <c r="P700" s="2"/>
      <c r="Q700" s="197" t="s">
        <v>1245</v>
      </c>
    </row>
    <row r="701" spans="1:17" ht="15" customHeight="1">
      <c r="A701" s="196">
        <v>368</v>
      </c>
      <c r="B701" s="71">
        <v>43876</v>
      </c>
      <c r="C701" s="2" t="s">
        <v>105</v>
      </c>
      <c r="D701" s="2" t="s">
        <v>1187</v>
      </c>
      <c r="E701" s="2"/>
      <c r="F701" s="2">
        <v>7716</v>
      </c>
      <c r="G701" s="72"/>
      <c r="H701" s="72">
        <v>42.5</v>
      </c>
      <c r="I701" s="72"/>
      <c r="J701" s="72">
        <v>12</v>
      </c>
      <c r="K701" s="21">
        <v>206</v>
      </c>
      <c r="L701" s="21">
        <v>1010</v>
      </c>
      <c r="M701" s="21">
        <v>213</v>
      </c>
      <c r="N701" s="21">
        <v>1420</v>
      </c>
      <c r="O701" s="2"/>
      <c r="P701" s="2"/>
      <c r="Q701" s="197" t="s">
        <v>1246</v>
      </c>
    </row>
    <row r="702" spans="1:17" ht="15" customHeight="1">
      <c r="A702" s="196">
        <v>367</v>
      </c>
      <c r="B702" s="71">
        <v>43875</v>
      </c>
      <c r="C702" s="2" t="s">
        <v>105</v>
      </c>
      <c r="D702" s="2" t="s">
        <v>1104</v>
      </c>
      <c r="E702" s="2"/>
      <c r="F702" s="2">
        <v>752</v>
      </c>
      <c r="G702" s="72"/>
      <c r="H702" s="72">
        <v>35</v>
      </c>
      <c r="I702" s="72"/>
      <c r="J702" s="72">
        <v>9.9</v>
      </c>
      <c r="K702" s="21">
        <v>188</v>
      </c>
      <c r="L702" s="21">
        <v>1005</v>
      </c>
      <c r="M702" s="21">
        <v>193</v>
      </c>
      <c r="N702" s="21">
        <v>1311</v>
      </c>
      <c r="O702" s="2"/>
      <c r="P702" s="2"/>
      <c r="Q702" s="197" t="s">
        <v>1240</v>
      </c>
    </row>
    <row r="703" spans="1:17" ht="15" customHeight="1">
      <c r="A703" s="196">
        <v>366</v>
      </c>
      <c r="B703" s="71">
        <v>43875</v>
      </c>
      <c r="C703" s="2" t="s">
        <v>105</v>
      </c>
      <c r="D703" s="2" t="s">
        <v>1193</v>
      </c>
      <c r="E703" s="2"/>
      <c r="F703" s="2">
        <v>314</v>
      </c>
      <c r="G703" s="72"/>
      <c r="H703" s="72">
        <v>35</v>
      </c>
      <c r="I703" s="72"/>
      <c r="J703" s="72">
        <v>10.55</v>
      </c>
      <c r="K703" s="21">
        <v>188</v>
      </c>
      <c r="L703" s="21">
        <v>935</v>
      </c>
      <c r="M703" s="21">
        <v>197</v>
      </c>
      <c r="N703" s="21">
        <v>1200</v>
      </c>
      <c r="O703" s="2"/>
      <c r="P703" s="2"/>
      <c r="Q703" s="197" t="s">
        <v>1241</v>
      </c>
    </row>
    <row r="704" spans="1:17" ht="15" customHeight="1">
      <c r="A704" s="196">
        <v>365</v>
      </c>
      <c r="B704" s="71">
        <v>43875</v>
      </c>
      <c r="C704" s="2" t="s">
        <v>105</v>
      </c>
      <c r="D704" s="2" t="s">
        <v>1194</v>
      </c>
      <c r="E704" s="2"/>
      <c r="F704" s="2">
        <v>314</v>
      </c>
      <c r="G704" s="72"/>
      <c r="H704" s="72">
        <v>42.5</v>
      </c>
      <c r="I704" s="72"/>
      <c r="J704" s="72">
        <v>8.6999999999999993</v>
      </c>
      <c r="K704" s="21">
        <v>193</v>
      </c>
      <c r="L704" s="21">
        <v>1460</v>
      </c>
      <c r="M704" s="21">
        <v>250</v>
      </c>
      <c r="N704" s="21">
        <v>1800</v>
      </c>
      <c r="O704" s="2"/>
      <c r="P704" s="2"/>
      <c r="Q704" s="197" t="s">
        <v>1241</v>
      </c>
    </row>
    <row r="705" spans="1:17" ht="15" customHeight="1">
      <c r="A705" s="196">
        <v>364</v>
      </c>
      <c r="B705" s="71">
        <v>43875</v>
      </c>
      <c r="C705" s="2" t="s">
        <v>105</v>
      </c>
      <c r="D705" s="2" t="s">
        <v>119</v>
      </c>
      <c r="E705" s="2"/>
      <c r="F705" s="2" t="s">
        <v>1242</v>
      </c>
      <c r="G705" s="72"/>
      <c r="H705" s="72" t="s">
        <v>1243</v>
      </c>
      <c r="I705" s="72"/>
      <c r="J705" s="72">
        <v>7.5</v>
      </c>
      <c r="K705" s="21">
        <v>294</v>
      </c>
      <c r="L705" s="21">
        <v>1680</v>
      </c>
      <c r="M705" s="21">
        <v>295</v>
      </c>
      <c r="N705" s="21">
        <v>2095</v>
      </c>
      <c r="O705" s="2"/>
      <c r="P705" s="2"/>
      <c r="Q705" s="197" t="s">
        <v>176</v>
      </c>
    </row>
    <row r="706" spans="1:17" ht="15" customHeight="1">
      <c r="A706" s="196">
        <v>363</v>
      </c>
      <c r="B706" s="71">
        <v>43874</v>
      </c>
      <c r="C706" s="2" t="s">
        <v>105</v>
      </c>
      <c r="D706" s="2" t="s">
        <v>1092</v>
      </c>
      <c r="E706" s="2"/>
      <c r="F706" s="2">
        <v>7199</v>
      </c>
      <c r="G706" s="72"/>
      <c r="H706" s="72">
        <v>35</v>
      </c>
      <c r="I706" s="72"/>
      <c r="J706" s="72">
        <v>6.05</v>
      </c>
      <c r="K706" s="21">
        <v>278</v>
      </c>
      <c r="L706" s="21">
        <v>1530</v>
      </c>
      <c r="M706" s="21">
        <v>283</v>
      </c>
      <c r="N706" s="21">
        <v>2080</v>
      </c>
      <c r="O706" s="2"/>
      <c r="P706" s="2"/>
      <c r="Q706" s="197" t="s">
        <v>1238</v>
      </c>
    </row>
    <row r="707" spans="1:17" ht="15" customHeight="1">
      <c r="A707" s="196">
        <v>362</v>
      </c>
      <c r="B707" s="71">
        <v>43874</v>
      </c>
      <c r="C707" s="2" t="s">
        <v>105</v>
      </c>
      <c r="D707" s="2" t="s">
        <v>1104</v>
      </c>
      <c r="E707" s="2"/>
      <c r="F707" s="2">
        <v>752</v>
      </c>
      <c r="G707" s="72"/>
      <c r="H707" s="72">
        <v>35</v>
      </c>
      <c r="I707" s="72"/>
      <c r="J707" s="72">
        <v>9.8000000000000007</v>
      </c>
      <c r="K707" s="21">
        <v>191</v>
      </c>
      <c r="L707" s="21">
        <v>990</v>
      </c>
      <c r="M707" s="21">
        <v>193</v>
      </c>
      <c r="N707" s="21">
        <v>1315</v>
      </c>
      <c r="O707" s="2"/>
      <c r="P707" s="2"/>
      <c r="Q707" s="197" t="s">
        <v>149</v>
      </c>
    </row>
    <row r="708" spans="1:17" ht="15" customHeight="1">
      <c r="A708" s="196">
        <v>361</v>
      </c>
      <c r="B708" s="71">
        <v>43874</v>
      </c>
      <c r="C708" s="2" t="s">
        <v>105</v>
      </c>
      <c r="D708" s="2" t="s">
        <v>1193</v>
      </c>
      <c r="E708" s="2"/>
      <c r="F708" s="2">
        <v>314</v>
      </c>
      <c r="G708" s="72"/>
      <c r="H708" s="72">
        <v>35</v>
      </c>
      <c r="I708" s="72"/>
      <c r="J708" s="72">
        <v>10.9</v>
      </c>
      <c r="K708" s="21">
        <v>194</v>
      </c>
      <c r="L708" s="21">
        <v>930</v>
      </c>
      <c r="M708" s="21">
        <v>194</v>
      </c>
      <c r="N708" s="21">
        <v>1177</v>
      </c>
      <c r="O708" s="2"/>
      <c r="P708" s="2"/>
      <c r="Q708" s="197" t="s">
        <v>176</v>
      </c>
    </row>
    <row r="709" spans="1:17" ht="15" customHeight="1">
      <c r="A709" s="196">
        <v>360</v>
      </c>
      <c r="B709" s="71">
        <v>43874</v>
      </c>
      <c r="C709" s="2" t="s">
        <v>105</v>
      </c>
      <c r="D709" s="2" t="s">
        <v>1194</v>
      </c>
      <c r="E709" s="2"/>
      <c r="F709" s="2">
        <v>314</v>
      </c>
      <c r="G709" s="72"/>
      <c r="H709" s="72">
        <v>42.5</v>
      </c>
      <c r="I709" s="72"/>
      <c r="J709" s="72">
        <v>8.6</v>
      </c>
      <c r="K709" s="21">
        <v>248</v>
      </c>
      <c r="L709" s="21">
        <v>1460</v>
      </c>
      <c r="M709" s="21">
        <v>249</v>
      </c>
      <c r="N709" s="21">
        <v>1779</v>
      </c>
      <c r="O709" s="2"/>
      <c r="P709" s="2"/>
      <c r="Q709" s="197" t="s">
        <v>1239</v>
      </c>
    </row>
    <row r="710" spans="1:17" ht="15" customHeight="1">
      <c r="A710" s="196">
        <v>359</v>
      </c>
      <c r="B710" s="71">
        <v>43872</v>
      </c>
      <c r="C710" s="2" t="s">
        <v>105</v>
      </c>
      <c r="D710" s="2" t="s">
        <v>1209</v>
      </c>
      <c r="E710" s="2"/>
      <c r="F710" s="2">
        <v>7716</v>
      </c>
      <c r="G710" s="72"/>
      <c r="H710" s="72">
        <v>42.5</v>
      </c>
      <c r="I710" s="72"/>
      <c r="J710" s="72">
        <v>12</v>
      </c>
      <c r="K710" s="21">
        <v>204</v>
      </c>
      <c r="L710" s="21">
        <v>1035</v>
      </c>
      <c r="M710" s="21">
        <v>210</v>
      </c>
      <c r="N710" s="21">
        <v>1386</v>
      </c>
      <c r="O710" s="2"/>
      <c r="P710" s="2"/>
      <c r="Q710" s="197" t="s">
        <v>1774</v>
      </c>
    </row>
    <row r="711" spans="1:17" ht="15" customHeight="1">
      <c r="A711" s="196">
        <v>358</v>
      </c>
      <c r="B711" s="71">
        <v>43872</v>
      </c>
      <c r="C711" s="2" t="s">
        <v>105</v>
      </c>
      <c r="D711" s="2" t="s">
        <v>1209</v>
      </c>
      <c r="E711" s="2"/>
      <c r="F711" s="2">
        <v>7716</v>
      </c>
      <c r="G711" s="72"/>
      <c r="H711" s="72">
        <v>42.5</v>
      </c>
      <c r="I711" s="72"/>
      <c r="J711" s="72">
        <v>12</v>
      </c>
      <c r="K711" s="21">
        <v>204.5</v>
      </c>
      <c r="L711" s="21">
        <v>965</v>
      </c>
      <c r="M711" s="21">
        <v>210</v>
      </c>
      <c r="N711" s="21">
        <v>1390</v>
      </c>
      <c r="O711" s="2"/>
      <c r="P711" s="2"/>
      <c r="Q711" s="197" t="s">
        <v>1774</v>
      </c>
    </row>
    <row r="712" spans="1:17" ht="15" customHeight="1">
      <c r="A712" s="196">
        <v>357</v>
      </c>
      <c r="B712" s="71">
        <v>43872</v>
      </c>
      <c r="C712" s="2" t="s">
        <v>105</v>
      </c>
      <c r="D712" s="2" t="s">
        <v>1209</v>
      </c>
      <c r="E712" s="2"/>
      <c r="F712" s="2">
        <v>7716</v>
      </c>
      <c r="G712" s="72"/>
      <c r="H712" s="72">
        <v>42.5</v>
      </c>
      <c r="I712" s="72"/>
      <c r="J712" s="72">
        <v>11.95</v>
      </c>
      <c r="K712" s="21">
        <v>204.5</v>
      </c>
      <c r="L712" s="21">
        <v>1045</v>
      </c>
      <c r="M712" s="21">
        <v>210</v>
      </c>
      <c r="N712" s="21">
        <v>1385</v>
      </c>
      <c r="O712" s="2"/>
      <c r="P712" s="2"/>
      <c r="Q712" s="197" t="s">
        <v>1237</v>
      </c>
    </row>
    <row r="713" spans="1:17" ht="15" customHeight="1">
      <c r="A713" s="196">
        <v>356</v>
      </c>
      <c r="B713" s="71">
        <v>43872</v>
      </c>
      <c r="C713" s="2" t="s">
        <v>105</v>
      </c>
      <c r="D713" s="2" t="s">
        <v>1209</v>
      </c>
      <c r="E713" s="2"/>
      <c r="F713" s="2">
        <v>7716</v>
      </c>
      <c r="G713" s="72"/>
      <c r="H713" s="72">
        <v>42.5</v>
      </c>
      <c r="I713" s="72"/>
      <c r="J713" s="72">
        <v>12.25</v>
      </c>
      <c r="K713" s="21">
        <v>205</v>
      </c>
      <c r="L713" s="21">
        <v>935</v>
      </c>
      <c r="M713" s="21">
        <v>210</v>
      </c>
      <c r="N713" s="21">
        <v>1395</v>
      </c>
      <c r="O713" s="2"/>
      <c r="P713" s="2"/>
      <c r="Q713" s="197" t="s">
        <v>1238</v>
      </c>
    </row>
    <row r="714" spans="1:17" ht="15" customHeight="1">
      <c r="A714" s="196">
        <v>355</v>
      </c>
      <c r="B714" s="71">
        <v>43871</v>
      </c>
      <c r="C714" s="2" t="s">
        <v>105</v>
      </c>
      <c r="D714" s="2" t="s">
        <v>1209</v>
      </c>
      <c r="E714" s="2"/>
      <c r="F714" s="2">
        <v>7716</v>
      </c>
      <c r="G714" s="72"/>
      <c r="H714" s="72">
        <v>42.5</v>
      </c>
      <c r="I714" s="72"/>
      <c r="J714" s="72">
        <v>12.1</v>
      </c>
      <c r="K714" s="21">
        <v>202</v>
      </c>
      <c r="L714" s="21">
        <v>1040</v>
      </c>
      <c r="M714" s="21">
        <v>208</v>
      </c>
      <c r="N714" s="21">
        <v>1390</v>
      </c>
      <c r="O714" s="2"/>
      <c r="P714" s="2"/>
      <c r="Q714" s="197" t="s">
        <v>1234</v>
      </c>
    </row>
    <row r="715" spans="1:17" ht="15" customHeight="1">
      <c r="A715" s="196">
        <v>354</v>
      </c>
      <c r="B715" s="71">
        <v>43871</v>
      </c>
      <c r="C715" s="2" t="s">
        <v>105</v>
      </c>
      <c r="D715" s="2" t="s">
        <v>1060</v>
      </c>
      <c r="E715" s="2"/>
      <c r="F715" s="2">
        <v>7716</v>
      </c>
      <c r="G715" s="72"/>
      <c r="H715" s="72">
        <v>42.5</v>
      </c>
      <c r="I715" s="72"/>
      <c r="J715" s="72">
        <v>10.199999999999999</v>
      </c>
      <c r="K715" s="21">
        <v>233</v>
      </c>
      <c r="L715" s="21">
        <v>1196</v>
      </c>
      <c r="M715" s="21">
        <v>240</v>
      </c>
      <c r="N715" s="21">
        <v>1790</v>
      </c>
      <c r="O715" s="2"/>
      <c r="P715" s="2"/>
      <c r="Q715" s="197" t="s">
        <v>1235</v>
      </c>
    </row>
    <row r="716" spans="1:17" ht="15" customHeight="1">
      <c r="A716" s="196">
        <v>353</v>
      </c>
      <c r="B716" s="71">
        <v>43871</v>
      </c>
      <c r="C716" s="2" t="s">
        <v>105</v>
      </c>
      <c r="D716" s="2" t="s">
        <v>1071</v>
      </c>
      <c r="E716" s="2"/>
      <c r="F716" s="2">
        <v>7716</v>
      </c>
      <c r="G716" s="72"/>
      <c r="H716" s="72">
        <v>42.5</v>
      </c>
      <c r="I716" s="72"/>
      <c r="J716" s="72">
        <v>11.75</v>
      </c>
      <c r="K716" s="21">
        <v>202</v>
      </c>
      <c r="L716" s="21">
        <v>1066</v>
      </c>
      <c r="M716" s="21">
        <v>210</v>
      </c>
      <c r="N716" s="21">
        <v>1460</v>
      </c>
      <c r="O716" s="2"/>
      <c r="P716" s="2"/>
      <c r="Q716" s="197"/>
    </row>
    <row r="717" spans="1:17" ht="15" customHeight="1">
      <c r="A717" s="196">
        <v>352</v>
      </c>
      <c r="B717" s="71">
        <v>43871</v>
      </c>
      <c r="C717" s="2" t="s">
        <v>105</v>
      </c>
      <c r="D717" s="2" t="s">
        <v>1236</v>
      </c>
      <c r="E717" s="2"/>
      <c r="F717" s="2">
        <v>7716</v>
      </c>
      <c r="G717" s="72"/>
      <c r="H717" s="72">
        <v>42.5</v>
      </c>
      <c r="I717" s="72"/>
      <c r="J717" s="72">
        <v>12.25</v>
      </c>
      <c r="K717" s="21">
        <v>203</v>
      </c>
      <c r="L717" s="21">
        <v>980</v>
      </c>
      <c r="M717" s="21">
        <v>210</v>
      </c>
      <c r="N717" s="21">
        <v>1390</v>
      </c>
      <c r="O717" s="2"/>
      <c r="P717" s="2"/>
      <c r="Q717" s="197"/>
    </row>
    <row r="718" spans="1:17" ht="15" customHeight="1">
      <c r="A718" s="196">
        <v>351</v>
      </c>
      <c r="B718" s="71">
        <v>43869</v>
      </c>
      <c r="C718" s="2" t="s">
        <v>105</v>
      </c>
      <c r="D718" s="2" t="s">
        <v>1209</v>
      </c>
      <c r="E718" s="2"/>
      <c r="F718" s="2">
        <v>7716</v>
      </c>
      <c r="G718" s="72"/>
      <c r="H718" s="72">
        <v>42.5</v>
      </c>
      <c r="I718" s="72"/>
      <c r="J718" s="72">
        <v>12.3</v>
      </c>
      <c r="K718" s="21">
        <v>203</v>
      </c>
      <c r="L718" s="21">
        <v>886</v>
      </c>
      <c r="M718" s="21">
        <v>208</v>
      </c>
      <c r="N718" s="21">
        <v>1377</v>
      </c>
      <c r="O718" s="2"/>
      <c r="P718" s="2"/>
      <c r="Q718" s="197" t="s">
        <v>1233</v>
      </c>
    </row>
    <row r="719" spans="1:17" ht="15" customHeight="1">
      <c r="A719" s="196">
        <v>350</v>
      </c>
      <c r="B719" s="71">
        <v>43869</v>
      </c>
      <c r="C719" s="2" t="s">
        <v>105</v>
      </c>
      <c r="D719" s="2" t="s">
        <v>1094</v>
      </c>
      <c r="E719" s="2"/>
      <c r="F719" s="2">
        <v>7199</v>
      </c>
      <c r="G719" s="72"/>
      <c r="H719" s="72">
        <v>35</v>
      </c>
      <c r="I719" s="72"/>
      <c r="J719" s="72">
        <v>9.6</v>
      </c>
      <c r="K719" s="21">
        <v>200</v>
      </c>
      <c r="L719" s="21">
        <v>1030</v>
      </c>
      <c r="M719" s="21">
        <v>209</v>
      </c>
      <c r="N719" s="21">
        <v>1410</v>
      </c>
      <c r="O719" s="2"/>
      <c r="P719" s="2"/>
      <c r="Q719" s="197" t="s">
        <v>1233</v>
      </c>
    </row>
    <row r="720" spans="1:17" ht="15" customHeight="1">
      <c r="A720" s="196">
        <v>349</v>
      </c>
      <c r="B720" s="71">
        <v>43868</v>
      </c>
      <c r="C720" s="2" t="s">
        <v>105</v>
      </c>
      <c r="D720" s="2" t="s">
        <v>1092</v>
      </c>
      <c r="E720" s="2"/>
      <c r="F720" s="2">
        <v>7199</v>
      </c>
      <c r="G720" s="72"/>
      <c r="H720" s="72">
        <v>35</v>
      </c>
      <c r="I720" s="72"/>
      <c r="J720" s="72">
        <v>5.9</v>
      </c>
      <c r="K720" s="21">
        <v>283</v>
      </c>
      <c r="L720" s="21">
        <v>1650</v>
      </c>
      <c r="M720" s="21">
        <v>284</v>
      </c>
      <c r="N720" s="21">
        <v>2090</v>
      </c>
      <c r="O720" s="2"/>
      <c r="P720" s="2"/>
      <c r="Q720" s="197" t="s">
        <v>176</v>
      </c>
    </row>
    <row r="721" spans="1:17" ht="15" customHeight="1">
      <c r="A721" s="196">
        <v>348</v>
      </c>
      <c r="B721" s="206">
        <v>43867</v>
      </c>
      <c r="C721" s="2" t="s">
        <v>105</v>
      </c>
      <c r="D721" s="2" t="s">
        <v>1232</v>
      </c>
      <c r="E721" s="2"/>
      <c r="F721" s="2">
        <v>7316</v>
      </c>
      <c r="G721" s="72"/>
      <c r="H721" s="72">
        <v>42.5</v>
      </c>
      <c r="I721" s="72"/>
      <c r="J721" s="72">
        <v>10.5</v>
      </c>
      <c r="K721" s="21">
        <v>232</v>
      </c>
      <c r="L721" s="21">
        <v>1150</v>
      </c>
      <c r="M721" s="21">
        <v>240</v>
      </c>
      <c r="N721" s="21">
        <v>1655</v>
      </c>
      <c r="O721" s="2"/>
      <c r="P721" s="2"/>
      <c r="Q721" s="197" t="s">
        <v>176</v>
      </c>
    </row>
    <row r="722" spans="1:17" ht="15" customHeight="1">
      <c r="A722" s="196">
        <v>347</v>
      </c>
      <c r="B722" s="71">
        <v>43865</v>
      </c>
      <c r="C722" s="2" t="s">
        <v>105</v>
      </c>
      <c r="D722" s="2" t="s">
        <v>1194</v>
      </c>
      <c r="E722" s="2"/>
      <c r="F722" s="2">
        <v>314</v>
      </c>
      <c r="G722" s="72"/>
      <c r="H722" s="72">
        <v>42.5</v>
      </c>
      <c r="I722" s="72"/>
      <c r="J722" s="72">
        <v>9</v>
      </c>
      <c r="K722" s="21">
        <v>249</v>
      </c>
      <c r="L722" s="21">
        <v>1435</v>
      </c>
      <c r="M722" s="21">
        <v>250</v>
      </c>
      <c r="N722" s="21">
        <v>1780</v>
      </c>
      <c r="O722" s="2"/>
      <c r="P722" s="2"/>
      <c r="Q722" s="197" t="s">
        <v>176</v>
      </c>
    </row>
    <row r="723" spans="1:17" ht="15" customHeight="1">
      <c r="A723" s="196">
        <v>346</v>
      </c>
      <c r="B723" s="71">
        <v>43865</v>
      </c>
      <c r="C723" s="2" t="s">
        <v>105</v>
      </c>
      <c r="D723" s="2" t="s">
        <v>1193</v>
      </c>
      <c r="E723" s="2"/>
      <c r="F723" s="2">
        <v>314</v>
      </c>
      <c r="G723" s="72"/>
      <c r="H723" s="72">
        <v>35</v>
      </c>
      <c r="I723" s="72"/>
      <c r="J723" s="72">
        <v>10.45</v>
      </c>
      <c r="K723" s="21">
        <v>193</v>
      </c>
      <c r="L723" s="21">
        <v>940</v>
      </c>
      <c r="M723" s="21">
        <v>195</v>
      </c>
      <c r="N723" s="21">
        <v>1240</v>
      </c>
      <c r="O723" s="2"/>
      <c r="P723" s="2"/>
      <c r="Q723" s="197" t="s">
        <v>176</v>
      </c>
    </row>
    <row r="724" spans="1:17" ht="15" customHeight="1">
      <c r="A724" s="196">
        <v>345</v>
      </c>
      <c r="B724" s="71">
        <v>43865</v>
      </c>
      <c r="C724" s="2" t="s">
        <v>37</v>
      </c>
      <c r="D724" s="2" t="s">
        <v>1193</v>
      </c>
      <c r="E724" s="2"/>
      <c r="F724" s="2">
        <v>314</v>
      </c>
      <c r="G724" s="72"/>
      <c r="H724" s="72">
        <v>35</v>
      </c>
      <c r="I724" s="72"/>
      <c r="J724" s="72">
        <v>10.9</v>
      </c>
      <c r="K724" s="21">
        <v>192</v>
      </c>
      <c r="L724" s="21">
        <v>900</v>
      </c>
      <c r="M724" s="21">
        <v>195</v>
      </c>
      <c r="N724" s="21">
        <v>1170</v>
      </c>
      <c r="O724" s="2"/>
      <c r="P724" s="2"/>
      <c r="Q724" s="197" t="s">
        <v>176</v>
      </c>
    </row>
    <row r="725" spans="1:17" ht="15" customHeight="1">
      <c r="A725" s="196">
        <v>344</v>
      </c>
      <c r="B725" s="71">
        <v>43865</v>
      </c>
      <c r="C725" s="2" t="s">
        <v>37</v>
      </c>
      <c r="D725" s="2" t="s">
        <v>1194</v>
      </c>
      <c r="E725" s="2"/>
      <c r="F725" s="2">
        <v>314</v>
      </c>
      <c r="G725" s="72"/>
      <c r="H725" s="72">
        <v>42.5</v>
      </c>
      <c r="I725" s="72"/>
      <c r="J725" s="72">
        <v>8.9</v>
      </c>
      <c r="K725" s="21">
        <v>249</v>
      </c>
      <c r="L725" s="21">
        <v>1404</v>
      </c>
      <c r="M725" s="21">
        <v>248</v>
      </c>
      <c r="N725" s="21">
        <v>1780</v>
      </c>
      <c r="O725" s="2"/>
      <c r="P725" s="2"/>
      <c r="Q725" s="197" t="s">
        <v>176</v>
      </c>
    </row>
    <row r="726" spans="1:17" ht="15" customHeight="1">
      <c r="A726" s="196">
        <v>343</v>
      </c>
      <c r="B726" s="71">
        <v>43865</v>
      </c>
      <c r="C726" s="2" t="s">
        <v>37</v>
      </c>
      <c r="D726" s="2" t="s">
        <v>1194</v>
      </c>
      <c r="E726" s="2"/>
      <c r="F726" s="2">
        <v>314</v>
      </c>
      <c r="G726" s="72"/>
      <c r="H726" s="72">
        <v>42.5</v>
      </c>
      <c r="I726" s="72"/>
      <c r="J726" s="72">
        <v>8.8000000000000007</v>
      </c>
      <c r="K726" s="21">
        <v>250</v>
      </c>
      <c r="L726" s="21">
        <v>1440</v>
      </c>
      <c r="M726" s="21">
        <v>249</v>
      </c>
      <c r="N726" s="21">
        <v>1830</v>
      </c>
      <c r="O726" s="2"/>
      <c r="P726" s="2"/>
      <c r="Q726" s="197" t="s">
        <v>176</v>
      </c>
    </row>
    <row r="727" spans="1:17" ht="15" customHeight="1">
      <c r="A727" s="196">
        <v>342</v>
      </c>
      <c r="B727" s="71">
        <v>43865</v>
      </c>
      <c r="C727" s="2" t="s">
        <v>37</v>
      </c>
      <c r="D727" s="2" t="s">
        <v>1193</v>
      </c>
      <c r="E727" s="2"/>
      <c r="F727" s="2">
        <v>314</v>
      </c>
      <c r="G727" s="72"/>
      <c r="H727" s="72">
        <v>35</v>
      </c>
      <c r="I727" s="72"/>
      <c r="J727" s="72">
        <v>11.5</v>
      </c>
      <c r="K727" s="21">
        <v>193</v>
      </c>
      <c r="L727" s="21">
        <v>890</v>
      </c>
      <c r="M727" s="21">
        <v>196</v>
      </c>
      <c r="N727" s="21">
        <v>1180</v>
      </c>
      <c r="O727" s="2"/>
      <c r="P727" s="2"/>
      <c r="Q727" s="197" t="s">
        <v>176</v>
      </c>
    </row>
    <row r="728" spans="1:17" ht="15" customHeight="1">
      <c r="A728" s="196">
        <v>341</v>
      </c>
      <c r="B728" s="71">
        <v>43865</v>
      </c>
      <c r="C728" s="2" t="s">
        <v>37</v>
      </c>
      <c r="D728" s="2" t="s">
        <v>1194</v>
      </c>
      <c r="E728" s="2"/>
      <c r="F728" s="2">
        <v>314</v>
      </c>
      <c r="G728" s="72"/>
      <c r="H728" s="72">
        <v>42.5</v>
      </c>
      <c r="I728" s="72"/>
      <c r="J728" s="72">
        <v>8.9499999999999993</v>
      </c>
      <c r="K728" s="21">
        <v>250</v>
      </c>
      <c r="L728" s="21">
        <v>1430</v>
      </c>
      <c r="M728" s="21">
        <v>249</v>
      </c>
      <c r="N728" s="21">
        <v>1820</v>
      </c>
      <c r="O728" s="2"/>
      <c r="P728" s="2"/>
      <c r="Q728" s="197" t="s">
        <v>176</v>
      </c>
    </row>
    <row r="729" spans="1:17" ht="15" customHeight="1">
      <c r="A729" s="196">
        <v>340</v>
      </c>
      <c r="B729" s="71">
        <v>43865</v>
      </c>
      <c r="C729" s="2" t="s">
        <v>37</v>
      </c>
      <c r="D729" s="2" t="s">
        <v>1193</v>
      </c>
      <c r="E729" s="2"/>
      <c r="F729" s="2">
        <v>314</v>
      </c>
      <c r="G729" s="72"/>
      <c r="H729" s="72">
        <v>35</v>
      </c>
      <c r="I729" s="72"/>
      <c r="J729" s="72">
        <v>11.21</v>
      </c>
      <c r="K729" s="21">
        <v>194</v>
      </c>
      <c r="L729" s="21">
        <v>885</v>
      </c>
      <c r="M729" s="21">
        <v>195</v>
      </c>
      <c r="N729" s="21">
        <v>1180</v>
      </c>
      <c r="O729" s="2"/>
      <c r="P729" s="2"/>
      <c r="Q729" s="197" t="s">
        <v>176</v>
      </c>
    </row>
    <row r="730" spans="1:17" ht="15" customHeight="1">
      <c r="A730" s="196">
        <v>339</v>
      </c>
      <c r="B730" s="71">
        <v>43864</v>
      </c>
      <c r="C730" s="2" t="s">
        <v>105</v>
      </c>
      <c r="D730" s="2" t="s">
        <v>1230</v>
      </c>
      <c r="E730" s="2"/>
      <c r="F730" s="2">
        <v>7717</v>
      </c>
      <c r="G730" s="72"/>
      <c r="H730" s="72">
        <v>35</v>
      </c>
      <c r="I730" s="72"/>
      <c r="J730" s="72">
        <v>12.3</v>
      </c>
      <c r="K730" s="21">
        <v>197</v>
      </c>
      <c r="L730" s="21">
        <v>830</v>
      </c>
      <c r="M730" s="21">
        <v>200</v>
      </c>
      <c r="N730" s="21">
        <v>1092</v>
      </c>
      <c r="O730" s="2"/>
      <c r="P730" s="2"/>
      <c r="Q730" s="197" t="s">
        <v>1231</v>
      </c>
    </row>
    <row r="731" spans="1:17" ht="15" customHeight="1">
      <c r="A731" s="196">
        <v>338</v>
      </c>
      <c r="B731" s="71">
        <v>43864</v>
      </c>
      <c r="C731" s="2" t="s">
        <v>38</v>
      </c>
      <c r="D731" s="2" t="s">
        <v>1092</v>
      </c>
      <c r="E731" s="2"/>
      <c r="F731" s="2">
        <v>7199</v>
      </c>
      <c r="G731" s="72"/>
      <c r="H731" s="72">
        <v>35</v>
      </c>
      <c r="I731" s="72"/>
      <c r="J731" s="72">
        <v>6.2</v>
      </c>
      <c r="K731" s="21">
        <v>281</v>
      </c>
      <c r="L731" s="21">
        <v>1520</v>
      </c>
      <c r="M731" s="21">
        <v>284</v>
      </c>
      <c r="N731" s="21">
        <v>2085</v>
      </c>
      <c r="O731" s="2"/>
      <c r="P731" s="2"/>
      <c r="Q731" s="197" t="s">
        <v>190</v>
      </c>
    </row>
    <row r="732" spans="1:17" ht="15" customHeight="1">
      <c r="A732" s="196">
        <v>337</v>
      </c>
      <c r="B732" s="71">
        <v>43862</v>
      </c>
      <c r="C732" s="2" t="s">
        <v>105</v>
      </c>
      <c r="D732" s="2" t="s">
        <v>1228</v>
      </c>
      <c r="E732" s="2"/>
      <c r="F732" s="2">
        <v>7716</v>
      </c>
      <c r="G732" s="72"/>
      <c r="H732" s="72">
        <v>35</v>
      </c>
      <c r="I732" s="72"/>
      <c r="J732" s="72">
        <v>11.1</v>
      </c>
      <c r="K732" s="21">
        <v>185</v>
      </c>
      <c r="L732" s="21">
        <v>825</v>
      </c>
      <c r="M732" s="21">
        <v>190</v>
      </c>
      <c r="N732" s="21">
        <v>1183</v>
      </c>
      <c r="O732" s="2"/>
      <c r="P732" s="2"/>
      <c r="Q732" s="197" t="s">
        <v>1229</v>
      </c>
    </row>
    <row r="733" spans="1:17" ht="15" customHeight="1">
      <c r="A733" s="196">
        <v>336</v>
      </c>
      <c r="B733" s="71">
        <v>43858</v>
      </c>
      <c r="C733" s="2" t="s">
        <v>105</v>
      </c>
      <c r="D733" s="2" t="s">
        <v>1209</v>
      </c>
      <c r="E733" s="2"/>
      <c r="F733" s="2">
        <v>7716</v>
      </c>
      <c r="G733" s="72"/>
      <c r="H733" s="72">
        <v>42.5</v>
      </c>
      <c r="I733" s="72"/>
      <c r="J733" s="72">
        <v>12.25</v>
      </c>
      <c r="K733" s="21">
        <v>204</v>
      </c>
      <c r="L733" s="21">
        <v>980</v>
      </c>
      <c r="M733" s="21">
        <v>210</v>
      </c>
      <c r="N733" s="21">
        <v>1675</v>
      </c>
      <c r="O733" s="2"/>
      <c r="P733" s="2"/>
      <c r="Q733" s="197" t="s">
        <v>1195</v>
      </c>
    </row>
    <row r="734" spans="1:17" ht="15" customHeight="1">
      <c r="A734" s="196">
        <v>335</v>
      </c>
      <c r="B734" s="71">
        <v>43858</v>
      </c>
      <c r="C734" s="2" t="s">
        <v>105</v>
      </c>
      <c r="D734" s="2" t="s">
        <v>1223</v>
      </c>
      <c r="E734" s="2"/>
      <c r="F734" s="2">
        <v>7716</v>
      </c>
      <c r="G734" s="72"/>
      <c r="H734" s="72">
        <v>42.5</v>
      </c>
      <c r="I734" s="72"/>
      <c r="J734" s="72">
        <v>12.15</v>
      </c>
      <c r="K734" s="21">
        <v>205</v>
      </c>
      <c r="L734" s="21">
        <v>990</v>
      </c>
      <c r="M734" s="21">
        <v>210</v>
      </c>
      <c r="N734" s="21">
        <v>1370</v>
      </c>
      <c r="O734" s="2"/>
      <c r="P734" s="2"/>
      <c r="Q734" s="197" t="s">
        <v>1195</v>
      </c>
    </row>
    <row r="735" spans="1:17" ht="15" customHeight="1">
      <c r="A735" s="196">
        <v>334</v>
      </c>
      <c r="B735" s="71">
        <v>43858</v>
      </c>
      <c r="C735" s="2" t="s">
        <v>37</v>
      </c>
      <c r="D735" s="2" t="s">
        <v>1227</v>
      </c>
      <c r="E735" s="2"/>
      <c r="F735" s="2">
        <v>7316</v>
      </c>
      <c r="G735" s="72"/>
      <c r="H735" s="72">
        <v>42.5</v>
      </c>
      <c r="I735" s="72"/>
      <c r="J735" s="72">
        <v>11.75</v>
      </c>
      <c r="K735" s="21">
        <v>234</v>
      </c>
      <c r="L735" s="21">
        <v>1150</v>
      </c>
      <c r="M735" s="21">
        <v>243</v>
      </c>
      <c r="N735" s="21">
        <v>1645</v>
      </c>
      <c r="O735" s="2"/>
      <c r="P735" s="2"/>
      <c r="Q735" s="197" t="s">
        <v>176</v>
      </c>
    </row>
    <row r="736" spans="1:17" ht="15" customHeight="1">
      <c r="A736" s="196">
        <v>333</v>
      </c>
      <c r="B736" s="71">
        <v>43858</v>
      </c>
      <c r="C736" s="2" t="s">
        <v>37</v>
      </c>
      <c r="D736" s="2" t="s">
        <v>1112</v>
      </c>
      <c r="E736" s="2"/>
      <c r="F736" s="2">
        <v>7316</v>
      </c>
      <c r="G736" s="72"/>
      <c r="H736" s="72">
        <v>35</v>
      </c>
      <c r="I736" s="72"/>
      <c r="J736" s="72">
        <v>11.3</v>
      </c>
      <c r="K736" s="21">
        <v>200</v>
      </c>
      <c r="L736" s="21">
        <v>870</v>
      </c>
      <c r="M736" s="21">
        <v>210</v>
      </c>
      <c r="N736" s="21">
        <v>1318</v>
      </c>
      <c r="O736" s="2"/>
      <c r="P736" s="2"/>
      <c r="Q736" s="197" t="s">
        <v>176</v>
      </c>
    </row>
    <row r="737" spans="1:17" ht="15" customHeight="1">
      <c r="A737" s="196">
        <v>332</v>
      </c>
      <c r="B737" s="71">
        <v>43857</v>
      </c>
      <c r="C737" s="2" t="s">
        <v>37</v>
      </c>
      <c r="D737" s="2" t="s">
        <v>1223</v>
      </c>
      <c r="E737" s="2"/>
      <c r="F737" s="2">
        <v>7716</v>
      </c>
      <c r="G737" s="72"/>
      <c r="H737" s="72">
        <v>42.5</v>
      </c>
      <c r="I737" s="72"/>
      <c r="J737" s="72">
        <v>12</v>
      </c>
      <c r="K737" s="21">
        <v>206</v>
      </c>
      <c r="L737" s="21">
        <v>1025</v>
      </c>
      <c r="M737" s="21">
        <v>210</v>
      </c>
      <c r="N737" s="21">
        <v>1365</v>
      </c>
      <c r="O737" s="2"/>
      <c r="P737" s="2"/>
      <c r="Q737" s="197" t="s">
        <v>157</v>
      </c>
    </row>
    <row r="738" spans="1:17" ht="15" customHeight="1">
      <c r="A738" s="196">
        <v>331</v>
      </c>
      <c r="B738" s="71">
        <v>43857</v>
      </c>
      <c r="C738" s="2" t="s">
        <v>37</v>
      </c>
      <c r="D738" s="2" t="s">
        <v>1225</v>
      </c>
      <c r="E738" s="2"/>
      <c r="F738" s="2">
        <v>7316</v>
      </c>
      <c r="G738" s="72"/>
      <c r="H738" s="72">
        <v>42.5</v>
      </c>
      <c r="I738" s="72"/>
      <c r="J738" s="72">
        <v>10.3</v>
      </c>
      <c r="K738" s="21">
        <v>229</v>
      </c>
      <c r="L738" s="21">
        <v>1465</v>
      </c>
      <c r="M738" s="21">
        <v>240</v>
      </c>
      <c r="N738" s="21">
        <v>1745</v>
      </c>
      <c r="O738" s="2"/>
      <c r="P738" s="2"/>
      <c r="Q738" s="197" t="s">
        <v>157</v>
      </c>
    </row>
    <row r="739" spans="1:17" ht="15" customHeight="1">
      <c r="A739" s="196">
        <v>330</v>
      </c>
      <c r="B739" s="71">
        <v>43857</v>
      </c>
      <c r="C739" s="2" t="s">
        <v>37</v>
      </c>
      <c r="D739" s="2" t="s">
        <v>1208</v>
      </c>
      <c r="E739" s="2"/>
      <c r="F739" s="2">
        <v>7316</v>
      </c>
      <c r="G739" s="72"/>
      <c r="H739" s="72">
        <v>42.5</v>
      </c>
      <c r="I739" s="72"/>
      <c r="J739" s="72">
        <v>10.199999999999999</v>
      </c>
      <c r="K739" s="21">
        <v>229</v>
      </c>
      <c r="L739" s="21">
        <v>1450</v>
      </c>
      <c r="M739" s="21">
        <v>240</v>
      </c>
      <c r="N739" s="21">
        <v>1675</v>
      </c>
      <c r="O739" s="2"/>
      <c r="P739" s="2"/>
      <c r="Q739" s="197" t="s">
        <v>1226</v>
      </c>
    </row>
    <row r="740" spans="1:17" ht="15" customHeight="1">
      <c r="A740" s="196">
        <v>329</v>
      </c>
      <c r="B740" s="71">
        <v>43855</v>
      </c>
      <c r="C740" s="2" t="s">
        <v>37</v>
      </c>
      <c r="D740" s="2" t="s">
        <v>1223</v>
      </c>
      <c r="E740" s="2"/>
      <c r="F740" s="2">
        <v>7716</v>
      </c>
      <c r="G740" s="72"/>
      <c r="H740" s="72">
        <v>42.5</v>
      </c>
      <c r="I740" s="72"/>
      <c r="J740" s="72">
        <v>11.98</v>
      </c>
      <c r="K740" s="21">
        <v>205</v>
      </c>
      <c r="L740" s="21">
        <v>1030</v>
      </c>
      <c r="M740" s="21">
        <v>208</v>
      </c>
      <c r="N740" s="21">
        <v>1355</v>
      </c>
      <c r="O740" s="2"/>
      <c r="P740" s="2"/>
      <c r="Q740" s="197" t="s">
        <v>1224</v>
      </c>
    </row>
    <row r="741" spans="1:17" ht="15" customHeight="1">
      <c r="A741" s="196">
        <v>328</v>
      </c>
      <c r="B741" s="71">
        <v>43855</v>
      </c>
      <c r="C741" s="2" t="s">
        <v>38</v>
      </c>
      <c r="D741" s="2" t="s">
        <v>1223</v>
      </c>
      <c r="E741" s="2"/>
      <c r="F741" s="2">
        <v>7716</v>
      </c>
      <c r="G741" s="72"/>
      <c r="H741" s="72">
        <v>42.5</v>
      </c>
      <c r="I741" s="72"/>
      <c r="J741" s="72">
        <v>12.15</v>
      </c>
      <c r="K741" s="21">
        <v>206</v>
      </c>
      <c r="L741" s="21">
        <v>1020</v>
      </c>
      <c r="M741" s="21">
        <v>210</v>
      </c>
      <c r="N741" s="21">
        <v>137</v>
      </c>
      <c r="O741" s="2"/>
      <c r="P741" s="2"/>
      <c r="Q741" s="197"/>
    </row>
    <row r="742" spans="1:17" ht="15" customHeight="1">
      <c r="A742" s="196">
        <v>327</v>
      </c>
      <c r="B742" s="71">
        <v>43854</v>
      </c>
      <c r="C742" s="2" t="s">
        <v>38</v>
      </c>
      <c r="D742" s="2" t="s">
        <v>1112</v>
      </c>
      <c r="E742" s="2"/>
      <c r="F742" s="2">
        <v>7316</v>
      </c>
      <c r="G742" s="72"/>
      <c r="H742" s="72">
        <v>35</v>
      </c>
      <c r="I742" s="72"/>
      <c r="J742" s="72">
        <v>11.55</v>
      </c>
      <c r="K742" s="21">
        <v>199</v>
      </c>
      <c r="L742" s="21">
        <v>830</v>
      </c>
      <c r="M742" s="21">
        <v>210</v>
      </c>
      <c r="N742" s="21">
        <v>1350</v>
      </c>
      <c r="O742" s="2"/>
      <c r="P742" s="2"/>
      <c r="Q742" s="197" t="s">
        <v>1222</v>
      </c>
    </row>
    <row r="743" spans="1:17" ht="15" customHeight="1">
      <c r="A743" s="196">
        <v>326</v>
      </c>
      <c r="B743" s="71">
        <v>43853</v>
      </c>
      <c r="C743" s="2" t="s">
        <v>37</v>
      </c>
      <c r="D743" s="2" t="s">
        <v>1112</v>
      </c>
      <c r="E743" s="2"/>
      <c r="F743" s="2">
        <v>7316</v>
      </c>
      <c r="G743" s="72"/>
      <c r="H743" s="72">
        <v>42.5</v>
      </c>
      <c r="I743" s="72"/>
      <c r="J743" s="72">
        <v>13.6</v>
      </c>
      <c r="K743" s="21">
        <v>201</v>
      </c>
      <c r="L743" s="21">
        <v>870</v>
      </c>
      <c r="M743" s="21">
        <v>212</v>
      </c>
      <c r="N743" s="21">
        <v>1370</v>
      </c>
      <c r="O743" s="2"/>
      <c r="P743" s="2"/>
      <c r="Q743" s="197" t="s">
        <v>176</v>
      </c>
    </row>
    <row r="744" spans="1:17" ht="15" customHeight="1">
      <c r="A744" s="196">
        <v>325</v>
      </c>
      <c r="B744" s="71">
        <v>43853</v>
      </c>
      <c r="C744" s="2" t="s">
        <v>105</v>
      </c>
      <c r="D744" s="2" t="s">
        <v>1194</v>
      </c>
      <c r="E744" s="2"/>
      <c r="F744" s="2">
        <v>314</v>
      </c>
      <c r="G744" s="72"/>
      <c r="H744" s="72">
        <v>42.5</v>
      </c>
      <c r="I744" s="72"/>
      <c r="J744" s="72">
        <v>8.26</v>
      </c>
      <c r="K744" s="21">
        <v>249</v>
      </c>
      <c r="L744" s="21">
        <v>1534</v>
      </c>
      <c r="M744" s="21">
        <v>250</v>
      </c>
      <c r="N744" s="21">
        <v>1880</v>
      </c>
      <c r="O744" s="2"/>
      <c r="P744" s="2"/>
      <c r="Q744" s="197" t="s">
        <v>1221</v>
      </c>
    </row>
    <row r="745" spans="1:17" ht="15" customHeight="1">
      <c r="A745" s="196">
        <v>324</v>
      </c>
      <c r="B745" s="71">
        <v>43852</v>
      </c>
      <c r="C745" s="2" t="s">
        <v>105</v>
      </c>
      <c r="D745" s="2" t="s">
        <v>1218</v>
      </c>
      <c r="E745" s="2"/>
      <c r="F745" s="2">
        <v>7316</v>
      </c>
      <c r="G745" s="72"/>
      <c r="H745" s="72">
        <v>42.5</v>
      </c>
      <c r="I745" s="72"/>
      <c r="J745" s="72">
        <v>10.7</v>
      </c>
      <c r="K745" s="21">
        <v>230</v>
      </c>
      <c r="L745" s="21">
        <v>1315</v>
      </c>
      <c r="M745" s="21">
        <v>238</v>
      </c>
      <c r="N745" s="21">
        <v>1650</v>
      </c>
      <c r="O745" s="2"/>
      <c r="P745" s="2"/>
      <c r="Q745" s="197" t="s">
        <v>1219</v>
      </c>
    </row>
    <row r="746" spans="1:17" ht="15" customHeight="1">
      <c r="A746" s="196">
        <v>323</v>
      </c>
      <c r="B746" s="71">
        <v>43852</v>
      </c>
      <c r="C746" s="2" t="s">
        <v>105</v>
      </c>
      <c r="D746" s="2" t="s">
        <v>1112</v>
      </c>
      <c r="E746" s="2"/>
      <c r="F746" s="2">
        <v>7316</v>
      </c>
      <c r="G746" s="72"/>
      <c r="H746" s="72">
        <v>42.5</v>
      </c>
      <c r="I746" s="72"/>
      <c r="J746" s="72">
        <v>14</v>
      </c>
      <c r="K746" s="21">
        <v>200</v>
      </c>
      <c r="L746" s="21">
        <v>1060</v>
      </c>
      <c r="M746" s="21">
        <v>211</v>
      </c>
      <c r="N746" s="21">
        <v>1340</v>
      </c>
      <c r="O746" s="2"/>
      <c r="P746" s="2"/>
      <c r="Q746" s="197" t="s">
        <v>1220</v>
      </c>
    </row>
    <row r="747" spans="1:17" ht="15" customHeight="1">
      <c r="A747" s="196">
        <v>322</v>
      </c>
      <c r="B747" s="71">
        <v>43848</v>
      </c>
      <c r="C747" s="2" t="s">
        <v>105</v>
      </c>
      <c r="D747" s="2" t="s">
        <v>1055</v>
      </c>
      <c r="E747" s="2"/>
      <c r="F747" s="2">
        <v>7316</v>
      </c>
      <c r="G747" s="72"/>
      <c r="H747" s="72">
        <v>42.5</v>
      </c>
      <c r="I747" s="72"/>
      <c r="J747" s="72">
        <v>11.2</v>
      </c>
      <c r="K747" s="21">
        <v>254</v>
      </c>
      <c r="L747" s="21">
        <v>1155</v>
      </c>
      <c r="M747" s="21">
        <v>260</v>
      </c>
      <c r="N747" s="21">
        <v>1575</v>
      </c>
      <c r="O747" s="2"/>
      <c r="P747" s="2"/>
      <c r="Q747" s="197" t="s">
        <v>1217</v>
      </c>
    </row>
    <row r="748" spans="1:17" ht="15" customHeight="1">
      <c r="A748" s="196">
        <v>321</v>
      </c>
      <c r="B748" s="71">
        <v>43848</v>
      </c>
      <c r="C748" s="2" t="s">
        <v>105</v>
      </c>
      <c r="D748" s="2" t="s">
        <v>1052</v>
      </c>
      <c r="E748" s="2"/>
      <c r="F748" s="2">
        <v>7316</v>
      </c>
      <c r="G748" s="72"/>
      <c r="H748" s="72">
        <v>42.5</v>
      </c>
      <c r="I748" s="72"/>
      <c r="J748" s="72">
        <v>10.6</v>
      </c>
      <c r="K748" s="21">
        <v>247</v>
      </c>
      <c r="L748" s="21">
        <v>1150</v>
      </c>
      <c r="M748" s="21">
        <v>254</v>
      </c>
      <c r="N748" s="21">
        <v>1680</v>
      </c>
      <c r="O748" s="2"/>
      <c r="P748" s="2"/>
      <c r="Q748" s="197" t="s">
        <v>149</v>
      </c>
    </row>
    <row r="749" spans="1:17" ht="15" customHeight="1">
      <c r="A749" s="196">
        <v>320</v>
      </c>
      <c r="B749" s="71">
        <v>43848</v>
      </c>
      <c r="C749" s="2" t="s">
        <v>37</v>
      </c>
      <c r="D749" s="2" t="s">
        <v>1094</v>
      </c>
      <c r="E749" s="2"/>
      <c r="F749" s="2">
        <v>7199</v>
      </c>
      <c r="G749" s="72"/>
      <c r="H749" s="72">
        <v>35</v>
      </c>
      <c r="I749" s="72"/>
      <c r="J749" s="72">
        <v>10.15</v>
      </c>
      <c r="K749" s="21">
        <v>201</v>
      </c>
      <c r="L749" s="21">
        <v>906</v>
      </c>
      <c r="M749" s="21">
        <v>208</v>
      </c>
      <c r="N749" s="21">
        <v>1412</v>
      </c>
      <c r="O749" s="2"/>
      <c r="P749" s="2"/>
      <c r="Q749" s="197" t="s">
        <v>149</v>
      </c>
    </row>
    <row r="750" spans="1:17" ht="15" customHeight="1">
      <c r="A750" s="196">
        <v>319</v>
      </c>
      <c r="B750" s="71">
        <v>43847</v>
      </c>
      <c r="C750" s="2" t="s">
        <v>105</v>
      </c>
      <c r="D750" s="2" t="s">
        <v>1100</v>
      </c>
      <c r="E750" s="2"/>
      <c r="F750" s="2">
        <v>7199</v>
      </c>
      <c r="G750" s="72"/>
      <c r="H750" s="72">
        <v>35</v>
      </c>
      <c r="I750" s="72"/>
      <c r="J750" s="72">
        <v>6.7</v>
      </c>
      <c r="K750" s="21">
        <v>279</v>
      </c>
      <c r="L750" s="21">
        <v>1490</v>
      </c>
      <c r="M750" s="21">
        <v>283</v>
      </c>
      <c r="N750" s="21">
        <v>1990</v>
      </c>
      <c r="O750" s="2"/>
      <c r="P750" s="2"/>
      <c r="Q750" s="197" t="s">
        <v>176</v>
      </c>
    </row>
    <row r="751" spans="1:17" ht="15" customHeight="1">
      <c r="A751" s="196">
        <v>318</v>
      </c>
      <c r="B751" s="71">
        <v>43843</v>
      </c>
      <c r="C751" s="2" t="s">
        <v>105</v>
      </c>
      <c r="D751" s="2" t="s">
        <v>1055</v>
      </c>
      <c r="E751" s="2"/>
      <c r="F751" s="2">
        <v>7316</v>
      </c>
      <c r="G751" s="72"/>
      <c r="H751" s="72">
        <v>42.5</v>
      </c>
      <c r="I751" s="72"/>
      <c r="J751" s="72">
        <v>10.6</v>
      </c>
      <c r="K751" s="21">
        <v>255</v>
      </c>
      <c r="L751" s="21">
        <v>1140</v>
      </c>
      <c r="M751" s="21">
        <v>260</v>
      </c>
      <c r="N751" s="21"/>
      <c r="O751" s="2"/>
      <c r="P751" s="2"/>
      <c r="Q751" s="197" t="s">
        <v>1211</v>
      </c>
    </row>
    <row r="752" spans="1:17" ht="15" customHeight="1">
      <c r="A752" s="196">
        <v>317</v>
      </c>
      <c r="B752" s="71">
        <v>43843</v>
      </c>
      <c r="C752" s="2" t="s">
        <v>105</v>
      </c>
      <c r="D752" s="2" t="s">
        <v>1052</v>
      </c>
      <c r="E752" s="2"/>
      <c r="F752" s="2">
        <v>7316</v>
      </c>
      <c r="G752" s="72"/>
      <c r="H752" s="72">
        <v>42.5</v>
      </c>
      <c r="I752" s="72"/>
      <c r="J752" s="72">
        <v>11.2</v>
      </c>
      <c r="K752" s="21">
        <v>249</v>
      </c>
      <c r="L752" s="21">
        <v>1200</v>
      </c>
      <c r="M752" s="21">
        <v>255</v>
      </c>
      <c r="N752" s="21"/>
      <c r="O752" s="2"/>
      <c r="P752" s="2"/>
      <c r="Q752" s="197" t="s">
        <v>1211</v>
      </c>
    </row>
    <row r="753" spans="1:17" ht="15" customHeight="1">
      <c r="A753" s="196">
        <v>316</v>
      </c>
      <c r="B753" s="71">
        <v>43843</v>
      </c>
      <c r="C753" s="2" t="s">
        <v>37</v>
      </c>
      <c r="D753" s="2" t="s">
        <v>1052</v>
      </c>
      <c r="E753" s="2"/>
      <c r="F753" s="2">
        <v>7316</v>
      </c>
      <c r="G753" s="72"/>
      <c r="H753" s="72">
        <v>42.5</v>
      </c>
      <c r="I753" s="72"/>
      <c r="J753" s="72">
        <v>10.25</v>
      </c>
      <c r="K753" s="21">
        <v>249</v>
      </c>
      <c r="L753" s="21">
        <v>1210</v>
      </c>
      <c r="M753" s="21">
        <v>255</v>
      </c>
      <c r="N753" s="21">
        <v>1685</v>
      </c>
      <c r="O753" s="2"/>
      <c r="P753" s="2"/>
      <c r="Q753" s="197" t="s">
        <v>175</v>
      </c>
    </row>
    <row r="754" spans="1:17" ht="15" customHeight="1">
      <c r="A754" s="196">
        <v>315</v>
      </c>
      <c r="B754" s="71">
        <v>43843</v>
      </c>
      <c r="C754" s="2" t="s">
        <v>1215</v>
      </c>
      <c r="D754" s="2" t="s">
        <v>1098</v>
      </c>
      <c r="E754" s="2"/>
      <c r="F754" s="2">
        <v>7199</v>
      </c>
      <c r="G754" s="72"/>
      <c r="H754" s="72">
        <v>35</v>
      </c>
      <c r="I754" s="72"/>
      <c r="J754" s="72">
        <v>10.199999999999999</v>
      </c>
      <c r="K754" s="21">
        <v>204</v>
      </c>
      <c r="L754" s="21">
        <v>914</v>
      </c>
      <c r="M754" s="21">
        <v>210</v>
      </c>
      <c r="N754" s="21">
        <v>1300</v>
      </c>
      <c r="O754" s="2"/>
      <c r="P754" s="2"/>
      <c r="Q754" s="197" t="s">
        <v>1216</v>
      </c>
    </row>
    <row r="755" spans="1:17" ht="15" customHeight="1">
      <c r="A755" s="196">
        <v>314</v>
      </c>
      <c r="B755" s="71">
        <v>43842</v>
      </c>
      <c r="C755" s="2" t="s">
        <v>37</v>
      </c>
      <c r="D755" s="2" t="s">
        <v>1055</v>
      </c>
      <c r="E755" s="2"/>
      <c r="F755" s="2">
        <v>7316</v>
      </c>
      <c r="G755" s="72"/>
      <c r="H755" s="72">
        <v>42.5</v>
      </c>
      <c r="I755" s="72"/>
      <c r="J755" s="72">
        <v>10.7</v>
      </c>
      <c r="K755" s="21">
        <v>255</v>
      </c>
      <c r="L755" s="21">
        <v>1160</v>
      </c>
      <c r="M755" s="21">
        <v>260</v>
      </c>
      <c r="N755" s="21">
        <v>1570</v>
      </c>
      <c r="O755" s="2"/>
      <c r="P755" s="2"/>
      <c r="Q755" s="197" t="s">
        <v>1212</v>
      </c>
    </row>
    <row r="756" spans="1:17" ht="15" customHeight="1">
      <c r="A756" s="196">
        <v>313</v>
      </c>
      <c r="B756" s="71">
        <v>43842</v>
      </c>
      <c r="C756" s="2" t="s">
        <v>38</v>
      </c>
      <c r="D756" s="2" t="s">
        <v>1213</v>
      </c>
      <c r="E756" s="2"/>
      <c r="F756" s="2">
        <v>314</v>
      </c>
      <c r="G756" s="72"/>
      <c r="H756" s="72">
        <v>42.5</v>
      </c>
      <c r="I756" s="72"/>
      <c r="J756" s="72">
        <v>9.3000000000000007</v>
      </c>
      <c r="K756" s="21">
        <v>240</v>
      </c>
      <c r="L756" s="21">
        <v>1430</v>
      </c>
      <c r="M756" s="21">
        <v>239</v>
      </c>
      <c r="N756" s="21">
        <v>1730</v>
      </c>
      <c r="O756" s="2"/>
      <c r="P756" s="2"/>
      <c r="Q756" s="197" t="s">
        <v>1214</v>
      </c>
    </row>
    <row r="757" spans="1:17" ht="15" customHeight="1">
      <c r="A757" s="196">
        <v>312</v>
      </c>
      <c r="B757" s="71">
        <v>43841</v>
      </c>
      <c r="C757" s="2" t="s">
        <v>37</v>
      </c>
      <c r="D757" s="2" t="s">
        <v>1209</v>
      </c>
      <c r="E757" s="2"/>
      <c r="F757" s="2">
        <v>7716</v>
      </c>
      <c r="G757" s="72"/>
      <c r="H757" s="72">
        <v>42.5</v>
      </c>
      <c r="I757" s="72"/>
      <c r="J757" s="72">
        <v>11.9</v>
      </c>
      <c r="K757" s="21">
        <v>206</v>
      </c>
      <c r="L757" s="21">
        <v>1040</v>
      </c>
      <c r="M757" s="21">
        <v>210</v>
      </c>
      <c r="N757" s="21">
        <v>1400</v>
      </c>
      <c r="O757" s="2"/>
      <c r="P757" s="2"/>
      <c r="Q757" s="197" t="s">
        <v>1211</v>
      </c>
    </row>
    <row r="758" spans="1:17" ht="15" customHeight="1">
      <c r="A758" s="196">
        <v>311</v>
      </c>
      <c r="B758" s="71">
        <v>43841</v>
      </c>
      <c r="C758" s="2" t="s">
        <v>37</v>
      </c>
      <c r="D758" s="2" t="s">
        <v>1055</v>
      </c>
      <c r="E758" s="2"/>
      <c r="F758" s="2">
        <v>7316</v>
      </c>
      <c r="G758" s="72"/>
      <c r="H758" s="72">
        <v>42.5</v>
      </c>
      <c r="I758" s="72"/>
      <c r="J758" s="72">
        <v>11</v>
      </c>
      <c r="K758" s="21">
        <v>255</v>
      </c>
      <c r="L758" s="21">
        <v>1130</v>
      </c>
      <c r="M758" s="21">
        <v>260</v>
      </c>
      <c r="N758" s="21">
        <v>1485</v>
      </c>
      <c r="O758" s="2"/>
      <c r="P758" s="2"/>
      <c r="Q758" s="197" t="s">
        <v>149</v>
      </c>
    </row>
    <row r="759" spans="1:17" ht="15" customHeight="1">
      <c r="A759" s="196">
        <v>310</v>
      </c>
      <c r="B759" s="71">
        <v>43840</v>
      </c>
      <c r="C759" s="2" t="s">
        <v>105</v>
      </c>
      <c r="D759" s="2" t="s">
        <v>1209</v>
      </c>
      <c r="E759" s="2"/>
      <c r="F759" s="2">
        <v>7716</v>
      </c>
      <c r="G759" s="72"/>
      <c r="H759" s="72">
        <v>42.5</v>
      </c>
      <c r="I759" s="72"/>
      <c r="J759" s="72">
        <v>12.5</v>
      </c>
      <c r="K759" s="21">
        <v>204</v>
      </c>
      <c r="L759" s="21">
        <v>1055</v>
      </c>
      <c r="M759" s="21">
        <v>209</v>
      </c>
      <c r="N759" s="21">
        <v>1370</v>
      </c>
      <c r="O759" s="2"/>
      <c r="P759" s="2"/>
      <c r="Q759" s="197" t="s">
        <v>1173</v>
      </c>
    </row>
    <row r="760" spans="1:17" ht="15" customHeight="1">
      <c r="A760" s="196">
        <v>309</v>
      </c>
      <c r="B760" s="71">
        <v>43840</v>
      </c>
      <c r="C760" s="2" t="s">
        <v>37</v>
      </c>
      <c r="D760" s="2" t="s">
        <v>1209</v>
      </c>
      <c r="E760" s="2"/>
      <c r="F760" s="2">
        <v>7716</v>
      </c>
      <c r="G760" s="72"/>
      <c r="H760" s="72">
        <v>42.5</v>
      </c>
      <c r="I760" s="72"/>
      <c r="J760" s="72">
        <v>11.9</v>
      </c>
      <c r="K760" s="21">
        <v>205</v>
      </c>
      <c r="L760" s="21">
        <v>1040</v>
      </c>
      <c r="M760" s="21">
        <v>210</v>
      </c>
      <c r="N760" s="21">
        <v>1400</v>
      </c>
      <c r="O760" s="2"/>
      <c r="P760" s="2"/>
      <c r="Q760" s="197" t="s">
        <v>1160</v>
      </c>
    </row>
    <row r="761" spans="1:17" ht="15" customHeight="1">
      <c r="A761" s="196">
        <v>308</v>
      </c>
      <c r="B761" s="71">
        <v>43840</v>
      </c>
      <c r="C761" s="2" t="s">
        <v>37</v>
      </c>
      <c r="D761" s="2" t="s">
        <v>1100</v>
      </c>
      <c r="E761" s="2"/>
      <c r="F761" s="2">
        <v>7199</v>
      </c>
      <c r="G761" s="72"/>
      <c r="H761" s="72">
        <v>35</v>
      </c>
      <c r="I761" s="72"/>
      <c r="J761" s="72">
        <v>6.5</v>
      </c>
      <c r="K761" s="21">
        <v>282</v>
      </c>
      <c r="L761" s="21">
        <v>1550</v>
      </c>
      <c r="M761" s="21">
        <v>284</v>
      </c>
      <c r="N761" s="21">
        <v>2010</v>
      </c>
      <c r="O761" s="2"/>
      <c r="P761" s="2"/>
      <c r="Q761" s="197" t="s">
        <v>1210</v>
      </c>
    </row>
    <row r="762" spans="1:17" ht="15" customHeight="1">
      <c r="A762" s="196">
        <v>307</v>
      </c>
      <c r="B762" s="71">
        <v>43839</v>
      </c>
      <c r="C762" s="2" t="s">
        <v>37</v>
      </c>
      <c r="D762" s="2" t="s">
        <v>1209</v>
      </c>
      <c r="E762" s="2"/>
      <c r="F762" s="2">
        <v>7716</v>
      </c>
      <c r="G762" s="72"/>
      <c r="H762" s="72">
        <v>42.5</v>
      </c>
      <c r="I762" s="72"/>
      <c r="J762" s="72">
        <v>12.25</v>
      </c>
      <c r="K762" s="21">
        <v>203</v>
      </c>
      <c r="L762" s="21">
        <v>1040</v>
      </c>
      <c r="M762" s="21">
        <v>209</v>
      </c>
      <c r="N762" s="21">
        <v>1351</v>
      </c>
      <c r="O762" s="2"/>
      <c r="P762" s="2"/>
      <c r="Q762" s="197" t="s">
        <v>1173</v>
      </c>
    </row>
    <row r="763" spans="1:17" ht="15" customHeight="1">
      <c r="A763" s="196">
        <v>306</v>
      </c>
      <c r="B763" s="71">
        <v>43838</v>
      </c>
      <c r="C763" s="2" t="s">
        <v>37</v>
      </c>
      <c r="D763" s="2" t="s">
        <v>1194</v>
      </c>
      <c r="E763" s="2"/>
      <c r="F763" s="2">
        <v>314</v>
      </c>
      <c r="G763" s="72"/>
      <c r="H763" s="72">
        <v>42.5</v>
      </c>
      <c r="I763" s="72"/>
      <c r="J763" s="72">
        <v>8.5</v>
      </c>
      <c r="K763" s="21">
        <v>248</v>
      </c>
      <c r="L763" s="21">
        <v>1600</v>
      </c>
      <c r="M763" s="21">
        <v>249</v>
      </c>
      <c r="N763" s="21">
        <v>1950</v>
      </c>
      <c r="O763" s="2"/>
      <c r="P763" s="2"/>
      <c r="Q763" s="197" t="s">
        <v>176</v>
      </c>
    </row>
    <row r="764" spans="1:17" ht="15" customHeight="1">
      <c r="A764" s="196">
        <v>305</v>
      </c>
      <c r="B764" s="71">
        <v>43838</v>
      </c>
      <c r="C764" s="2" t="s">
        <v>37</v>
      </c>
      <c r="D764" s="2" t="s">
        <v>1100</v>
      </c>
      <c r="E764" s="2"/>
      <c r="F764" s="2">
        <v>7199</v>
      </c>
      <c r="G764" s="72"/>
      <c r="H764" s="72">
        <v>35</v>
      </c>
      <c r="I764" s="72"/>
      <c r="J764" s="72">
        <v>6.45</v>
      </c>
      <c r="K764" s="21">
        <v>283</v>
      </c>
      <c r="L764" s="21">
        <v>1565</v>
      </c>
      <c r="M764" s="21">
        <v>286</v>
      </c>
      <c r="N764" s="21">
        <v>2040</v>
      </c>
      <c r="O764" s="2"/>
      <c r="P764" s="2"/>
      <c r="Q764" s="197" t="s">
        <v>191</v>
      </c>
    </row>
    <row r="765" spans="1:17" ht="15" customHeight="1">
      <c r="A765" s="196">
        <v>304</v>
      </c>
      <c r="B765" s="71">
        <v>43838</v>
      </c>
      <c r="C765" s="2" t="s">
        <v>38</v>
      </c>
      <c r="D765" s="2" t="s">
        <v>1208</v>
      </c>
      <c r="E765" s="2"/>
      <c r="F765" s="2">
        <v>7316</v>
      </c>
      <c r="G765" s="72"/>
      <c r="H765" s="72">
        <v>42.5</v>
      </c>
      <c r="I765" s="72"/>
      <c r="J765" s="72">
        <v>10</v>
      </c>
      <c r="K765" s="21">
        <v>233</v>
      </c>
      <c r="L765" s="21">
        <v>1260</v>
      </c>
      <c r="M765" s="21">
        <v>240</v>
      </c>
      <c r="N765" s="21">
        <v>1660</v>
      </c>
      <c r="O765" s="2"/>
      <c r="P765" s="2"/>
      <c r="Q765" s="197" t="s">
        <v>157</v>
      </c>
    </row>
    <row r="766" spans="1:17" ht="15" customHeight="1">
      <c r="A766" s="196">
        <v>303</v>
      </c>
      <c r="B766" s="71">
        <v>43837</v>
      </c>
      <c r="C766" s="2" t="s">
        <v>105</v>
      </c>
      <c r="D766" s="2" t="s">
        <v>1193</v>
      </c>
      <c r="E766" s="2"/>
      <c r="F766" s="2">
        <v>314</v>
      </c>
      <c r="G766" s="72"/>
      <c r="H766" s="72">
        <v>35</v>
      </c>
      <c r="I766" s="72"/>
      <c r="J766" s="72">
        <v>10.7</v>
      </c>
      <c r="K766" s="21">
        <v>192.5</v>
      </c>
      <c r="L766" s="21">
        <v>900</v>
      </c>
      <c r="M766" s="21">
        <v>195</v>
      </c>
      <c r="N766" s="21"/>
      <c r="O766" s="2"/>
      <c r="P766" s="2"/>
      <c r="Q766" s="197" t="s">
        <v>1206</v>
      </c>
    </row>
    <row r="767" spans="1:17" ht="15" customHeight="1">
      <c r="A767" s="196">
        <v>302</v>
      </c>
      <c r="B767" s="71">
        <v>43837</v>
      </c>
      <c r="C767" s="2" t="s">
        <v>105</v>
      </c>
      <c r="D767" s="2" t="s">
        <v>1203</v>
      </c>
      <c r="E767" s="2"/>
      <c r="F767" s="2">
        <v>314</v>
      </c>
      <c r="G767" s="72"/>
      <c r="H767" s="72">
        <v>35</v>
      </c>
      <c r="I767" s="72"/>
      <c r="J767" s="72">
        <v>10.5</v>
      </c>
      <c r="K767" s="21">
        <v>193</v>
      </c>
      <c r="L767" s="21">
        <v>980</v>
      </c>
      <c r="M767" s="21">
        <v>195</v>
      </c>
      <c r="N767" s="21"/>
      <c r="O767" s="2"/>
      <c r="P767" s="2"/>
      <c r="Q767" s="197" t="s">
        <v>1207</v>
      </c>
    </row>
    <row r="768" spans="1:17" ht="15" customHeight="1">
      <c r="A768" s="196">
        <v>301</v>
      </c>
      <c r="B768" s="206">
        <v>43836</v>
      </c>
      <c r="C768" s="2" t="s">
        <v>105</v>
      </c>
      <c r="D768" s="2" t="s">
        <v>1194</v>
      </c>
      <c r="E768" s="2"/>
      <c r="F768" s="2">
        <v>314</v>
      </c>
      <c r="G768" s="72"/>
      <c r="H768" s="72">
        <v>42.5</v>
      </c>
      <c r="I768" s="72"/>
      <c r="J768" s="72">
        <v>10.5</v>
      </c>
      <c r="K768" s="21">
        <v>247</v>
      </c>
      <c r="L768" s="21">
        <v>1530</v>
      </c>
      <c r="M768" s="21">
        <v>248</v>
      </c>
      <c r="N768" s="21"/>
      <c r="O768" s="2"/>
      <c r="P768" s="2"/>
      <c r="Q768" s="197" t="s">
        <v>1775</v>
      </c>
    </row>
    <row r="769" spans="1:17" ht="15" customHeight="1">
      <c r="A769" s="196">
        <v>300</v>
      </c>
      <c r="B769" s="206">
        <v>43836</v>
      </c>
      <c r="C769" s="2" t="s">
        <v>105</v>
      </c>
      <c r="D769" s="2" t="s">
        <v>1193</v>
      </c>
      <c r="E769" s="2"/>
      <c r="F769" s="2">
        <v>314</v>
      </c>
      <c r="G769" s="72"/>
      <c r="H769" s="72">
        <v>35</v>
      </c>
      <c r="I769" s="72"/>
      <c r="J769" s="72">
        <v>11.5</v>
      </c>
      <c r="K769" s="21">
        <v>192</v>
      </c>
      <c r="L769" s="21">
        <v>900</v>
      </c>
      <c r="M769" s="21">
        <v>193</v>
      </c>
      <c r="N769" s="21"/>
      <c r="O769" s="2"/>
      <c r="P769" s="2"/>
      <c r="Q769" s="197" t="s">
        <v>1775</v>
      </c>
    </row>
    <row r="770" spans="1:17" ht="15" customHeight="1">
      <c r="A770" s="196">
        <v>299</v>
      </c>
      <c r="B770" s="206">
        <v>43836</v>
      </c>
      <c r="C770" s="2" t="s">
        <v>105</v>
      </c>
      <c r="D770" s="2" t="s">
        <v>1203</v>
      </c>
      <c r="E770" s="2"/>
      <c r="F770" s="2">
        <v>314</v>
      </c>
      <c r="G770" s="72"/>
      <c r="H770" s="72">
        <v>35</v>
      </c>
      <c r="I770" s="72"/>
      <c r="J770" s="72">
        <v>11.4</v>
      </c>
      <c r="K770" s="21">
        <v>192</v>
      </c>
      <c r="L770" s="21">
        <v>990</v>
      </c>
      <c r="M770" s="21">
        <v>194</v>
      </c>
      <c r="N770" s="21"/>
      <c r="O770" s="2"/>
      <c r="P770" s="2"/>
      <c r="Q770" s="197" t="s">
        <v>1775</v>
      </c>
    </row>
    <row r="771" spans="1:17" ht="15" customHeight="1">
      <c r="A771" s="196">
        <v>298</v>
      </c>
      <c r="B771" s="206">
        <v>43836</v>
      </c>
      <c r="C771" s="2" t="s">
        <v>37</v>
      </c>
      <c r="D771" s="2" t="s">
        <v>1203</v>
      </c>
      <c r="E771" s="2"/>
      <c r="F771" s="2">
        <v>314</v>
      </c>
      <c r="G771" s="72"/>
      <c r="H771" s="72">
        <v>35</v>
      </c>
      <c r="I771" s="72"/>
      <c r="J771" s="72">
        <v>10.5</v>
      </c>
      <c r="K771" s="21">
        <v>189</v>
      </c>
      <c r="L771" s="21">
        <v>980</v>
      </c>
      <c r="M771" s="21">
        <v>192</v>
      </c>
      <c r="N771" s="21">
        <v>1225</v>
      </c>
      <c r="O771" s="2"/>
      <c r="P771" s="2"/>
      <c r="Q771" s="197" t="s">
        <v>1204</v>
      </c>
    </row>
    <row r="772" spans="1:17" ht="15" customHeight="1">
      <c r="A772" s="196">
        <v>297</v>
      </c>
      <c r="B772" s="206">
        <v>43836</v>
      </c>
      <c r="C772" s="2" t="s">
        <v>37</v>
      </c>
      <c r="D772" s="2" t="s">
        <v>1193</v>
      </c>
      <c r="E772" s="2"/>
      <c r="F772" s="2">
        <v>314</v>
      </c>
      <c r="G772" s="72"/>
      <c r="H772" s="72">
        <v>35</v>
      </c>
      <c r="I772" s="72"/>
      <c r="J772" s="72">
        <v>10.1</v>
      </c>
      <c r="K772" s="21">
        <v>190</v>
      </c>
      <c r="L772" s="21">
        <v>870</v>
      </c>
      <c r="M772" s="21">
        <v>192</v>
      </c>
      <c r="N772" s="21"/>
      <c r="O772" s="2"/>
      <c r="P772" s="2"/>
      <c r="Q772" s="197" t="s">
        <v>176</v>
      </c>
    </row>
    <row r="773" spans="1:17" ht="15" customHeight="1">
      <c r="A773" s="196">
        <v>296</v>
      </c>
      <c r="B773" s="206">
        <v>43836</v>
      </c>
      <c r="C773" s="2" t="s">
        <v>37</v>
      </c>
      <c r="D773" s="2" t="s">
        <v>1194</v>
      </c>
      <c r="E773" s="2"/>
      <c r="F773" s="2">
        <v>314</v>
      </c>
      <c r="G773" s="72"/>
      <c r="H773" s="72">
        <v>42.5</v>
      </c>
      <c r="I773" s="72"/>
      <c r="J773" s="72">
        <v>8.6999999999999993</v>
      </c>
      <c r="K773" s="21">
        <v>246</v>
      </c>
      <c r="L773" s="21">
        <v>1540</v>
      </c>
      <c r="M773" s="21">
        <v>248</v>
      </c>
      <c r="N773" s="21">
        <v>1890</v>
      </c>
      <c r="O773" s="2"/>
      <c r="P773" s="2"/>
      <c r="Q773" s="197" t="s">
        <v>1205</v>
      </c>
    </row>
    <row r="774" spans="1:17" ht="15" customHeight="1">
      <c r="A774" s="196">
        <v>295</v>
      </c>
      <c r="B774" s="71">
        <v>43834</v>
      </c>
      <c r="C774" s="2" t="s">
        <v>105</v>
      </c>
      <c r="D774" s="2" t="s">
        <v>1201</v>
      </c>
      <c r="E774" s="2"/>
      <c r="F774" s="2">
        <v>7316</v>
      </c>
      <c r="G774" s="72"/>
      <c r="H774" s="72">
        <v>42.5</v>
      </c>
      <c r="I774" s="72"/>
      <c r="J774" s="72">
        <v>10.35</v>
      </c>
      <c r="K774" s="21">
        <v>228</v>
      </c>
      <c r="L774" s="21">
        <v>1205</v>
      </c>
      <c r="M774" s="21">
        <v>239</v>
      </c>
      <c r="N774" s="21">
        <v>1730</v>
      </c>
      <c r="O774" s="2"/>
      <c r="P774" s="2"/>
      <c r="Q774" s="197" t="s">
        <v>1202</v>
      </c>
    </row>
    <row r="775" spans="1:17" ht="15" customHeight="1">
      <c r="A775" s="196">
        <v>294</v>
      </c>
      <c r="B775" s="71">
        <v>43834</v>
      </c>
      <c r="C775" s="2" t="s">
        <v>37</v>
      </c>
      <c r="D775" s="2" t="s">
        <v>1193</v>
      </c>
      <c r="E775" s="2"/>
      <c r="F775" s="2">
        <v>314</v>
      </c>
      <c r="G775" s="72"/>
      <c r="H775" s="72">
        <v>35</v>
      </c>
      <c r="I775" s="72"/>
      <c r="J775" s="72">
        <v>11.3</v>
      </c>
      <c r="K775" s="21">
        <v>192</v>
      </c>
      <c r="L775" s="21">
        <v>915</v>
      </c>
      <c r="M775" s="21">
        <v>195</v>
      </c>
      <c r="N775" s="21">
        <v>1160</v>
      </c>
      <c r="O775" s="2"/>
      <c r="P775" s="2"/>
      <c r="Q775" s="197"/>
    </row>
    <row r="776" spans="1:17" ht="15" customHeight="1">
      <c r="A776" s="196">
        <v>293</v>
      </c>
      <c r="B776" s="71">
        <v>43834</v>
      </c>
      <c r="C776" s="2" t="s">
        <v>37</v>
      </c>
      <c r="D776" s="2" t="s">
        <v>1203</v>
      </c>
      <c r="E776" s="2"/>
      <c r="F776" s="2">
        <v>314</v>
      </c>
      <c r="G776" s="72"/>
      <c r="H776" s="72">
        <v>35</v>
      </c>
      <c r="I776" s="72"/>
      <c r="J776" s="72">
        <v>11.6</v>
      </c>
      <c r="K776" s="21">
        <v>191</v>
      </c>
      <c r="L776" s="21">
        <v>890</v>
      </c>
      <c r="M776" s="21">
        <v>194</v>
      </c>
      <c r="N776" s="21"/>
      <c r="O776" s="2"/>
      <c r="P776" s="2"/>
      <c r="Q776" s="197" t="s">
        <v>176</v>
      </c>
    </row>
    <row r="777" spans="1:17" ht="15" customHeight="1">
      <c r="A777" s="196">
        <v>292</v>
      </c>
      <c r="B777" s="71">
        <v>43834</v>
      </c>
      <c r="C777" s="2" t="s">
        <v>37</v>
      </c>
      <c r="D777" s="2" t="s">
        <v>1194</v>
      </c>
      <c r="E777" s="2"/>
      <c r="F777" s="2">
        <v>314</v>
      </c>
      <c r="G777" s="72"/>
      <c r="H777" s="72">
        <v>42.5</v>
      </c>
      <c r="I777" s="72"/>
      <c r="J777" s="72">
        <v>8.8000000000000007</v>
      </c>
      <c r="K777" s="21">
        <v>247</v>
      </c>
      <c r="L777" s="21">
        <v>1500</v>
      </c>
      <c r="M777" s="21">
        <v>248</v>
      </c>
      <c r="N777" s="21">
        <v>1760</v>
      </c>
      <c r="O777" s="2"/>
      <c r="P777" s="2"/>
      <c r="Q777" s="197"/>
    </row>
    <row r="778" spans="1:17" ht="15" customHeight="1">
      <c r="A778" s="196">
        <v>291</v>
      </c>
      <c r="B778" s="71">
        <v>43833</v>
      </c>
      <c r="C778" s="2" t="s">
        <v>37</v>
      </c>
      <c r="D778" s="2" t="s">
        <v>1201</v>
      </c>
      <c r="E778" s="2"/>
      <c r="F778" s="2">
        <v>7316</v>
      </c>
      <c r="G778" s="72"/>
      <c r="H778" s="72">
        <v>42.5</v>
      </c>
      <c r="I778" s="72"/>
      <c r="J778" s="72">
        <v>10.35</v>
      </c>
      <c r="K778" s="21">
        <v>231</v>
      </c>
      <c r="L778" s="21">
        <v>1260</v>
      </c>
      <c r="M778" s="21">
        <v>240</v>
      </c>
      <c r="N778" s="21">
        <v>1720</v>
      </c>
      <c r="O778" s="2"/>
      <c r="P778" s="2"/>
      <c r="Q778" s="197" t="s">
        <v>157</v>
      </c>
    </row>
    <row r="779" spans="1:17" ht="15" customHeight="1">
      <c r="A779" s="196">
        <v>290</v>
      </c>
      <c r="B779" s="71">
        <v>43833</v>
      </c>
      <c r="C779" s="2" t="s">
        <v>38</v>
      </c>
      <c r="D779" s="2" t="s">
        <v>1073</v>
      </c>
      <c r="E779" s="2"/>
      <c r="F779" s="2">
        <v>7316</v>
      </c>
      <c r="G779" s="72"/>
      <c r="H779" s="72">
        <v>35</v>
      </c>
      <c r="I779" s="72"/>
      <c r="J779" s="72">
        <v>11.5</v>
      </c>
      <c r="K779" s="21">
        <v>184</v>
      </c>
      <c r="L779" s="21">
        <v>880</v>
      </c>
      <c r="M779" s="21">
        <v>190</v>
      </c>
      <c r="N779" s="21"/>
      <c r="O779" s="2"/>
      <c r="P779" s="2"/>
      <c r="Q779" s="197" t="s">
        <v>157</v>
      </c>
    </row>
    <row r="780" spans="1:17" ht="15" customHeight="1">
      <c r="A780" s="196">
        <v>289</v>
      </c>
      <c r="B780" s="71">
        <v>43832</v>
      </c>
      <c r="C780" s="2" t="s">
        <v>37</v>
      </c>
      <c r="D780" s="2" t="s">
        <v>1200</v>
      </c>
      <c r="E780" s="2"/>
      <c r="F780" s="2">
        <v>7316</v>
      </c>
      <c r="G780" s="72"/>
      <c r="H780" s="72">
        <v>35</v>
      </c>
      <c r="I780" s="72"/>
      <c r="J780" s="72">
        <v>12.83</v>
      </c>
      <c r="K780" s="21">
        <v>193</v>
      </c>
      <c r="L780" s="21">
        <v>750</v>
      </c>
      <c r="M780" s="21">
        <v>200</v>
      </c>
      <c r="N780" s="21"/>
      <c r="O780" s="2"/>
      <c r="P780" s="2"/>
      <c r="Q780" s="197" t="s">
        <v>157</v>
      </c>
    </row>
    <row r="781" spans="1:17" ht="15" customHeight="1">
      <c r="A781" s="196">
        <v>288</v>
      </c>
      <c r="B781" s="71">
        <v>43832</v>
      </c>
      <c r="C781" s="2" t="s">
        <v>38</v>
      </c>
      <c r="D781" s="2" t="s">
        <v>1200</v>
      </c>
      <c r="E781" s="2"/>
      <c r="F781" s="2">
        <v>7316</v>
      </c>
      <c r="G781" s="72"/>
      <c r="H781" s="72">
        <v>35</v>
      </c>
      <c r="I781" s="72"/>
      <c r="J781" s="72">
        <v>12.65</v>
      </c>
      <c r="K781" s="21">
        <v>194</v>
      </c>
      <c r="L781" s="21">
        <v>790</v>
      </c>
      <c r="M781" s="21">
        <v>201</v>
      </c>
      <c r="N781" s="21">
        <v>1035</v>
      </c>
      <c r="O781" s="2"/>
      <c r="P781" s="2"/>
      <c r="Q781" s="197" t="s">
        <v>157</v>
      </c>
    </row>
    <row r="782" spans="1:17" ht="15" customHeight="1">
      <c r="A782" s="196">
        <v>287</v>
      </c>
      <c r="B782" s="71">
        <v>43820</v>
      </c>
      <c r="C782" s="2" t="s">
        <v>105</v>
      </c>
      <c r="D782" s="2" t="s">
        <v>1133</v>
      </c>
      <c r="E782" s="2"/>
      <c r="F782" s="2">
        <v>7316</v>
      </c>
      <c r="G782" s="72"/>
      <c r="H782" s="72">
        <v>30</v>
      </c>
      <c r="I782" s="72"/>
      <c r="J782" s="72">
        <v>10.45</v>
      </c>
      <c r="K782" s="21">
        <v>176</v>
      </c>
      <c r="L782" s="21">
        <v>825</v>
      </c>
      <c r="M782" s="21">
        <v>785</v>
      </c>
      <c r="N782" s="21">
        <v>1160</v>
      </c>
      <c r="O782" s="2"/>
      <c r="P782" s="2"/>
      <c r="Q782" s="197" t="s">
        <v>1199</v>
      </c>
    </row>
    <row r="783" spans="1:17" ht="15" customHeight="1">
      <c r="A783" s="196">
        <v>286</v>
      </c>
      <c r="B783" s="71">
        <v>43820</v>
      </c>
      <c r="C783" s="2" t="s">
        <v>37</v>
      </c>
      <c r="D783" s="2" t="s">
        <v>1133</v>
      </c>
      <c r="E783" s="2"/>
      <c r="F783" s="2">
        <v>7316</v>
      </c>
      <c r="G783" s="72"/>
      <c r="H783" s="72">
        <v>30</v>
      </c>
      <c r="I783" s="72"/>
      <c r="J783" s="72">
        <v>10.5</v>
      </c>
      <c r="K783" s="21">
        <v>178</v>
      </c>
      <c r="L783" s="21">
        <v>830</v>
      </c>
      <c r="M783" s="21">
        <v>185</v>
      </c>
      <c r="N783" s="21">
        <v>1140</v>
      </c>
      <c r="O783" s="2"/>
      <c r="P783" s="2"/>
      <c r="Q783" s="197" t="s">
        <v>191</v>
      </c>
    </row>
    <row r="784" spans="1:17" ht="15" customHeight="1">
      <c r="A784" s="196">
        <v>285</v>
      </c>
      <c r="B784" s="71">
        <v>43820</v>
      </c>
      <c r="C784" s="2" t="s">
        <v>37</v>
      </c>
      <c r="D784" s="2" t="s">
        <v>1133</v>
      </c>
      <c r="E784" s="2"/>
      <c r="F784" s="2">
        <v>7316</v>
      </c>
      <c r="G784" s="72"/>
      <c r="H784" s="72">
        <v>30</v>
      </c>
      <c r="I784" s="72"/>
      <c r="J784" s="72">
        <v>10.1</v>
      </c>
      <c r="K784" s="21">
        <v>178</v>
      </c>
      <c r="L784" s="21">
        <v>825</v>
      </c>
      <c r="M784" s="21">
        <v>185</v>
      </c>
      <c r="N784" s="21">
        <v>1135</v>
      </c>
      <c r="O784" s="2"/>
      <c r="P784" s="2"/>
      <c r="Q784" s="197" t="s">
        <v>191</v>
      </c>
    </row>
    <row r="785" spans="1:17" ht="15" customHeight="1">
      <c r="A785" s="196">
        <v>284</v>
      </c>
      <c r="B785" s="71">
        <v>43817</v>
      </c>
      <c r="C785" s="2" t="s">
        <v>105</v>
      </c>
      <c r="D785" s="2" t="s">
        <v>1193</v>
      </c>
      <c r="E785" s="2"/>
      <c r="F785" s="2">
        <v>314</v>
      </c>
      <c r="G785" s="72"/>
      <c r="H785" s="72">
        <v>30</v>
      </c>
      <c r="I785" s="72"/>
      <c r="J785" s="72">
        <v>9.8000000000000007</v>
      </c>
      <c r="K785" s="21">
        <v>192</v>
      </c>
      <c r="L785" s="21">
        <v>930</v>
      </c>
      <c r="M785" s="21">
        <v>195</v>
      </c>
      <c r="N785" s="21">
        <v>1160</v>
      </c>
      <c r="O785" s="2"/>
      <c r="P785" s="2"/>
      <c r="Q785" s="197" t="s">
        <v>1155</v>
      </c>
    </row>
    <row r="786" spans="1:17" ht="15" customHeight="1">
      <c r="A786" s="196">
        <v>283</v>
      </c>
      <c r="B786" s="71">
        <v>43817</v>
      </c>
      <c r="C786" s="2" t="s">
        <v>105</v>
      </c>
      <c r="D786" s="2" t="s">
        <v>1194</v>
      </c>
      <c r="E786" s="2"/>
      <c r="F786" s="2">
        <v>314</v>
      </c>
      <c r="G786" s="72"/>
      <c r="H786" s="72">
        <v>42.5</v>
      </c>
      <c r="I786" s="72"/>
      <c r="J786" s="72">
        <v>8.6999999999999993</v>
      </c>
      <c r="K786" s="21">
        <v>249</v>
      </c>
      <c r="L786" s="21">
        <v>1500</v>
      </c>
      <c r="M786" s="21">
        <v>250</v>
      </c>
      <c r="N786" s="21">
        <v>1760</v>
      </c>
      <c r="O786" s="2"/>
      <c r="P786" s="2"/>
      <c r="Q786" s="197" t="s">
        <v>1199</v>
      </c>
    </row>
    <row r="787" spans="1:17" ht="15" customHeight="1">
      <c r="A787" s="196">
        <v>282</v>
      </c>
      <c r="B787" s="71">
        <v>43815</v>
      </c>
      <c r="C787" s="2" t="s">
        <v>105</v>
      </c>
      <c r="D787" s="2" t="s">
        <v>1194</v>
      </c>
      <c r="E787" s="2"/>
      <c r="F787" s="2">
        <v>314</v>
      </c>
      <c r="G787" s="72"/>
      <c r="H787" s="72">
        <v>42.5</v>
      </c>
      <c r="I787" s="72"/>
      <c r="J787" s="72">
        <v>8.67</v>
      </c>
      <c r="K787" s="21">
        <v>248</v>
      </c>
      <c r="L787" s="21">
        <v>1490</v>
      </c>
      <c r="M787" s="21">
        <v>250</v>
      </c>
      <c r="N787" s="21">
        <v>1735</v>
      </c>
      <c r="O787" s="2"/>
      <c r="P787" s="2"/>
      <c r="Q787" s="197" t="s">
        <v>1179</v>
      </c>
    </row>
    <row r="788" spans="1:17" ht="15" customHeight="1">
      <c r="A788" s="196">
        <v>281</v>
      </c>
      <c r="B788" s="71">
        <v>43815</v>
      </c>
      <c r="C788" s="2" t="s">
        <v>105</v>
      </c>
      <c r="D788" s="2" t="s">
        <v>1193</v>
      </c>
      <c r="E788" s="2"/>
      <c r="F788" s="2">
        <v>314</v>
      </c>
      <c r="G788" s="72"/>
      <c r="H788" s="72">
        <v>30</v>
      </c>
      <c r="I788" s="72"/>
      <c r="J788" s="72">
        <v>10</v>
      </c>
      <c r="K788" s="21">
        <v>192</v>
      </c>
      <c r="L788" s="21">
        <v>920</v>
      </c>
      <c r="M788" s="21">
        <v>195</v>
      </c>
      <c r="N788" s="21">
        <v>1165</v>
      </c>
      <c r="O788" s="2"/>
      <c r="P788" s="2"/>
      <c r="Q788" s="197" t="s">
        <v>1155</v>
      </c>
    </row>
    <row r="789" spans="1:17" ht="15" customHeight="1">
      <c r="A789" s="196">
        <v>280</v>
      </c>
      <c r="B789" s="71">
        <v>43814</v>
      </c>
      <c r="C789" s="2" t="s">
        <v>105</v>
      </c>
      <c r="D789" s="2" t="s">
        <v>1194</v>
      </c>
      <c r="E789" s="2"/>
      <c r="F789" s="2">
        <v>314</v>
      </c>
      <c r="G789" s="72"/>
      <c r="H789" s="72">
        <v>42.5</v>
      </c>
      <c r="I789" s="72"/>
      <c r="J789" s="72">
        <v>8.8699999999999992</v>
      </c>
      <c r="K789" s="21">
        <v>248</v>
      </c>
      <c r="L789" s="21">
        <v>1480</v>
      </c>
      <c r="M789" s="21">
        <v>250</v>
      </c>
      <c r="N789" s="21">
        <v>1787</v>
      </c>
      <c r="O789" s="2"/>
      <c r="P789" s="2"/>
      <c r="Q789" s="197" t="s">
        <v>1195</v>
      </c>
    </row>
    <row r="790" spans="1:17" ht="15" customHeight="1">
      <c r="A790" s="196">
        <v>279</v>
      </c>
      <c r="B790" s="71">
        <v>43814</v>
      </c>
      <c r="C790" s="2" t="s">
        <v>105</v>
      </c>
      <c r="D790" s="2" t="s">
        <v>1193</v>
      </c>
      <c r="E790" s="2"/>
      <c r="F790" s="2">
        <v>314</v>
      </c>
      <c r="G790" s="72"/>
      <c r="H790" s="72">
        <v>30</v>
      </c>
      <c r="I790" s="72"/>
      <c r="J790" s="72">
        <v>9.6199999999999992</v>
      </c>
      <c r="K790" s="21">
        <v>192</v>
      </c>
      <c r="L790" s="21">
        <v>908</v>
      </c>
      <c r="M790" s="21">
        <v>195</v>
      </c>
      <c r="N790" s="21">
        <v>1127</v>
      </c>
      <c r="O790" s="2"/>
      <c r="P790" s="2"/>
      <c r="Q790" s="197" t="s">
        <v>1195</v>
      </c>
    </row>
    <row r="791" spans="1:17" ht="15" customHeight="1">
      <c r="A791" s="196">
        <v>278</v>
      </c>
      <c r="B791" s="71">
        <v>43814</v>
      </c>
      <c r="C791" s="2" t="s">
        <v>105</v>
      </c>
      <c r="D791" s="2" t="s">
        <v>1131</v>
      </c>
      <c r="E791" s="2"/>
      <c r="F791" s="2">
        <v>7316</v>
      </c>
      <c r="G791" s="72"/>
      <c r="H791" s="72">
        <v>35</v>
      </c>
      <c r="I791" s="72"/>
      <c r="J791" s="72">
        <v>11.5</v>
      </c>
      <c r="K791" s="21">
        <v>187</v>
      </c>
      <c r="L791" s="21">
        <v>855</v>
      </c>
      <c r="M791" s="21">
        <v>195</v>
      </c>
      <c r="N791" s="21">
        <v>1189</v>
      </c>
      <c r="O791" s="2"/>
      <c r="P791" s="2"/>
      <c r="Q791" s="197" t="s">
        <v>1196</v>
      </c>
    </row>
    <row r="792" spans="1:17" ht="15" customHeight="1">
      <c r="A792" s="196">
        <v>277</v>
      </c>
      <c r="B792" s="71">
        <v>43814</v>
      </c>
      <c r="C792" s="2" t="s">
        <v>37</v>
      </c>
      <c r="D792" s="2" t="s">
        <v>1194</v>
      </c>
      <c r="E792" s="2"/>
      <c r="F792" s="2">
        <v>314</v>
      </c>
      <c r="G792" s="72"/>
      <c r="H792" s="72">
        <v>42.5</v>
      </c>
      <c r="I792" s="72"/>
      <c r="J792" s="72">
        <v>8.6999999999999993</v>
      </c>
      <c r="K792" s="21">
        <v>249</v>
      </c>
      <c r="L792" s="21">
        <v>1510</v>
      </c>
      <c r="M792" s="21">
        <v>250</v>
      </c>
      <c r="N792" s="21">
        <v>1785</v>
      </c>
      <c r="O792" s="2"/>
      <c r="P792" s="2"/>
      <c r="Q792" s="197" t="s">
        <v>1197</v>
      </c>
    </row>
    <row r="793" spans="1:17" ht="15" customHeight="1">
      <c r="A793" s="196">
        <v>276</v>
      </c>
      <c r="B793" s="71">
        <v>43814</v>
      </c>
      <c r="C793" s="2" t="s">
        <v>37</v>
      </c>
      <c r="D793" s="2" t="s">
        <v>1193</v>
      </c>
      <c r="E793" s="2"/>
      <c r="F793" s="2">
        <v>314</v>
      </c>
      <c r="G793" s="72"/>
      <c r="H793" s="72">
        <v>30</v>
      </c>
      <c r="I793" s="72"/>
      <c r="J793" s="72">
        <v>9.5</v>
      </c>
      <c r="K793" s="21">
        <v>192</v>
      </c>
      <c r="L793" s="21">
        <v>910</v>
      </c>
      <c r="M793" s="21">
        <v>195</v>
      </c>
      <c r="N793" s="21">
        <v>1140</v>
      </c>
      <c r="O793" s="2"/>
      <c r="P793" s="2"/>
      <c r="Q793" s="197" t="s">
        <v>176</v>
      </c>
    </row>
    <row r="794" spans="1:17" ht="15" customHeight="1">
      <c r="A794" s="196">
        <v>275</v>
      </c>
      <c r="B794" s="71">
        <v>43814</v>
      </c>
      <c r="C794" s="2" t="s">
        <v>38</v>
      </c>
      <c r="D794" s="2" t="s">
        <v>1193</v>
      </c>
      <c r="E794" s="2"/>
      <c r="F794" s="2">
        <v>314</v>
      </c>
      <c r="G794" s="72"/>
      <c r="H794" s="72">
        <v>30</v>
      </c>
      <c r="I794" s="72"/>
      <c r="J794" s="72">
        <v>9.6999999999999993</v>
      </c>
      <c r="K794" s="21">
        <v>193</v>
      </c>
      <c r="L794" s="21">
        <v>930</v>
      </c>
      <c r="M794" s="21">
        <v>195</v>
      </c>
      <c r="N794" s="21">
        <v>1162</v>
      </c>
      <c r="O794" s="2"/>
      <c r="P794" s="2"/>
      <c r="Q794" s="197" t="s">
        <v>176</v>
      </c>
    </row>
    <row r="795" spans="1:17" ht="15" customHeight="1">
      <c r="A795" s="196">
        <v>274</v>
      </c>
      <c r="B795" s="71">
        <v>43814</v>
      </c>
      <c r="C795" s="2" t="s">
        <v>38</v>
      </c>
      <c r="D795" s="2" t="s">
        <v>1194</v>
      </c>
      <c r="E795" s="2"/>
      <c r="F795" s="2">
        <v>314</v>
      </c>
      <c r="G795" s="72"/>
      <c r="H795" s="72">
        <v>42.5</v>
      </c>
      <c r="I795" s="72"/>
      <c r="J795" s="72">
        <v>9</v>
      </c>
      <c r="K795" s="21">
        <v>248</v>
      </c>
      <c r="L795" s="21">
        <v>1430</v>
      </c>
      <c r="M795" s="21">
        <v>250</v>
      </c>
      <c r="N795" s="21">
        <v>1690</v>
      </c>
      <c r="O795" s="2"/>
      <c r="P795" s="2"/>
      <c r="Q795" s="197" t="s">
        <v>1198</v>
      </c>
    </row>
    <row r="796" spans="1:17" ht="15" customHeight="1">
      <c r="A796" s="196">
        <v>273</v>
      </c>
      <c r="B796" s="71">
        <v>43813</v>
      </c>
      <c r="C796" s="2" t="s">
        <v>105</v>
      </c>
      <c r="D796" s="2" t="s">
        <v>1194</v>
      </c>
      <c r="E796" s="2"/>
      <c r="F796" s="2">
        <v>314</v>
      </c>
      <c r="G796" s="72"/>
      <c r="H796" s="72">
        <v>42.5</v>
      </c>
      <c r="I796" s="72"/>
      <c r="J796" s="72">
        <v>8.65</v>
      </c>
      <c r="K796" s="21">
        <v>247</v>
      </c>
      <c r="L796" s="21">
        <v>1500</v>
      </c>
      <c r="M796" s="21">
        <v>250</v>
      </c>
      <c r="N796" s="21">
        <v>1790</v>
      </c>
      <c r="O796" s="2"/>
      <c r="P796" s="2"/>
      <c r="Q796" s="197" t="s">
        <v>176</v>
      </c>
    </row>
    <row r="797" spans="1:17" ht="15" customHeight="1">
      <c r="A797" s="196">
        <v>272</v>
      </c>
      <c r="B797" s="71">
        <v>43813</v>
      </c>
      <c r="C797" s="2" t="s">
        <v>105</v>
      </c>
      <c r="D797" s="2" t="s">
        <v>1193</v>
      </c>
      <c r="E797" s="2"/>
      <c r="F797" s="2">
        <v>314</v>
      </c>
      <c r="G797" s="72"/>
      <c r="H797" s="72">
        <v>30</v>
      </c>
      <c r="I797" s="72"/>
      <c r="J797" s="72">
        <v>9.6199999999999992</v>
      </c>
      <c r="K797" s="21">
        <v>192</v>
      </c>
      <c r="L797" s="21">
        <v>908</v>
      </c>
      <c r="M797" s="21">
        <v>195</v>
      </c>
      <c r="N797" s="21">
        <v>1787</v>
      </c>
      <c r="O797" s="2"/>
      <c r="P797" s="2"/>
      <c r="Q797" s="197" t="s">
        <v>176</v>
      </c>
    </row>
    <row r="798" spans="1:17" ht="15" customHeight="1">
      <c r="A798" s="196">
        <v>271</v>
      </c>
      <c r="B798" s="71">
        <v>43812</v>
      </c>
      <c r="C798" s="2" t="s">
        <v>37</v>
      </c>
      <c r="D798" s="2" t="s">
        <v>1193</v>
      </c>
      <c r="E798" s="2"/>
      <c r="F798" s="2">
        <v>314</v>
      </c>
      <c r="G798" s="72"/>
      <c r="H798" s="72">
        <v>30</v>
      </c>
      <c r="I798" s="72"/>
      <c r="J798" s="72">
        <v>10.8</v>
      </c>
      <c r="K798" s="21">
        <v>190</v>
      </c>
      <c r="L798" s="21">
        <v>790</v>
      </c>
      <c r="M798" s="21">
        <v>193</v>
      </c>
      <c r="N798" s="21">
        <v>1000</v>
      </c>
      <c r="O798" s="2"/>
      <c r="P798" s="2"/>
      <c r="Q798" s="197"/>
    </row>
    <row r="799" spans="1:17" ht="15" customHeight="1">
      <c r="A799" s="196">
        <v>270</v>
      </c>
      <c r="B799" s="71">
        <v>43812</v>
      </c>
      <c r="C799" s="2" t="s">
        <v>37</v>
      </c>
      <c r="D799" s="2" t="s">
        <v>1194</v>
      </c>
      <c r="E799" s="2"/>
      <c r="F799" s="2">
        <v>314</v>
      </c>
      <c r="G799" s="72"/>
      <c r="H799" s="72">
        <v>42.5</v>
      </c>
      <c r="I799" s="72"/>
      <c r="J799" s="72">
        <v>9</v>
      </c>
      <c r="K799" s="21">
        <v>244</v>
      </c>
      <c r="L799" s="21">
        <v>1400</v>
      </c>
      <c r="M799" s="21">
        <v>247</v>
      </c>
      <c r="N799" s="21">
        <v>1715</v>
      </c>
      <c r="O799" s="2"/>
      <c r="P799" s="2"/>
      <c r="Q799" s="197"/>
    </row>
    <row r="800" spans="1:17" ht="15" customHeight="1">
      <c r="A800" s="196">
        <v>269</v>
      </c>
      <c r="B800" s="71">
        <v>43812</v>
      </c>
      <c r="C800" s="2" t="s">
        <v>38</v>
      </c>
      <c r="D800" s="2" t="s">
        <v>1193</v>
      </c>
      <c r="E800" s="2"/>
      <c r="F800" s="2">
        <v>314</v>
      </c>
      <c r="G800" s="72"/>
      <c r="H800" s="72">
        <v>30</v>
      </c>
      <c r="I800" s="72"/>
      <c r="J800" s="72">
        <v>10.7</v>
      </c>
      <c r="K800" s="21">
        <v>192</v>
      </c>
      <c r="L800" s="21">
        <v>900</v>
      </c>
      <c r="M800" s="21">
        <v>195</v>
      </c>
      <c r="N800" s="21">
        <v>1115</v>
      </c>
      <c r="O800" s="2"/>
      <c r="P800" s="2"/>
      <c r="Q800" s="197" t="s">
        <v>191</v>
      </c>
    </row>
    <row r="801" spans="1:17" ht="15" customHeight="1">
      <c r="A801" s="196">
        <v>268</v>
      </c>
      <c r="B801" s="71">
        <v>43812</v>
      </c>
      <c r="C801" s="2" t="s">
        <v>38</v>
      </c>
      <c r="D801" s="2" t="s">
        <v>1194</v>
      </c>
      <c r="E801" s="2"/>
      <c r="F801" s="2">
        <v>314</v>
      </c>
      <c r="G801" s="72"/>
      <c r="H801" s="72">
        <v>42.5</v>
      </c>
      <c r="I801" s="72"/>
      <c r="J801" s="72">
        <v>808</v>
      </c>
      <c r="K801" s="21">
        <v>247</v>
      </c>
      <c r="L801" s="21">
        <v>1480</v>
      </c>
      <c r="M801" s="21">
        <v>250</v>
      </c>
      <c r="N801" s="21">
        <v>1765</v>
      </c>
      <c r="O801" s="2"/>
      <c r="P801" s="2"/>
      <c r="Q801" s="197" t="s">
        <v>190</v>
      </c>
    </row>
    <row r="802" spans="1:17" ht="15" customHeight="1">
      <c r="A802" s="196">
        <v>267</v>
      </c>
      <c r="B802" s="71">
        <v>43811</v>
      </c>
      <c r="C802" s="2" t="s">
        <v>37</v>
      </c>
      <c r="D802" s="2" t="s">
        <v>1131</v>
      </c>
      <c r="E802" s="2"/>
      <c r="F802" s="2">
        <v>7316</v>
      </c>
      <c r="G802" s="72"/>
      <c r="H802" s="72">
        <v>30</v>
      </c>
      <c r="I802" s="72"/>
      <c r="J802" s="72">
        <v>9.6</v>
      </c>
      <c r="K802" s="21">
        <v>188</v>
      </c>
      <c r="L802" s="21">
        <v>900</v>
      </c>
      <c r="M802" s="21">
        <v>194</v>
      </c>
      <c r="N802" s="21">
        <v>1180</v>
      </c>
      <c r="O802" s="2"/>
      <c r="P802" s="2"/>
      <c r="Q802" s="197" t="s">
        <v>176</v>
      </c>
    </row>
    <row r="803" spans="1:17" ht="15" customHeight="1">
      <c r="A803" s="196">
        <v>266</v>
      </c>
      <c r="B803" s="71">
        <v>43811</v>
      </c>
      <c r="C803" s="2" t="s">
        <v>38</v>
      </c>
      <c r="D803" s="2" t="s">
        <v>1131</v>
      </c>
      <c r="E803" s="2"/>
      <c r="F803" s="2">
        <v>7316</v>
      </c>
      <c r="G803" s="72"/>
      <c r="H803" s="72">
        <v>30</v>
      </c>
      <c r="I803" s="72"/>
      <c r="J803" s="72">
        <v>9.5</v>
      </c>
      <c r="K803" s="21">
        <v>189</v>
      </c>
      <c r="L803" s="21">
        <v>930</v>
      </c>
      <c r="M803" s="21">
        <v>195</v>
      </c>
      <c r="N803" s="21">
        <v>1200</v>
      </c>
      <c r="O803" s="2"/>
      <c r="P803" s="2"/>
      <c r="Q803" s="197" t="s">
        <v>157</v>
      </c>
    </row>
    <row r="804" spans="1:17" ht="15" customHeight="1">
      <c r="A804" s="196">
        <v>265</v>
      </c>
      <c r="B804" s="71">
        <v>43809</v>
      </c>
      <c r="C804" s="2" t="s">
        <v>37</v>
      </c>
      <c r="D804" s="2" t="s">
        <v>1092</v>
      </c>
      <c r="E804" s="2"/>
      <c r="F804" s="2">
        <v>7199</v>
      </c>
      <c r="G804" s="72"/>
      <c r="H804" s="72">
        <v>35</v>
      </c>
      <c r="I804" s="72"/>
      <c r="J804" s="72">
        <v>6</v>
      </c>
      <c r="K804" s="21">
        <v>282</v>
      </c>
      <c r="L804" s="21">
        <v>1630</v>
      </c>
      <c r="M804" s="21">
        <v>285</v>
      </c>
      <c r="N804" s="21">
        <v>2070</v>
      </c>
      <c r="O804" s="2"/>
      <c r="P804" s="2"/>
      <c r="Q804" s="197" t="s">
        <v>190</v>
      </c>
    </row>
    <row r="805" spans="1:17" ht="15" customHeight="1">
      <c r="A805" s="196">
        <v>264</v>
      </c>
      <c r="B805" s="71">
        <v>43808</v>
      </c>
      <c r="C805" s="2" t="s">
        <v>105</v>
      </c>
      <c r="D805" s="2" t="s">
        <v>1190</v>
      </c>
      <c r="E805" s="2"/>
      <c r="F805" s="2">
        <v>752</v>
      </c>
      <c r="G805" s="72"/>
      <c r="H805" s="72">
        <v>42.5</v>
      </c>
      <c r="I805" s="72"/>
      <c r="J805" s="72">
        <v>7.5</v>
      </c>
      <c r="K805" s="21">
        <v>296</v>
      </c>
      <c r="L805" s="21"/>
      <c r="M805" s="21">
        <v>294</v>
      </c>
      <c r="N805" s="21">
        <v>2010</v>
      </c>
      <c r="O805" s="2"/>
      <c r="P805" s="2"/>
      <c r="Q805" s="197" t="s">
        <v>190</v>
      </c>
    </row>
    <row r="806" spans="1:17" ht="15" customHeight="1">
      <c r="A806" s="196">
        <v>263</v>
      </c>
      <c r="B806" s="71">
        <v>43808</v>
      </c>
      <c r="C806" s="2" t="s">
        <v>105</v>
      </c>
      <c r="D806" s="2" t="s">
        <v>1189</v>
      </c>
      <c r="E806" s="2"/>
      <c r="F806" s="2">
        <v>752</v>
      </c>
      <c r="G806" s="72"/>
      <c r="H806" s="72">
        <v>42.5</v>
      </c>
      <c r="I806" s="72"/>
      <c r="J806" s="72">
        <v>11</v>
      </c>
      <c r="K806" s="21">
        <v>199</v>
      </c>
      <c r="L806" s="21">
        <v>1145</v>
      </c>
      <c r="M806" s="21">
        <v>200</v>
      </c>
      <c r="N806" s="21">
        <v>1300</v>
      </c>
      <c r="O806" s="2"/>
      <c r="P806" s="2"/>
      <c r="Q806" s="197" t="s">
        <v>190</v>
      </c>
    </row>
    <row r="807" spans="1:17" ht="15" customHeight="1">
      <c r="A807" s="196">
        <v>262</v>
      </c>
      <c r="B807" s="71">
        <v>43808</v>
      </c>
      <c r="C807" s="2" t="s">
        <v>37</v>
      </c>
      <c r="D807" s="2" t="s">
        <v>1190</v>
      </c>
      <c r="E807" s="2"/>
      <c r="F807" s="2">
        <v>752</v>
      </c>
      <c r="G807" s="72"/>
      <c r="H807" s="72">
        <v>42.5</v>
      </c>
      <c r="I807" s="72"/>
      <c r="J807" s="72">
        <v>7.3</v>
      </c>
      <c r="K807" s="21">
        <v>297</v>
      </c>
      <c r="L807" s="21">
        <v>1805</v>
      </c>
      <c r="M807" s="21">
        <v>295</v>
      </c>
      <c r="N807" s="21">
        <v>2050</v>
      </c>
      <c r="O807" s="2"/>
      <c r="P807" s="2"/>
      <c r="Q807" s="197" t="s">
        <v>1192</v>
      </c>
    </row>
    <row r="808" spans="1:17" ht="15" customHeight="1">
      <c r="A808" s="196">
        <v>261</v>
      </c>
      <c r="B808" s="71">
        <v>43808</v>
      </c>
      <c r="C808" s="2" t="s">
        <v>38</v>
      </c>
      <c r="D808" s="2" t="s">
        <v>1190</v>
      </c>
      <c r="E808" s="2"/>
      <c r="F808" s="2">
        <v>752</v>
      </c>
      <c r="G808" s="72"/>
      <c r="H808" s="72">
        <v>42.5</v>
      </c>
      <c r="I808" s="72"/>
      <c r="J808" s="72">
        <v>7.35</v>
      </c>
      <c r="K808" s="21">
        <v>196</v>
      </c>
      <c r="L808" s="21">
        <v>1795</v>
      </c>
      <c r="M808" s="21">
        <v>294</v>
      </c>
      <c r="N808" s="21">
        <v>2040</v>
      </c>
      <c r="O808" s="2"/>
      <c r="P808" s="2"/>
      <c r="Q808" s="197" t="s">
        <v>190</v>
      </c>
    </row>
    <row r="809" spans="1:17" ht="15" customHeight="1">
      <c r="A809" s="196">
        <v>260</v>
      </c>
      <c r="B809" s="71">
        <v>43806</v>
      </c>
      <c r="C809" s="2" t="s">
        <v>105</v>
      </c>
      <c r="D809" s="2" t="s">
        <v>1189</v>
      </c>
      <c r="E809" s="2"/>
      <c r="F809" s="2">
        <v>752</v>
      </c>
      <c r="G809" s="72"/>
      <c r="H809" s="72">
        <v>42.5</v>
      </c>
      <c r="I809" s="72"/>
      <c r="J809" s="72">
        <v>10.9</v>
      </c>
      <c r="K809" s="21">
        <v>201</v>
      </c>
      <c r="L809" s="21">
        <v>1140</v>
      </c>
      <c r="M809" s="21">
        <v>200</v>
      </c>
      <c r="N809" s="21">
        <v>1240</v>
      </c>
      <c r="O809" s="2"/>
      <c r="P809" s="2"/>
      <c r="Q809" s="197" t="s">
        <v>1191</v>
      </c>
    </row>
    <row r="810" spans="1:17" ht="15" customHeight="1">
      <c r="A810" s="196">
        <v>259</v>
      </c>
      <c r="B810" s="71">
        <v>43805</v>
      </c>
      <c r="C810" s="2" t="s">
        <v>37</v>
      </c>
      <c r="D810" s="2" t="s">
        <v>1189</v>
      </c>
      <c r="E810" s="2"/>
      <c r="F810" s="2">
        <v>752</v>
      </c>
      <c r="G810" s="72"/>
      <c r="H810" s="72">
        <v>42.5</v>
      </c>
      <c r="I810" s="72"/>
      <c r="J810" s="72">
        <v>10.6</v>
      </c>
      <c r="K810" s="21">
        <v>200</v>
      </c>
      <c r="L810" s="21">
        <v>1174</v>
      </c>
      <c r="M810" s="21">
        <v>198</v>
      </c>
      <c r="N810" s="21">
        <v>1250</v>
      </c>
      <c r="O810" s="2"/>
      <c r="P810" s="2"/>
      <c r="Q810" s="197" t="s">
        <v>190</v>
      </c>
    </row>
    <row r="811" spans="1:17" ht="15" customHeight="1">
      <c r="A811" s="196">
        <v>258</v>
      </c>
      <c r="B811" s="71">
        <v>43805</v>
      </c>
      <c r="C811" s="2" t="s">
        <v>37</v>
      </c>
      <c r="D811" s="2" t="s">
        <v>1190</v>
      </c>
      <c r="E811" s="2"/>
      <c r="F811" s="2">
        <v>752</v>
      </c>
      <c r="G811" s="72"/>
      <c r="H811" s="72">
        <v>42.5</v>
      </c>
      <c r="I811" s="72"/>
      <c r="J811" s="72"/>
      <c r="K811" s="21"/>
      <c r="L811" s="21"/>
      <c r="M811" s="21"/>
      <c r="N811" s="21"/>
      <c r="O811" s="2"/>
      <c r="P811" s="2"/>
      <c r="Q811" s="197" t="s">
        <v>191</v>
      </c>
    </row>
    <row r="812" spans="1:17" ht="15" customHeight="1">
      <c r="A812" s="196">
        <v>257</v>
      </c>
      <c r="B812" s="71">
        <v>43802</v>
      </c>
      <c r="C812" s="2" t="s">
        <v>105</v>
      </c>
      <c r="D812" s="2" t="s">
        <v>1187</v>
      </c>
      <c r="E812" s="2"/>
      <c r="F812" s="2">
        <v>7716</v>
      </c>
      <c r="G812" s="72"/>
      <c r="H812" s="72">
        <v>42.5</v>
      </c>
      <c r="I812" s="72"/>
      <c r="J812" s="72">
        <v>11.8</v>
      </c>
      <c r="K812" s="21">
        <v>204</v>
      </c>
      <c r="L812" s="21">
        <v>1030</v>
      </c>
      <c r="M812" s="21">
        <v>210</v>
      </c>
      <c r="N812" s="21">
        <v>1380</v>
      </c>
      <c r="O812" s="2"/>
      <c r="P812" s="2"/>
      <c r="Q812" s="197" t="s">
        <v>1186</v>
      </c>
    </row>
    <row r="813" spans="1:17" ht="15" customHeight="1">
      <c r="A813" s="196">
        <v>256</v>
      </c>
      <c r="B813" s="71">
        <v>43802</v>
      </c>
      <c r="C813" s="2" t="s">
        <v>105</v>
      </c>
      <c r="D813" s="2" t="s">
        <v>1185</v>
      </c>
      <c r="E813" s="2"/>
      <c r="F813" s="2">
        <v>7199</v>
      </c>
      <c r="G813" s="72"/>
      <c r="H813" s="72">
        <v>35</v>
      </c>
      <c r="I813" s="72"/>
      <c r="J813" s="72">
        <v>6.2</v>
      </c>
      <c r="K813" s="21">
        <v>283</v>
      </c>
      <c r="L813" s="21">
        <v>1600</v>
      </c>
      <c r="M813" s="21">
        <v>285</v>
      </c>
      <c r="N813" s="21">
        <v>2010</v>
      </c>
      <c r="O813" s="2"/>
      <c r="P813" s="2"/>
      <c r="Q813" s="197" t="s">
        <v>1188</v>
      </c>
    </row>
    <row r="814" spans="1:17" ht="15" customHeight="1">
      <c r="A814" s="196">
        <v>255</v>
      </c>
      <c r="B814" s="71">
        <v>43801</v>
      </c>
      <c r="C814" s="2" t="s">
        <v>37</v>
      </c>
      <c r="D814" s="2" t="s">
        <v>1094</v>
      </c>
      <c r="E814" s="2"/>
      <c r="F814" s="2">
        <v>7199</v>
      </c>
      <c r="G814" s="72"/>
      <c r="H814" s="72">
        <v>35</v>
      </c>
      <c r="I814" s="72"/>
      <c r="J814" s="72">
        <v>9.15</v>
      </c>
      <c r="K814" s="21">
        <v>205</v>
      </c>
      <c r="L814" s="21">
        <v>1020</v>
      </c>
      <c r="M814" s="21">
        <v>210</v>
      </c>
      <c r="N814" s="21">
        <v>1390</v>
      </c>
      <c r="O814" s="2"/>
      <c r="P814" s="2"/>
      <c r="Q814" s="197" t="s">
        <v>1184</v>
      </c>
    </row>
    <row r="815" spans="1:17" ht="15" customHeight="1">
      <c r="A815" s="196">
        <v>254</v>
      </c>
      <c r="B815" s="71">
        <v>43801</v>
      </c>
      <c r="C815" s="2" t="s">
        <v>37</v>
      </c>
      <c r="D815" s="2" t="s">
        <v>1185</v>
      </c>
      <c r="E815" s="2"/>
      <c r="F815" s="2">
        <v>7199</v>
      </c>
      <c r="G815" s="72"/>
      <c r="H815" s="72">
        <v>35</v>
      </c>
      <c r="I815" s="72"/>
      <c r="J815" s="72">
        <v>5.85</v>
      </c>
      <c r="K815" s="21">
        <v>283</v>
      </c>
      <c r="L815" s="21">
        <v>1660</v>
      </c>
      <c r="M815" s="21">
        <v>285</v>
      </c>
      <c r="N815" s="21">
        <v>2060</v>
      </c>
      <c r="O815" s="2"/>
      <c r="P815" s="2"/>
      <c r="Q815" s="197" t="s">
        <v>1186</v>
      </c>
    </row>
    <row r="816" spans="1:17" ht="15" customHeight="1">
      <c r="A816" s="196">
        <v>253</v>
      </c>
      <c r="B816" s="71">
        <v>43799</v>
      </c>
      <c r="C816" s="2" t="s">
        <v>37</v>
      </c>
      <c r="D816" s="2" t="s">
        <v>1073</v>
      </c>
      <c r="E816" s="2"/>
      <c r="F816" s="2">
        <v>7316</v>
      </c>
      <c r="G816" s="72"/>
      <c r="H816" s="72">
        <v>35</v>
      </c>
      <c r="I816" s="72"/>
      <c r="J816" s="72">
        <v>11.65</v>
      </c>
      <c r="K816" s="21">
        <v>184</v>
      </c>
      <c r="L816" s="21">
        <v>870</v>
      </c>
      <c r="M816" s="21">
        <v>191</v>
      </c>
      <c r="N816" s="21">
        <v>1192</v>
      </c>
      <c r="O816" s="2"/>
      <c r="P816" s="2"/>
      <c r="Q816" s="197" t="s">
        <v>1183</v>
      </c>
    </row>
    <row r="817" spans="1:17" ht="15" customHeight="1">
      <c r="A817" s="196">
        <v>252</v>
      </c>
      <c r="B817" s="71">
        <v>43799</v>
      </c>
      <c r="C817" s="2" t="s">
        <v>37</v>
      </c>
      <c r="D817" s="2" t="s">
        <v>1104</v>
      </c>
      <c r="E817" s="2"/>
      <c r="F817" s="2">
        <v>752</v>
      </c>
      <c r="G817" s="72"/>
      <c r="H817" s="72">
        <v>35</v>
      </c>
      <c r="I817" s="72"/>
      <c r="J817" s="72">
        <v>8.3000000000000007</v>
      </c>
      <c r="K817" s="21">
        <v>1120</v>
      </c>
      <c r="L817" s="21">
        <v>194</v>
      </c>
      <c r="M817" s="21">
        <v>195</v>
      </c>
      <c r="N817" s="21">
        <v>1340</v>
      </c>
      <c r="O817" s="2"/>
      <c r="P817" s="2"/>
      <c r="Q817" s="197" t="s">
        <v>1155</v>
      </c>
    </row>
    <row r="818" spans="1:17" ht="15" customHeight="1">
      <c r="A818" s="196">
        <v>251</v>
      </c>
      <c r="B818" s="71">
        <v>43798</v>
      </c>
      <c r="C818" s="2" t="s">
        <v>37</v>
      </c>
      <c r="D818" s="2" t="s">
        <v>1092</v>
      </c>
      <c r="E818" s="2"/>
      <c r="F818" s="2">
        <v>7199</v>
      </c>
      <c r="G818" s="72"/>
      <c r="H818" s="72">
        <v>35</v>
      </c>
      <c r="I818" s="72"/>
      <c r="J818" s="72">
        <v>6.25</v>
      </c>
      <c r="K818" s="21">
        <v>283</v>
      </c>
      <c r="L818" s="21">
        <v>1615</v>
      </c>
      <c r="M818" s="21">
        <v>285</v>
      </c>
      <c r="N818" s="21">
        <v>2070</v>
      </c>
      <c r="O818" s="2"/>
      <c r="P818" s="2"/>
      <c r="Q818" s="197" t="s">
        <v>1183</v>
      </c>
    </row>
    <row r="819" spans="1:17" ht="15" customHeight="1">
      <c r="A819" s="196">
        <v>250</v>
      </c>
      <c r="B819" s="71">
        <v>43798</v>
      </c>
      <c r="C819" s="2" t="s">
        <v>37</v>
      </c>
      <c r="D819" s="2" t="s">
        <v>1094</v>
      </c>
      <c r="E819" s="2"/>
      <c r="F819" s="2">
        <v>7199</v>
      </c>
      <c r="G819" s="72"/>
      <c r="H819" s="72">
        <v>35</v>
      </c>
      <c r="I819" s="72"/>
      <c r="J819" s="72">
        <v>9.85</v>
      </c>
      <c r="K819" s="21">
        <v>204</v>
      </c>
      <c r="L819" s="21">
        <v>970</v>
      </c>
      <c r="M819" s="21">
        <v>210</v>
      </c>
      <c r="N819" s="21">
        <v>1395</v>
      </c>
      <c r="O819" s="2"/>
      <c r="P819" s="2"/>
      <c r="Q819" s="197" t="s">
        <v>1183</v>
      </c>
    </row>
    <row r="820" spans="1:17" ht="15" customHeight="1">
      <c r="A820" s="196">
        <v>249</v>
      </c>
      <c r="B820" s="71">
        <v>43797</v>
      </c>
      <c r="C820" s="2" t="s">
        <v>105</v>
      </c>
      <c r="D820" s="2" t="s">
        <v>1098</v>
      </c>
      <c r="E820" s="2"/>
      <c r="F820" s="2">
        <v>7199</v>
      </c>
      <c r="G820" s="72"/>
      <c r="H820" s="72">
        <v>35</v>
      </c>
      <c r="I820" s="72"/>
      <c r="J820" s="72">
        <v>10.3</v>
      </c>
      <c r="K820" s="21">
        <v>206</v>
      </c>
      <c r="L820" s="21">
        <v>923</v>
      </c>
      <c r="M820" s="21">
        <v>212</v>
      </c>
      <c r="N820" s="21"/>
      <c r="O820" s="2"/>
      <c r="P820" s="2"/>
      <c r="Q820" s="197" t="s">
        <v>1173</v>
      </c>
    </row>
    <row r="821" spans="1:17" ht="15" customHeight="1">
      <c r="A821" s="196">
        <v>248</v>
      </c>
      <c r="B821" s="71">
        <v>43797</v>
      </c>
      <c r="C821" s="2" t="s">
        <v>105</v>
      </c>
      <c r="D821" s="2" t="s">
        <v>1100</v>
      </c>
      <c r="E821" s="2"/>
      <c r="F821" s="2">
        <v>7199</v>
      </c>
      <c r="G821" s="72"/>
      <c r="H821" s="72">
        <v>35</v>
      </c>
      <c r="I821" s="72"/>
      <c r="J821" s="72">
        <v>6.4</v>
      </c>
      <c r="K821" s="21">
        <v>282</v>
      </c>
      <c r="L821" s="21">
        <v>1585</v>
      </c>
      <c r="M821" s="21">
        <v>285</v>
      </c>
      <c r="N821" s="21">
        <v>2003</v>
      </c>
      <c r="O821" s="2"/>
      <c r="P821" s="2"/>
      <c r="Q821" s="197" t="s">
        <v>176</v>
      </c>
    </row>
    <row r="822" spans="1:17" ht="15" customHeight="1">
      <c r="A822" s="196">
        <v>247</v>
      </c>
      <c r="B822" s="71">
        <v>43797</v>
      </c>
      <c r="C822" s="2" t="s">
        <v>105</v>
      </c>
      <c r="D822" s="2" t="s">
        <v>1176</v>
      </c>
      <c r="E822" s="2"/>
      <c r="F822" s="2">
        <v>7199</v>
      </c>
      <c r="G822" s="72"/>
      <c r="H822" s="72">
        <v>35</v>
      </c>
      <c r="I822" s="72"/>
      <c r="J822" s="72">
        <v>10.8</v>
      </c>
      <c r="K822" s="21">
        <v>203</v>
      </c>
      <c r="L822" s="21"/>
      <c r="M822" s="21">
        <v>211</v>
      </c>
      <c r="N822" s="21"/>
      <c r="O822" s="2"/>
      <c r="P822" s="2"/>
      <c r="Q822" s="197" t="s">
        <v>176</v>
      </c>
    </row>
    <row r="823" spans="1:17" ht="15" customHeight="1">
      <c r="A823" s="196">
        <v>246</v>
      </c>
      <c r="B823" s="71">
        <v>43797</v>
      </c>
      <c r="C823" s="2" t="s">
        <v>37</v>
      </c>
      <c r="D823" s="2" t="s">
        <v>1100</v>
      </c>
      <c r="E823" s="2"/>
      <c r="F823" s="2">
        <v>7199</v>
      </c>
      <c r="G823" s="72"/>
      <c r="H823" s="72">
        <v>35</v>
      </c>
      <c r="I823" s="72"/>
      <c r="J823" s="72">
        <v>6.4</v>
      </c>
      <c r="K823" s="21">
        <v>282</v>
      </c>
      <c r="L823" s="21">
        <v>1560</v>
      </c>
      <c r="M823" s="21">
        <v>285</v>
      </c>
      <c r="N823" s="21">
        <v>1992</v>
      </c>
      <c r="O823" s="2"/>
      <c r="P823" s="2"/>
      <c r="Q823" s="197" t="s">
        <v>1182</v>
      </c>
    </row>
    <row r="824" spans="1:17" ht="15" customHeight="1">
      <c r="A824" s="196">
        <v>245</v>
      </c>
      <c r="B824" s="71">
        <v>43797</v>
      </c>
      <c r="C824" s="2" t="s">
        <v>37</v>
      </c>
      <c r="D824" s="2" t="s">
        <v>1176</v>
      </c>
      <c r="E824" s="2"/>
      <c r="F824" s="2">
        <v>7199</v>
      </c>
      <c r="G824" s="72"/>
      <c r="H824" s="72">
        <v>35</v>
      </c>
      <c r="I824" s="72"/>
      <c r="J824" s="72">
        <v>10.6</v>
      </c>
      <c r="K824" s="21">
        <v>205</v>
      </c>
      <c r="L824" s="21">
        <v>890</v>
      </c>
      <c r="M824" s="21">
        <v>212</v>
      </c>
      <c r="N824" s="21">
        <v>1235</v>
      </c>
      <c r="O824" s="2"/>
      <c r="P824" s="2"/>
      <c r="Q824" s="197" t="s">
        <v>1183</v>
      </c>
    </row>
    <row r="825" spans="1:17" ht="15" customHeight="1">
      <c r="A825" s="196">
        <v>244</v>
      </c>
      <c r="B825" s="71">
        <v>43796</v>
      </c>
      <c r="C825" s="2" t="s">
        <v>38</v>
      </c>
      <c r="D825" s="2" t="s">
        <v>1092</v>
      </c>
      <c r="E825" s="2"/>
      <c r="F825" s="2">
        <v>7199</v>
      </c>
      <c r="G825" s="72"/>
      <c r="H825" s="72">
        <v>35</v>
      </c>
      <c r="I825" s="72"/>
      <c r="J825" s="72">
        <v>6.25</v>
      </c>
      <c r="K825" s="21">
        <v>282</v>
      </c>
      <c r="L825" s="21">
        <v>1590</v>
      </c>
      <c r="M825" s="21">
        <v>285</v>
      </c>
      <c r="N825" s="21">
        <v>2060</v>
      </c>
      <c r="O825" s="2"/>
      <c r="P825" s="2"/>
      <c r="Q825" s="197" t="s">
        <v>1180</v>
      </c>
    </row>
    <row r="826" spans="1:17" ht="15" customHeight="1">
      <c r="A826" s="196">
        <v>243</v>
      </c>
      <c r="B826" s="71">
        <v>43796</v>
      </c>
      <c r="C826" s="2" t="s">
        <v>38</v>
      </c>
      <c r="D826" s="2" t="s">
        <v>1094</v>
      </c>
      <c r="E826" s="2"/>
      <c r="F826" s="2">
        <v>7199</v>
      </c>
      <c r="G826" s="72"/>
      <c r="H826" s="72">
        <v>35</v>
      </c>
      <c r="I826" s="72"/>
      <c r="J826" s="72">
        <v>9.9</v>
      </c>
      <c r="K826" s="21">
        <v>202</v>
      </c>
      <c r="L826" s="21">
        <v>945</v>
      </c>
      <c r="M826" s="21">
        <v>210</v>
      </c>
      <c r="N826" s="21">
        <v>1380</v>
      </c>
      <c r="O826" s="2"/>
      <c r="P826" s="2"/>
      <c r="Q826" s="197" t="s">
        <v>176</v>
      </c>
    </row>
    <row r="827" spans="1:17" ht="15" customHeight="1">
      <c r="A827" s="196">
        <v>242</v>
      </c>
      <c r="B827" s="71">
        <v>43796</v>
      </c>
      <c r="C827" s="2" t="s">
        <v>38</v>
      </c>
      <c r="D827" s="2" t="s">
        <v>1098</v>
      </c>
      <c r="E827" s="2"/>
      <c r="F827" s="2">
        <v>7199</v>
      </c>
      <c r="G827" s="72"/>
      <c r="H827" s="72">
        <v>35</v>
      </c>
      <c r="I827" s="72"/>
      <c r="J827" s="72">
        <v>10.65</v>
      </c>
      <c r="K827" s="21">
        <v>204</v>
      </c>
      <c r="L827" s="21"/>
      <c r="M827" s="21">
        <v>210</v>
      </c>
      <c r="N827" s="21">
        <v>1260</v>
      </c>
      <c r="O827" s="2"/>
      <c r="P827" s="2"/>
      <c r="Q827" s="197" t="s">
        <v>1181</v>
      </c>
    </row>
    <row r="828" spans="1:17" ht="15" customHeight="1">
      <c r="A828" s="196">
        <v>241</v>
      </c>
      <c r="B828" s="71">
        <v>43796</v>
      </c>
      <c r="C828" s="2" t="s">
        <v>38</v>
      </c>
      <c r="D828" s="2" t="s">
        <v>1176</v>
      </c>
      <c r="E828" s="2"/>
      <c r="F828" s="2">
        <v>7199</v>
      </c>
      <c r="G828" s="72"/>
      <c r="H828" s="72">
        <v>35</v>
      </c>
      <c r="I828" s="72"/>
      <c r="J828" s="72">
        <v>10.85</v>
      </c>
      <c r="K828" s="21">
        <v>204</v>
      </c>
      <c r="L828" s="21"/>
      <c r="M828" s="21">
        <v>210</v>
      </c>
      <c r="N828" s="21">
        <v>1230</v>
      </c>
      <c r="O828" s="2"/>
      <c r="P828" s="2"/>
      <c r="Q828" s="197"/>
    </row>
    <row r="829" spans="1:17" ht="15" customHeight="1">
      <c r="A829" s="196">
        <v>240</v>
      </c>
      <c r="B829" s="71">
        <v>43795</v>
      </c>
      <c r="C829" s="2" t="s">
        <v>37</v>
      </c>
      <c r="D829" s="2" t="s">
        <v>1176</v>
      </c>
      <c r="E829" s="2"/>
      <c r="F829" s="2">
        <v>7199</v>
      </c>
      <c r="G829" s="72"/>
      <c r="H829" s="72">
        <v>35</v>
      </c>
      <c r="I829" s="72"/>
      <c r="J829" s="72">
        <v>10.6</v>
      </c>
      <c r="K829" s="21">
        <v>204</v>
      </c>
      <c r="L829" s="21">
        <v>870</v>
      </c>
      <c r="M829" s="21">
        <v>211</v>
      </c>
      <c r="N829" s="21">
        <v>1215</v>
      </c>
      <c r="O829" s="2"/>
      <c r="P829" s="2"/>
      <c r="Q829" s="197" t="s">
        <v>1178</v>
      </c>
    </row>
    <row r="830" spans="1:17" ht="15" customHeight="1">
      <c r="A830" s="196">
        <v>239</v>
      </c>
      <c r="B830" s="71">
        <v>43795</v>
      </c>
      <c r="C830" s="2" t="s">
        <v>37</v>
      </c>
      <c r="D830" s="2" t="s">
        <v>1098</v>
      </c>
      <c r="E830" s="2"/>
      <c r="F830" s="2">
        <v>7199</v>
      </c>
      <c r="G830" s="72"/>
      <c r="H830" s="72">
        <v>35</v>
      </c>
      <c r="I830" s="72"/>
      <c r="J830" s="72">
        <v>10.15</v>
      </c>
      <c r="K830" s="21">
        <v>204</v>
      </c>
      <c r="L830" s="21">
        <v>965</v>
      </c>
      <c r="M830" s="21">
        <v>210</v>
      </c>
      <c r="N830" s="21">
        <v>1310</v>
      </c>
      <c r="O830" s="2"/>
      <c r="P830" s="2"/>
      <c r="Q830" s="197" t="s">
        <v>191</v>
      </c>
    </row>
    <row r="831" spans="1:17" ht="15" customHeight="1">
      <c r="A831" s="196">
        <v>238</v>
      </c>
      <c r="B831" s="71">
        <v>43795</v>
      </c>
      <c r="C831" s="2" t="s">
        <v>37</v>
      </c>
      <c r="D831" s="2" t="s">
        <v>1100</v>
      </c>
      <c r="E831" s="2"/>
      <c r="F831" s="2">
        <v>7199</v>
      </c>
      <c r="G831" s="72"/>
      <c r="H831" s="72">
        <v>35</v>
      </c>
      <c r="I831" s="72"/>
      <c r="J831" s="72">
        <v>6.4</v>
      </c>
      <c r="K831" s="21">
        <v>282</v>
      </c>
      <c r="L831" s="21">
        <v>1540</v>
      </c>
      <c r="M831" s="21">
        <v>285</v>
      </c>
      <c r="N831" s="21">
        <v>1970</v>
      </c>
      <c r="O831" s="2"/>
      <c r="P831" s="2"/>
      <c r="Q831" s="197" t="s">
        <v>176</v>
      </c>
    </row>
    <row r="832" spans="1:17" ht="15" customHeight="1">
      <c r="A832" s="196">
        <v>237</v>
      </c>
      <c r="B832" s="71">
        <v>43795</v>
      </c>
      <c r="C832" s="2" t="s">
        <v>38</v>
      </c>
      <c r="D832" s="2" t="s">
        <v>1092</v>
      </c>
      <c r="E832" s="2"/>
      <c r="F832" s="2">
        <v>7199</v>
      </c>
      <c r="G832" s="72"/>
      <c r="H832" s="72">
        <v>35</v>
      </c>
      <c r="I832" s="72"/>
      <c r="J832" s="72">
        <v>6.2</v>
      </c>
      <c r="K832" s="21">
        <v>282</v>
      </c>
      <c r="L832" s="21">
        <v>1600</v>
      </c>
      <c r="M832" s="21">
        <v>285</v>
      </c>
      <c r="N832" s="21">
        <v>2075</v>
      </c>
      <c r="O832" s="2"/>
      <c r="P832" s="2"/>
      <c r="Q832" s="197" t="s">
        <v>1179</v>
      </c>
    </row>
    <row r="833" spans="1:17" ht="15" customHeight="1">
      <c r="A833" s="196">
        <v>236</v>
      </c>
      <c r="B833" s="71">
        <v>43795</v>
      </c>
      <c r="C833" s="2" t="s">
        <v>38</v>
      </c>
      <c r="D833" s="2" t="s">
        <v>1094</v>
      </c>
      <c r="E833" s="2"/>
      <c r="F833" s="2">
        <v>7199</v>
      </c>
      <c r="G833" s="72"/>
      <c r="H833" s="72">
        <v>35</v>
      </c>
      <c r="I833" s="72"/>
      <c r="J833" s="72">
        <v>9.9</v>
      </c>
      <c r="K833" s="21">
        <v>203</v>
      </c>
      <c r="L833" s="21">
        <v>920</v>
      </c>
      <c r="M833" s="21">
        <v>210</v>
      </c>
      <c r="N833" s="21">
        <v>1390</v>
      </c>
      <c r="O833" s="2"/>
      <c r="P833" s="2"/>
      <c r="Q833" s="197" t="s">
        <v>1149</v>
      </c>
    </row>
    <row r="834" spans="1:17" ht="15" customHeight="1">
      <c r="A834" s="196">
        <v>235</v>
      </c>
      <c r="B834" s="71">
        <v>43791</v>
      </c>
      <c r="C834" s="2" t="s">
        <v>37</v>
      </c>
      <c r="D834" s="2" t="s">
        <v>1092</v>
      </c>
      <c r="E834" s="2"/>
      <c r="F834" s="2">
        <v>7199</v>
      </c>
      <c r="G834" s="72"/>
      <c r="H834" s="72">
        <v>35</v>
      </c>
      <c r="I834" s="72"/>
      <c r="J834" s="72">
        <v>6.1</v>
      </c>
      <c r="K834" s="21">
        <v>282</v>
      </c>
      <c r="L834" s="21">
        <v>1620</v>
      </c>
      <c r="M834" s="21">
        <v>285</v>
      </c>
      <c r="N834" s="21">
        <v>2073</v>
      </c>
      <c r="O834" s="2"/>
      <c r="P834" s="2"/>
      <c r="Q834" s="197" t="s">
        <v>1175</v>
      </c>
    </row>
    <row r="835" spans="1:17" ht="15" customHeight="1">
      <c r="A835" s="196">
        <v>234</v>
      </c>
      <c r="B835" s="71">
        <v>43791</v>
      </c>
      <c r="C835" s="2" t="s">
        <v>37</v>
      </c>
      <c r="D835" s="2" t="s">
        <v>1094</v>
      </c>
      <c r="E835" s="2"/>
      <c r="F835" s="2">
        <v>7199</v>
      </c>
      <c r="G835" s="72"/>
      <c r="H835" s="72">
        <v>35</v>
      </c>
      <c r="I835" s="72"/>
      <c r="J835" s="72">
        <v>9.5</v>
      </c>
      <c r="K835" s="21">
        <v>204</v>
      </c>
      <c r="L835" s="21">
        <v>960</v>
      </c>
      <c r="M835" s="21">
        <v>210</v>
      </c>
      <c r="N835" s="21">
        <v>1400</v>
      </c>
      <c r="O835" s="2"/>
      <c r="P835" s="2"/>
      <c r="Q835" s="197" t="s">
        <v>199</v>
      </c>
    </row>
    <row r="836" spans="1:17" ht="15" customHeight="1">
      <c r="A836" s="196">
        <v>233</v>
      </c>
      <c r="B836" s="71">
        <v>43791</v>
      </c>
      <c r="C836" s="2" t="s">
        <v>37</v>
      </c>
      <c r="D836" s="2" t="s">
        <v>1176</v>
      </c>
      <c r="E836" s="2"/>
      <c r="F836" s="2">
        <v>7199</v>
      </c>
      <c r="G836" s="72"/>
      <c r="H836" s="72">
        <v>35</v>
      </c>
      <c r="I836" s="72"/>
      <c r="J836" s="72">
        <v>10.4</v>
      </c>
      <c r="K836" s="21">
        <v>205</v>
      </c>
      <c r="L836" s="21"/>
      <c r="M836" s="21">
        <v>210</v>
      </c>
      <c r="N836" s="21">
        <v>1230</v>
      </c>
      <c r="O836" s="2"/>
      <c r="P836" s="2"/>
      <c r="Q836" s="197" t="s">
        <v>1177</v>
      </c>
    </row>
    <row r="837" spans="1:17" ht="15" customHeight="1">
      <c r="A837" s="196">
        <v>232</v>
      </c>
      <c r="B837" s="71">
        <v>43789</v>
      </c>
      <c r="C837" s="2" t="s">
        <v>105</v>
      </c>
      <c r="D837" s="2" t="s">
        <v>1172</v>
      </c>
      <c r="E837" s="2"/>
      <c r="F837" s="2">
        <v>7716</v>
      </c>
      <c r="G837" s="72"/>
      <c r="H837" s="72">
        <v>35</v>
      </c>
      <c r="I837" s="72"/>
      <c r="J837" s="72">
        <v>1.4</v>
      </c>
      <c r="K837" s="21">
        <v>180</v>
      </c>
      <c r="L837" s="21">
        <v>955</v>
      </c>
      <c r="M837" s="21">
        <v>185</v>
      </c>
      <c r="N837" s="21">
        <v>1235</v>
      </c>
      <c r="O837" s="2"/>
      <c r="P837" s="2"/>
      <c r="Q837" s="197" t="s">
        <v>1174</v>
      </c>
    </row>
    <row r="838" spans="1:17" ht="15" customHeight="1">
      <c r="A838" s="196">
        <v>231</v>
      </c>
      <c r="B838" s="71">
        <v>43788</v>
      </c>
      <c r="C838" s="2" t="s">
        <v>105</v>
      </c>
      <c r="D838" s="2" t="s">
        <v>1172</v>
      </c>
      <c r="E838" s="2"/>
      <c r="F838" s="2">
        <v>7716</v>
      </c>
      <c r="G838" s="72"/>
      <c r="H838" s="72">
        <v>35</v>
      </c>
      <c r="I838" s="72"/>
      <c r="J838" s="72">
        <v>1085</v>
      </c>
      <c r="K838" s="21">
        <v>180</v>
      </c>
      <c r="L838" s="21">
        <v>915</v>
      </c>
      <c r="M838" s="21">
        <v>184</v>
      </c>
      <c r="N838" s="21">
        <v>1200</v>
      </c>
      <c r="O838" s="2"/>
      <c r="P838" s="2"/>
      <c r="Q838" s="197"/>
    </row>
    <row r="839" spans="1:17" ht="15" customHeight="1">
      <c r="A839" s="196">
        <v>230</v>
      </c>
      <c r="B839" s="71">
        <v>43788</v>
      </c>
      <c r="C839" s="2" t="s">
        <v>37</v>
      </c>
      <c r="D839" s="2" t="s">
        <v>1092</v>
      </c>
      <c r="E839" s="2"/>
      <c r="F839" s="2">
        <v>7199</v>
      </c>
      <c r="G839" s="72"/>
      <c r="H839" s="72">
        <v>35</v>
      </c>
      <c r="I839" s="72"/>
      <c r="J839" s="72">
        <v>5.8</v>
      </c>
      <c r="K839" s="21">
        <v>282</v>
      </c>
      <c r="L839" s="21"/>
      <c r="M839" s="21">
        <v>285</v>
      </c>
      <c r="N839" s="21">
        <v>2132</v>
      </c>
      <c r="O839" s="2"/>
      <c r="P839" s="2"/>
      <c r="Q839" s="197" t="s">
        <v>1173</v>
      </c>
    </row>
    <row r="840" spans="1:17" ht="15" customHeight="1">
      <c r="A840" s="196">
        <v>229</v>
      </c>
      <c r="B840" s="71">
        <v>43788</v>
      </c>
      <c r="C840" s="2" t="s">
        <v>37</v>
      </c>
      <c r="D840" s="2" t="s">
        <v>1094</v>
      </c>
      <c r="E840" s="2"/>
      <c r="F840" s="2">
        <v>7199</v>
      </c>
      <c r="G840" s="72"/>
      <c r="H840" s="72">
        <v>35</v>
      </c>
      <c r="I840" s="72"/>
      <c r="J840" s="72">
        <v>9.25</v>
      </c>
      <c r="K840" s="21">
        <v>203</v>
      </c>
      <c r="L840" s="21"/>
      <c r="M840" s="21">
        <v>210</v>
      </c>
      <c r="N840" s="21">
        <v>1385</v>
      </c>
      <c r="O840" s="2"/>
      <c r="P840" s="2"/>
      <c r="Q840" s="197" t="s">
        <v>1154</v>
      </c>
    </row>
    <row r="841" spans="1:17" ht="15" customHeight="1">
      <c r="A841" s="196">
        <v>228</v>
      </c>
      <c r="B841" s="71">
        <v>43788</v>
      </c>
      <c r="C841" s="2" t="s">
        <v>38</v>
      </c>
      <c r="D841" s="2" t="s">
        <v>1094</v>
      </c>
      <c r="E841" s="2"/>
      <c r="F841" s="2">
        <v>7199</v>
      </c>
      <c r="G841" s="72"/>
      <c r="H841" s="72">
        <v>35</v>
      </c>
      <c r="I841" s="72"/>
      <c r="J841" s="72">
        <v>9.6</v>
      </c>
      <c r="K841" s="21">
        <v>203.5</v>
      </c>
      <c r="L841" s="21">
        <v>962</v>
      </c>
      <c r="M841" s="21">
        <v>211</v>
      </c>
      <c r="N841" s="21">
        <v>1395</v>
      </c>
      <c r="O841" s="2"/>
      <c r="P841" s="2"/>
      <c r="Q841" s="197" t="s">
        <v>1154</v>
      </c>
    </row>
    <row r="842" spans="1:17" ht="15" customHeight="1">
      <c r="A842" s="196">
        <v>227</v>
      </c>
      <c r="B842" s="71">
        <v>43788</v>
      </c>
      <c r="C842" s="2" t="s">
        <v>38</v>
      </c>
      <c r="D842" s="2" t="s">
        <v>1092</v>
      </c>
      <c r="E842" s="2"/>
      <c r="F842" s="2">
        <v>7199</v>
      </c>
      <c r="G842" s="72"/>
      <c r="H842" s="72">
        <v>35</v>
      </c>
      <c r="I842" s="72"/>
      <c r="J842" s="72">
        <v>6.3</v>
      </c>
      <c r="K842" s="21">
        <v>283</v>
      </c>
      <c r="L842" s="21">
        <v>1630</v>
      </c>
      <c r="M842" s="21">
        <v>285</v>
      </c>
      <c r="N842" s="21">
        <v>2085</v>
      </c>
      <c r="O842" s="2"/>
      <c r="P842" s="2"/>
      <c r="Q842" s="197" t="s">
        <v>1173</v>
      </c>
    </row>
    <row r="843" spans="1:17" ht="15" customHeight="1">
      <c r="A843" s="196">
        <v>226</v>
      </c>
      <c r="B843" s="71">
        <v>43787</v>
      </c>
      <c r="C843" s="2" t="s">
        <v>105</v>
      </c>
      <c r="D843" s="2" t="s">
        <v>1172</v>
      </c>
      <c r="E843" s="2"/>
      <c r="F843" s="2">
        <v>7716</v>
      </c>
      <c r="G843" s="72"/>
      <c r="H843" s="72">
        <v>35</v>
      </c>
      <c r="I843" s="72"/>
      <c r="J843" s="72">
        <v>11.3</v>
      </c>
      <c r="K843" s="21">
        <v>179</v>
      </c>
      <c r="L843" s="21">
        <v>900</v>
      </c>
      <c r="M843" s="21">
        <v>185</v>
      </c>
      <c r="N843" s="21">
        <v>1180</v>
      </c>
      <c r="O843" s="2"/>
      <c r="P843" s="2"/>
      <c r="Q843" s="197"/>
    </row>
    <row r="844" spans="1:17" ht="15" customHeight="1">
      <c r="A844" s="196">
        <v>225</v>
      </c>
      <c r="B844" s="71">
        <v>43785</v>
      </c>
      <c r="C844" s="2" t="s">
        <v>37</v>
      </c>
      <c r="D844" s="2" t="s">
        <v>1172</v>
      </c>
      <c r="E844" s="2"/>
      <c r="F844" s="2">
        <v>7716</v>
      </c>
      <c r="G844" s="72"/>
      <c r="H844" s="72">
        <v>35</v>
      </c>
      <c r="I844" s="72"/>
      <c r="J844" s="72">
        <v>12.2</v>
      </c>
      <c r="K844" s="21">
        <v>179</v>
      </c>
      <c r="L844" s="21">
        <v>810</v>
      </c>
      <c r="M844" s="21">
        <v>185</v>
      </c>
      <c r="N844" s="21">
        <v>1060</v>
      </c>
      <c r="O844" s="2"/>
      <c r="P844" s="2"/>
      <c r="Q844" s="197"/>
    </row>
    <row r="845" spans="1:17" ht="15" customHeight="1">
      <c r="A845" s="196">
        <v>224</v>
      </c>
      <c r="B845" s="71">
        <v>43782</v>
      </c>
      <c r="C845" s="2" t="s">
        <v>105</v>
      </c>
      <c r="D845" s="2" t="s">
        <v>1105</v>
      </c>
      <c r="E845" s="2"/>
      <c r="F845" s="2">
        <v>7717</v>
      </c>
      <c r="G845" s="72"/>
      <c r="H845" s="72">
        <v>35</v>
      </c>
      <c r="I845" s="72"/>
      <c r="J845" s="72">
        <v>10.85</v>
      </c>
      <c r="K845" s="21">
        <v>188</v>
      </c>
      <c r="L845" s="21">
        <v>900</v>
      </c>
      <c r="M845" s="21">
        <v>190</v>
      </c>
      <c r="N845" s="21">
        <v>1125</v>
      </c>
      <c r="O845" s="2"/>
      <c r="P845" s="2"/>
      <c r="Q845" s="197" t="s">
        <v>1141</v>
      </c>
    </row>
    <row r="846" spans="1:17" ht="15" customHeight="1">
      <c r="A846" s="196">
        <v>223</v>
      </c>
      <c r="B846" s="71">
        <v>43782</v>
      </c>
      <c r="C846" s="2" t="s">
        <v>105</v>
      </c>
      <c r="D846" s="2" t="s">
        <v>1170</v>
      </c>
      <c r="E846" s="2"/>
      <c r="F846" s="2">
        <v>7717</v>
      </c>
      <c r="G846" s="72"/>
      <c r="H846" s="72">
        <v>27</v>
      </c>
      <c r="I846" s="72"/>
      <c r="J846" s="72">
        <v>9.5</v>
      </c>
      <c r="K846" s="21">
        <v>198</v>
      </c>
      <c r="L846" s="21">
        <v>800</v>
      </c>
      <c r="M846" s="21">
        <v>200</v>
      </c>
      <c r="N846" s="21">
        <v>1068</v>
      </c>
      <c r="O846" s="2"/>
      <c r="P846" s="2"/>
      <c r="Q846" s="197" t="s">
        <v>1141</v>
      </c>
    </row>
    <row r="847" spans="1:17" ht="15" customHeight="1">
      <c r="A847" s="196">
        <v>222</v>
      </c>
      <c r="B847" s="71">
        <v>43780</v>
      </c>
      <c r="C847" s="2" t="s">
        <v>105</v>
      </c>
      <c r="D847" s="2" t="s">
        <v>1105</v>
      </c>
      <c r="E847" s="2"/>
      <c r="F847" s="2">
        <v>7717</v>
      </c>
      <c r="G847" s="72"/>
      <c r="H847" s="72">
        <v>35</v>
      </c>
      <c r="I847" s="72"/>
      <c r="J847" s="72">
        <v>10.8</v>
      </c>
      <c r="K847" s="21">
        <v>188</v>
      </c>
      <c r="L847" s="21">
        <v>900</v>
      </c>
      <c r="M847" s="21">
        <v>190</v>
      </c>
      <c r="N847" s="21">
        <v>1140</v>
      </c>
      <c r="O847" s="2"/>
      <c r="P847" s="2"/>
      <c r="Q847" s="197" t="s">
        <v>1169</v>
      </c>
    </row>
    <row r="848" spans="1:17" ht="15" customHeight="1">
      <c r="A848" s="196">
        <v>221</v>
      </c>
      <c r="B848" s="71">
        <v>43780</v>
      </c>
      <c r="C848" s="2" t="s">
        <v>105</v>
      </c>
      <c r="D848" s="2" t="s">
        <v>1170</v>
      </c>
      <c r="E848" s="2"/>
      <c r="F848" s="2">
        <v>7717</v>
      </c>
      <c r="G848" s="72"/>
      <c r="H848" s="72">
        <v>27</v>
      </c>
      <c r="I848" s="72"/>
      <c r="J848" s="72">
        <v>9.1</v>
      </c>
      <c r="K848" s="21">
        <v>198</v>
      </c>
      <c r="L848" s="21">
        <v>845</v>
      </c>
      <c r="M848" s="21">
        <v>200</v>
      </c>
      <c r="N848" s="21">
        <v>1075</v>
      </c>
      <c r="O848" s="2"/>
      <c r="P848" s="2"/>
      <c r="Q848" s="197" t="s">
        <v>1169</v>
      </c>
    </row>
    <row r="849" spans="1:17" ht="15" customHeight="1">
      <c r="A849" s="196">
        <v>220</v>
      </c>
      <c r="B849" s="71">
        <v>43780</v>
      </c>
      <c r="C849" s="2" t="s">
        <v>37</v>
      </c>
      <c r="D849" s="2" t="s">
        <v>1170</v>
      </c>
      <c r="E849" s="2"/>
      <c r="F849" s="2">
        <v>7717</v>
      </c>
      <c r="G849" s="72"/>
      <c r="H849" s="72">
        <v>27</v>
      </c>
      <c r="I849" s="72"/>
      <c r="J849" s="72">
        <v>9.4</v>
      </c>
      <c r="K849" s="21">
        <v>198</v>
      </c>
      <c r="L849" s="21">
        <v>815</v>
      </c>
      <c r="M849" s="21">
        <v>200</v>
      </c>
      <c r="N849" s="21">
        <v>1060</v>
      </c>
      <c r="O849" s="2"/>
      <c r="P849" s="2"/>
      <c r="Q849" s="197" t="s">
        <v>1171</v>
      </c>
    </row>
    <row r="850" spans="1:17" ht="15" customHeight="1">
      <c r="A850" s="196">
        <v>219</v>
      </c>
      <c r="B850" s="71">
        <v>43780</v>
      </c>
      <c r="C850" s="2" t="s">
        <v>37</v>
      </c>
      <c r="D850" s="2" t="s">
        <v>1105</v>
      </c>
      <c r="E850" s="2"/>
      <c r="F850" s="2">
        <v>7717</v>
      </c>
      <c r="G850" s="72"/>
      <c r="H850" s="72">
        <v>35</v>
      </c>
      <c r="I850" s="72"/>
      <c r="J850" s="72">
        <v>11</v>
      </c>
      <c r="K850" s="21">
        <v>188</v>
      </c>
      <c r="L850" s="21">
        <v>900</v>
      </c>
      <c r="M850" s="21">
        <v>191</v>
      </c>
      <c r="N850" s="21">
        <v>1135</v>
      </c>
      <c r="O850" s="2"/>
      <c r="P850" s="2"/>
      <c r="Q850" s="197"/>
    </row>
    <row r="851" spans="1:17" ht="15" customHeight="1">
      <c r="A851" s="196">
        <v>218</v>
      </c>
      <c r="B851" s="71">
        <v>43777</v>
      </c>
      <c r="C851" s="2" t="s">
        <v>37</v>
      </c>
      <c r="D851" s="2" t="s">
        <v>1109</v>
      </c>
      <c r="E851" s="2"/>
      <c r="F851" s="2">
        <v>7316</v>
      </c>
      <c r="G851" s="72"/>
      <c r="H851" s="72">
        <v>35</v>
      </c>
      <c r="I851" s="72"/>
      <c r="J851" s="72">
        <v>10.7</v>
      </c>
      <c r="K851" s="21">
        <v>195</v>
      </c>
      <c r="L851" s="21">
        <v>920</v>
      </c>
      <c r="M851" s="21">
        <v>206</v>
      </c>
      <c r="N851" s="21">
        <v>1335</v>
      </c>
      <c r="O851" s="2"/>
      <c r="P851" s="2"/>
      <c r="Q851" s="197"/>
    </row>
    <row r="852" spans="1:17" ht="15" customHeight="1">
      <c r="A852" s="196">
        <v>217</v>
      </c>
      <c r="B852" s="71">
        <v>43777</v>
      </c>
      <c r="C852" s="2" t="s">
        <v>37</v>
      </c>
      <c r="D852" s="2" t="s">
        <v>1108</v>
      </c>
      <c r="E852" s="2"/>
      <c r="F852" s="2">
        <v>7316</v>
      </c>
      <c r="G852" s="72"/>
      <c r="H852" s="72">
        <v>35</v>
      </c>
      <c r="I852" s="72"/>
      <c r="J852" s="72">
        <v>10.6</v>
      </c>
      <c r="K852" s="21">
        <v>196</v>
      </c>
      <c r="L852" s="21">
        <v>900</v>
      </c>
      <c r="M852" s="21">
        <v>206</v>
      </c>
      <c r="N852" s="21">
        <v>1310</v>
      </c>
      <c r="O852" s="2"/>
      <c r="P852" s="2"/>
      <c r="Q852" s="197" t="s">
        <v>1168</v>
      </c>
    </row>
    <row r="853" spans="1:17" ht="15" customHeight="1">
      <c r="A853" s="196">
        <v>216</v>
      </c>
      <c r="B853" s="71">
        <v>43776</v>
      </c>
      <c r="C853" s="2" t="s">
        <v>37</v>
      </c>
      <c r="D853" s="2" t="s">
        <v>1109</v>
      </c>
      <c r="E853" s="2"/>
      <c r="F853" s="2">
        <v>7316</v>
      </c>
      <c r="G853" s="72"/>
      <c r="H853" s="72">
        <v>35</v>
      </c>
      <c r="I853" s="72"/>
      <c r="J853" s="72">
        <v>10.6</v>
      </c>
      <c r="K853" s="21">
        <v>196</v>
      </c>
      <c r="L853" s="21"/>
      <c r="M853" s="21">
        <v>206</v>
      </c>
      <c r="N853" s="21">
        <v>1345</v>
      </c>
      <c r="O853" s="2"/>
      <c r="P853" s="2"/>
      <c r="Q853" s="197"/>
    </row>
    <row r="854" spans="1:17" ht="15" customHeight="1">
      <c r="A854" s="196">
        <v>215</v>
      </c>
      <c r="B854" s="71">
        <v>43776</v>
      </c>
      <c r="C854" s="2" t="s">
        <v>37</v>
      </c>
      <c r="D854" s="2" t="s">
        <v>1108</v>
      </c>
      <c r="E854" s="2"/>
      <c r="F854" s="2">
        <v>7316</v>
      </c>
      <c r="G854" s="72"/>
      <c r="H854" s="72">
        <v>35</v>
      </c>
      <c r="I854" s="72"/>
      <c r="J854" s="72">
        <v>10.6</v>
      </c>
      <c r="K854" s="21">
        <v>196</v>
      </c>
      <c r="L854" s="21"/>
      <c r="M854" s="21">
        <v>206</v>
      </c>
      <c r="N854" s="21">
        <v>1315</v>
      </c>
      <c r="O854" s="2"/>
      <c r="P854" s="2"/>
      <c r="Q854" s="197"/>
    </row>
    <row r="855" spans="1:17" ht="15" customHeight="1">
      <c r="A855" s="196">
        <v>214</v>
      </c>
      <c r="B855" s="71">
        <v>43776</v>
      </c>
      <c r="C855" s="2" t="s">
        <v>38</v>
      </c>
      <c r="D855" s="2" t="s">
        <v>1109</v>
      </c>
      <c r="E855" s="2"/>
      <c r="F855" s="2">
        <v>7316</v>
      </c>
      <c r="G855" s="72"/>
      <c r="H855" s="72">
        <v>35</v>
      </c>
      <c r="I855" s="72"/>
      <c r="J855" s="72">
        <v>10.199999999999999</v>
      </c>
      <c r="K855" s="21">
        <v>195</v>
      </c>
      <c r="L855" s="21">
        <v>960</v>
      </c>
      <c r="M855" s="21">
        <v>205</v>
      </c>
      <c r="N855" s="21">
        <v>1370</v>
      </c>
      <c r="O855" s="2"/>
      <c r="P855" s="2"/>
      <c r="Q855" s="197"/>
    </row>
    <row r="856" spans="1:17" ht="15" customHeight="1">
      <c r="A856" s="196">
        <v>213</v>
      </c>
      <c r="B856" s="71">
        <v>43762</v>
      </c>
      <c r="C856" s="2" t="s">
        <v>37</v>
      </c>
      <c r="D856" s="2" t="s">
        <v>1146</v>
      </c>
      <c r="E856" s="2"/>
      <c r="F856" s="2" t="s">
        <v>41</v>
      </c>
      <c r="G856" s="72"/>
      <c r="H856" s="72">
        <v>42.5</v>
      </c>
      <c r="I856" s="72"/>
      <c r="J856" s="72">
        <v>10.7</v>
      </c>
      <c r="K856" s="21">
        <v>229</v>
      </c>
      <c r="L856" s="21">
        <v>1145</v>
      </c>
      <c r="M856" s="21">
        <v>236</v>
      </c>
      <c r="N856" s="21">
        <v>1625</v>
      </c>
      <c r="O856" s="2"/>
      <c r="P856" s="2"/>
      <c r="Q856" s="197"/>
    </row>
    <row r="857" spans="1:17" ht="15" customHeight="1">
      <c r="A857" s="196">
        <v>212</v>
      </c>
      <c r="B857" s="71">
        <v>43761</v>
      </c>
      <c r="C857" s="2" t="s">
        <v>105</v>
      </c>
      <c r="D857" s="2" t="s">
        <v>1146</v>
      </c>
      <c r="E857" s="2"/>
      <c r="F857" s="2" t="s">
        <v>41</v>
      </c>
      <c r="G857" s="72"/>
      <c r="H857" s="72">
        <v>42.5</v>
      </c>
      <c r="I857" s="72"/>
      <c r="J857" s="72">
        <v>10.5</v>
      </c>
      <c r="K857" s="21">
        <v>226</v>
      </c>
      <c r="L857" s="21">
        <v>1140</v>
      </c>
      <c r="M857" s="21">
        <v>236</v>
      </c>
      <c r="N857" s="21">
        <v>1590</v>
      </c>
      <c r="O857" s="2"/>
      <c r="P857" s="2"/>
      <c r="Q857" s="197"/>
    </row>
    <row r="858" spans="1:17" ht="15" customHeight="1">
      <c r="A858" s="196">
        <v>211</v>
      </c>
      <c r="B858" s="71">
        <v>43761</v>
      </c>
      <c r="C858" s="2" t="s">
        <v>105</v>
      </c>
      <c r="D858" s="2" t="s">
        <v>1146</v>
      </c>
      <c r="E858" s="2"/>
      <c r="F858" s="2" t="s">
        <v>41</v>
      </c>
      <c r="G858" s="72"/>
      <c r="H858" s="72">
        <v>42.5</v>
      </c>
      <c r="I858" s="72"/>
      <c r="J858" s="72">
        <v>10.7</v>
      </c>
      <c r="K858" s="21">
        <v>225</v>
      </c>
      <c r="L858" s="21">
        <v>1140</v>
      </c>
      <c r="M858" s="21">
        <v>235</v>
      </c>
      <c r="N858" s="21">
        <v>1645</v>
      </c>
      <c r="O858" s="2"/>
      <c r="P858" s="2"/>
      <c r="Q858" s="197" t="s">
        <v>1774</v>
      </c>
    </row>
    <row r="859" spans="1:17" ht="15" customHeight="1">
      <c r="A859" s="196">
        <v>210</v>
      </c>
      <c r="B859" s="71">
        <v>43761</v>
      </c>
      <c r="C859" s="2" t="s">
        <v>38</v>
      </c>
      <c r="D859" s="2" t="s">
        <v>1055</v>
      </c>
      <c r="E859" s="2"/>
      <c r="F859" s="2" t="s">
        <v>41</v>
      </c>
      <c r="G859" s="72"/>
      <c r="H859" s="72">
        <v>42.5</v>
      </c>
      <c r="I859" s="72"/>
      <c r="J859" s="72">
        <v>10.3</v>
      </c>
      <c r="K859" s="21">
        <v>257</v>
      </c>
      <c r="L859" s="21">
        <v>1170</v>
      </c>
      <c r="M859" s="21">
        <v>260</v>
      </c>
      <c r="N859" s="21">
        <v>1532</v>
      </c>
      <c r="O859" s="2"/>
      <c r="P859" s="2"/>
      <c r="Q859" s="197" t="s">
        <v>1149</v>
      </c>
    </row>
    <row r="860" spans="1:17" ht="15" customHeight="1">
      <c r="A860" s="196">
        <v>209</v>
      </c>
      <c r="B860" s="71">
        <v>43760</v>
      </c>
      <c r="C860" s="2" t="s">
        <v>37</v>
      </c>
      <c r="D860" s="2" t="s">
        <v>1146</v>
      </c>
      <c r="E860" s="2"/>
      <c r="F860" s="2" t="s">
        <v>41</v>
      </c>
      <c r="G860" s="72"/>
      <c r="H860" s="72">
        <v>42.5</v>
      </c>
      <c r="I860" s="72"/>
      <c r="J860" s="72">
        <v>10.7</v>
      </c>
      <c r="K860" s="21">
        <v>227</v>
      </c>
      <c r="L860" s="21">
        <v>1140</v>
      </c>
      <c r="M860" s="21">
        <v>237</v>
      </c>
      <c r="N860" s="21">
        <v>1585</v>
      </c>
      <c r="O860" s="2"/>
      <c r="P860" s="2"/>
      <c r="Q860" s="197"/>
    </row>
    <row r="861" spans="1:17" ht="15" customHeight="1">
      <c r="A861" s="196">
        <v>208</v>
      </c>
      <c r="B861" s="71">
        <v>43760</v>
      </c>
      <c r="C861" s="2" t="s">
        <v>37</v>
      </c>
      <c r="D861" s="2" t="s">
        <v>1055</v>
      </c>
      <c r="E861" s="2"/>
      <c r="F861" s="2" t="s">
        <v>41</v>
      </c>
      <c r="G861" s="72"/>
      <c r="H861" s="72">
        <v>42.5</v>
      </c>
      <c r="I861" s="72"/>
      <c r="J861" s="72">
        <v>10</v>
      </c>
      <c r="K861" s="21">
        <v>256</v>
      </c>
      <c r="L861" s="21">
        <v>1215</v>
      </c>
      <c r="M861" s="21">
        <v>259</v>
      </c>
      <c r="N861" s="21">
        <v>1570</v>
      </c>
      <c r="O861" s="2"/>
      <c r="P861" s="2"/>
      <c r="Q861" s="197"/>
    </row>
    <row r="862" spans="1:17" ht="15" customHeight="1">
      <c r="A862" s="196">
        <v>207</v>
      </c>
      <c r="B862" s="71">
        <v>43760</v>
      </c>
      <c r="C862" s="2" t="s">
        <v>37</v>
      </c>
      <c r="D862" s="2" t="s">
        <v>1053</v>
      </c>
      <c r="E862" s="2"/>
      <c r="F862" s="2" t="s">
        <v>41</v>
      </c>
      <c r="G862" s="72"/>
      <c r="H862" s="72">
        <v>35</v>
      </c>
      <c r="I862" s="72"/>
      <c r="J862" s="72">
        <v>12.1</v>
      </c>
      <c r="K862" s="21">
        <v>203</v>
      </c>
      <c r="L862" s="21">
        <v>810</v>
      </c>
      <c r="M862" s="21">
        <v>212</v>
      </c>
      <c r="N862" s="21">
        <v>1160</v>
      </c>
      <c r="O862" s="2"/>
      <c r="P862" s="2"/>
      <c r="Q862" s="197" t="s">
        <v>1167</v>
      </c>
    </row>
    <row r="863" spans="1:17" ht="15" customHeight="1">
      <c r="A863" s="196">
        <v>206</v>
      </c>
      <c r="B863" s="71">
        <v>43750</v>
      </c>
      <c r="C863" s="2" t="s">
        <v>105</v>
      </c>
      <c r="D863" s="2" t="s">
        <v>1131</v>
      </c>
      <c r="E863" s="2"/>
      <c r="F863" s="2" t="s">
        <v>41</v>
      </c>
      <c r="G863" s="72"/>
      <c r="H863" s="72">
        <v>35</v>
      </c>
      <c r="I863" s="72"/>
      <c r="J863" s="72">
        <v>10.1</v>
      </c>
      <c r="K863" s="21">
        <v>189</v>
      </c>
      <c r="L863" s="21">
        <v>980</v>
      </c>
      <c r="M863" s="21">
        <v>195</v>
      </c>
      <c r="N863" s="21">
        <v>1200</v>
      </c>
      <c r="O863" s="2"/>
      <c r="P863" s="2"/>
      <c r="Q863" s="197"/>
    </row>
    <row r="864" spans="1:17" ht="15" customHeight="1">
      <c r="A864" s="196">
        <v>205</v>
      </c>
      <c r="B864" s="71">
        <v>43749</v>
      </c>
      <c r="C864" s="2" t="s">
        <v>105</v>
      </c>
      <c r="D864" s="2" t="s">
        <v>1131</v>
      </c>
      <c r="E864" s="2"/>
      <c r="F864" s="2" t="s">
        <v>41</v>
      </c>
      <c r="G864" s="72"/>
      <c r="H864" s="72">
        <v>35</v>
      </c>
      <c r="I864" s="72"/>
      <c r="J864" s="72">
        <v>10.45</v>
      </c>
      <c r="K864" s="21">
        <v>188</v>
      </c>
      <c r="L864" s="21">
        <v>915</v>
      </c>
      <c r="M864" s="21">
        <v>195</v>
      </c>
      <c r="N864" s="21">
        <v>1135</v>
      </c>
      <c r="O864" s="2"/>
      <c r="P864" s="2"/>
      <c r="Q864" s="197"/>
    </row>
    <row r="865" spans="1:17" ht="15" customHeight="1">
      <c r="A865" s="196">
        <v>204</v>
      </c>
      <c r="B865" s="71">
        <v>43749</v>
      </c>
      <c r="C865" s="2" t="s">
        <v>105</v>
      </c>
      <c r="D865" s="2" t="s">
        <v>1146</v>
      </c>
      <c r="E865" s="2"/>
      <c r="F865" s="2" t="s">
        <v>41</v>
      </c>
      <c r="G865" s="72"/>
      <c r="H865" s="72">
        <v>42.5</v>
      </c>
      <c r="I865" s="72"/>
      <c r="J865" s="72">
        <v>10.8</v>
      </c>
      <c r="K865" s="21">
        <v>225</v>
      </c>
      <c r="L865" s="21">
        <v>1140</v>
      </c>
      <c r="M865" s="21">
        <v>236</v>
      </c>
      <c r="N865" s="21">
        <v>1600</v>
      </c>
      <c r="O865" s="2"/>
      <c r="P865" s="2"/>
      <c r="Q865" s="197" t="s">
        <v>1166</v>
      </c>
    </row>
    <row r="866" spans="1:17" ht="15" customHeight="1">
      <c r="A866" s="196">
        <v>203</v>
      </c>
      <c r="B866" s="71">
        <v>43749</v>
      </c>
      <c r="C866" s="2" t="s">
        <v>37</v>
      </c>
      <c r="D866" s="2" t="s">
        <v>1131</v>
      </c>
      <c r="E866" s="2"/>
      <c r="F866" s="2" t="s">
        <v>41</v>
      </c>
      <c r="G866" s="72"/>
      <c r="H866" s="72">
        <v>35</v>
      </c>
      <c r="I866" s="72"/>
      <c r="J866" s="72">
        <v>10.67</v>
      </c>
      <c r="K866" s="21">
        <v>188</v>
      </c>
      <c r="L866" s="21">
        <v>910</v>
      </c>
      <c r="M866" s="21">
        <v>194</v>
      </c>
      <c r="N866" s="21">
        <v>1172</v>
      </c>
      <c r="O866" s="2"/>
      <c r="P866" s="2"/>
      <c r="Q866" s="197" t="s">
        <v>1147</v>
      </c>
    </row>
    <row r="867" spans="1:17" ht="15" customHeight="1">
      <c r="A867" s="196">
        <v>202</v>
      </c>
      <c r="B867" s="71">
        <v>43748</v>
      </c>
      <c r="C867" s="2" t="s">
        <v>37</v>
      </c>
      <c r="D867" s="2" t="s">
        <v>1131</v>
      </c>
      <c r="E867" s="2"/>
      <c r="F867" s="2" t="s">
        <v>41</v>
      </c>
      <c r="G867" s="72"/>
      <c r="H867" s="72">
        <v>35</v>
      </c>
      <c r="I867" s="72"/>
      <c r="J867" s="72">
        <v>9.9499999999999993</v>
      </c>
      <c r="K867" s="21">
        <v>189</v>
      </c>
      <c r="L867" s="21">
        <v>1000</v>
      </c>
      <c r="M867" s="21">
        <v>195</v>
      </c>
      <c r="N867" s="21">
        <v>1225</v>
      </c>
      <c r="O867" s="2"/>
      <c r="P867" s="2"/>
      <c r="Q867" s="197" t="s">
        <v>1164</v>
      </c>
    </row>
    <row r="868" spans="1:17" ht="15" customHeight="1">
      <c r="A868" s="196">
        <v>201</v>
      </c>
      <c r="B868" s="71">
        <v>43748</v>
      </c>
      <c r="C868" s="2" t="s">
        <v>37</v>
      </c>
      <c r="D868" s="2" t="s">
        <v>1165</v>
      </c>
      <c r="E868" s="2"/>
      <c r="F868" s="2" t="s">
        <v>41</v>
      </c>
      <c r="G868" s="72"/>
      <c r="H868" s="72">
        <v>35</v>
      </c>
      <c r="I868" s="72"/>
      <c r="J868" s="72">
        <v>13.21</v>
      </c>
      <c r="K868" s="21">
        <v>186</v>
      </c>
      <c r="L868" s="21">
        <v>744</v>
      </c>
      <c r="M868" s="21">
        <v>196</v>
      </c>
      <c r="N868" s="21">
        <v>1025</v>
      </c>
      <c r="O868" s="2"/>
      <c r="P868" s="2"/>
      <c r="Q868" s="197" t="s">
        <v>1166</v>
      </c>
    </row>
    <row r="869" spans="1:17" ht="15" customHeight="1">
      <c r="A869" s="196">
        <v>200</v>
      </c>
      <c r="B869" s="71">
        <v>43747</v>
      </c>
      <c r="C869" s="2" t="s">
        <v>105</v>
      </c>
      <c r="D869" s="2" t="s">
        <v>1146</v>
      </c>
      <c r="E869" s="2"/>
      <c r="F869" s="2" t="s">
        <v>41</v>
      </c>
      <c r="G869" s="72"/>
      <c r="H869" s="72">
        <v>42.5</v>
      </c>
      <c r="I869" s="72"/>
      <c r="J869" s="72">
        <v>10.050000000000001</v>
      </c>
      <c r="K869" s="21">
        <v>227</v>
      </c>
      <c r="L869" s="21">
        <v>1360</v>
      </c>
      <c r="M869" s="21"/>
      <c r="N869" s="21">
        <v>1595</v>
      </c>
      <c r="O869" s="2"/>
      <c r="P869" s="2"/>
      <c r="Q869" s="197"/>
    </row>
    <row r="870" spans="1:17" ht="15" customHeight="1">
      <c r="A870" s="196">
        <v>199</v>
      </c>
      <c r="B870" s="71">
        <v>43744</v>
      </c>
      <c r="C870" s="2" t="s">
        <v>105</v>
      </c>
      <c r="D870" s="2" t="s">
        <v>1094</v>
      </c>
      <c r="E870" s="2"/>
      <c r="F870" s="2" t="s">
        <v>70</v>
      </c>
      <c r="G870" s="72"/>
      <c r="H870" s="72">
        <v>35</v>
      </c>
      <c r="I870" s="72"/>
      <c r="J870" s="72">
        <v>9.27</v>
      </c>
      <c r="K870" s="21">
        <v>203</v>
      </c>
      <c r="L870" s="21">
        <v>1016</v>
      </c>
      <c r="M870" s="21"/>
      <c r="N870" s="21">
        <v>1428</v>
      </c>
      <c r="O870" s="2"/>
      <c r="P870" s="2"/>
      <c r="Q870" s="197" t="s">
        <v>1160</v>
      </c>
    </row>
    <row r="871" spans="1:17" ht="15" customHeight="1">
      <c r="A871" s="196">
        <v>198</v>
      </c>
      <c r="B871" s="71">
        <v>43744</v>
      </c>
      <c r="C871" s="2" t="s">
        <v>105</v>
      </c>
      <c r="D871" s="2" t="s">
        <v>1098</v>
      </c>
      <c r="E871" s="2"/>
      <c r="F871" s="2" t="s">
        <v>70</v>
      </c>
      <c r="G871" s="72"/>
      <c r="H871" s="72">
        <v>35</v>
      </c>
      <c r="I871" s="72"/>
      <c r="J871" s="72">
        <v>10.35</v>
      </c>
      <c r="K871" s="21">
        <v>201</v>
      </c>
      <c r="L871" s="21">
        <v>920</v>
      </c>
      <c r="M871" s="21"/>
      <c r="N871" s="21">
        <v>1310</v>
      </c>
      <c r="O871" s="2"/>
      <c r="P871" s="2"/>
      <c r="Q871" s="197" t="s">
        <v>1160</v>
      </c>
    </row>
    <row r="872" spans="1:17" ht="15" customHeight="1">
      <c r="A872" s="196">
        <v>197</v>
      </c>
      <c r="B872" s="71">
        <v>43744</v>
      </c>
      <c r="C872" s="2" t="s">
        <v>105</v>
      </c>
      <c r="D872" s="2" t="s">
        <v>1098</v>
      </c>
      <c r="E872" s="2"/>
      <c r="F872" s="2" t="s">
        <v>70</v>
      </c>
      <c r="G872" s="72"/>
      <c r="H872" s="72">
        <v>35</v>
      </c>
      <c r="I872" s="72"/>
      <c r="J872" s="72">
        <v>10.199999999999999</v>
      </c>
      <c r="K872" s="21">
        <v>203</v>
      </c>
      <c r="L872" s="21">
        <v>935</v>
      </c>
      <c r="M872" s="21"/>
      <c r="N872" s="21">
        <v>1322</v>
      </c>
      <c r="O872" s="2"/>
      <c r="P872" s="2"/>
      <c r="Q872" s="197" t="s">
        <v>1161</v>
      </c>
    </row>
    <row r="873" spans="1:17" ht="15" customHeight="1">
      <c r="A873" s="196">
        <v>196</v>
      </c>
      <c r="B873" s="71">
        <v>43744</v>
      </c>
      <c r="C873" s="2" t="s">
        <v>105</v>
      </c>
      <c r="D873" s="2" t="s">
        <v>1146</v>
      </c>
      <c r="E873" s="2"/>
      <c r="F873" s="2" t="s">
        <v>41</v>
      </c>
      <c r="G873" s="72"/>
      <c r="H873" s="72">
        <v>42.5</v>
      </c>
      <c r="I873" s="72"/>
      <c r="J873" s="72">
        <v>10.15</v>
      </c>
      <c r="K873" s="21">
        <v>227</v>
      </c>
      <c r="L873" s="21">
        <v>1345</v>
      </c>
      <c r="M873" s="21">
        <v>236</v>
      </c>
      <c r="N873" s="21">
        <v>1655</v>
      </c>
      <c r="O873" s="2"/>
      <c r="P873" s="2"/>
      <c r="Q873" s="197"/>
    </row>
    <row r="874" spans="1:17" ht="15" customHeight="1">
      <c r="A874" s="196">
        <v>195</v>
      </c>
      <c r="B874" s="71">
        <v>43744</v>
      </c>
      <c r="C874" s="2" t="s">
        <v>105</v>
      </c>
      <c r="D874" s="2" t="s">
        <v>1131</v>
      </c>
      <c r="E874" s="2"/>
      <c r="F874" s="2" t="s">
        <v>41</v>
      </c>
      <c r="G874" s="72"/>
      <c r="H874" s="72">
        <v>35</v>
      </c>
      <c r="I874" s="72"/>
      <c r="J874" s="72">
        <v>9.5</v>
      </c>
      <c r="K874" s="21">
        <v>188</v>
      </c>
      <c r="L874" s="21">
        <v>1135</v>
      </c>
      <c r="M874" s="21">
        <v>193</v>
      </c>
      <c r="N874" s="21">
        <v>1293</v>
      </c>
      <c r="O874" s="2"/>
      <c r="P874" s="2"/>
      <c r="Q874" s="197" t="s">
        <v>1162</v>
      </c>
    </row>
    <row r="875" spans="1:17" ht="15" customHeight="1">
      <c r="A875" s="196">
        <v>194</v>
      </c>
      <c r="B875" s="71">
        <v>43744</v>
      </c>
      <c r="C875" s="2" t="s">
        <v>105</v>
      </c>
      <c r="D875" s="2" t="s">
        <v>1133</v>
      </c>
      <c r="E875" s="2"/>
      <c r="F875" s="2" t="s">
        <v>41</v>
      </c>
      <c r="G875" s="72"/>
      <c r="H875" s="72">
        <v>35</v>
      </c>
      <c r="I875" s="72"/>
      <c r="J875" s="72">
        <v>9.75</v>
      </c>
      <c r="K875" s="21">
        <v>180</v>
      </c>
      <c r="L875" s="21">
        <v>1127</v>
      </c>
      <c r="M875" s="21">
        <v>185</v>
      </c>
      <c r="N875" s="21">
        <v>1230</v>
      </c>
      <c r="O875" s="2"/>
      <c r="P875" s="2"/>
      <c r="Q875" s="197" t="s">
        <v>1163</v>
      </c>
    </row>
    <row r="876" spans="1:17" ht="15" customHeight="1">
      <c r="A876" s="196">
        <v>193</v>
      </c>
      <c r="B876" s="71">
        <v>43744</v>
      </c>
      <c r="C876" s="2" t="s">
        <v>105</v>
      </c>
      <c r="D876" s="2" t="s">
        <v>1146</v>
      </c>
      <c r="E876" s="2"/>
      <c r="F876" s="2" t="s">
        <v>41</v>
      </c>
      <c r="G876" s="72"/>
      <c r="H876" s="72">
        <v>42.5</v>
      </c>
      <c r="I876" s="72"/>
      <c r="J876" s="72">
        <v>10.55</v>
      </c>
      <c r="K876" s="21">
        <v>225</v>
      </c>
      <c r="L876" s="21"/>
      <c r="M876" s="21">
        <v>236</v>
      </c>
      <c r="N876" s="21">
        <v>1630</v>
      </c>
      <c r="O876" s="2"/>
      <c r="P876" s="2"/>
      <c r="Q876" s="197"/>
    </row>
    <row r="877" spans="1:17" ht="15" customHeight="1">
      <c r="A877" s="196">
        <v>192</v>
      </c>
      <c r="B877" s="206">
        <v>43743</v>
      </c>
      <c r="C877" s="2" t="s">
        <v>105</v>
      </c>
      <c r="D877" s="2" t="s">
        <v>1146</v>
      </c>
      <c r="E877" s="2"/>
      <c r="F877" s="2" t="s">
        <v>1157</v>
      </c>
      <c r="G877" s="72"/>
      <c r="H877" s="72">
        <v>42.5</v>
      </c>
      <c r="I877" s="72"/>
      <c r="J877" s="72">
        <v>9.6</v>
      </c>
      <c r="K877" s="21">
        <v>228</v>
      </c>
      <c r="L877" s="21">
        <v>1420</v>
      </c>
      <c r="M877" s="21">
        <v>235</v>
      </c>
      <c r="N877" s="21">
        <v>1660</v>
      </c>
      <c r="O877" s="2"/>
      <c r="P877" s="2"/>
      <c r="Q877" s="197" t="s">
        <v>157</v>
      </c>
    </row>
    <row r="878" spans="1:17" ht="15" customHeight="1">
      <c r="A878" s="196">
        <v>191</v>
      </c>
      <c r="B878" s="206">
        <v>43743</v>
      </c>
      <c r="C878" s="2" t="s">
        <v>105</v>
      </c>
      <c r="D878" s="2" t="s">
        <v>1131</v>
      </c>
      <c r="E878" s="2"/>
      <c r="F878" s="2" t="s">
        <v>1157</v>
      </c>
      <c r="G878" s="72"/>
      <c r="H878" s="72">
        <v>35</v>
      </c>
      <c r="I878" s="72"/>
      <c r="J878" s="72">
        <v>9.8000000000000007</v>
      </c>
      <c r="K878" s="21">
        <v>190</v>
      </c>
      <c r="L878" s="21">
        <v>1120</v>
      </c>
      <c r="M878" s="21">
        <v>194</v>
      </c>
      <c r="N878" s="21">
        <v>1255</v>
      </c>
      <c r="O878" s="2"/>
      <c r="P878" s="2"/>
      <c r="Q878" s="197" t="s">
        <v>1158</v>
      </c>
    </row>
    <row r="879" spans="1:17" ht="15" customHeight="1">
      <c r="A879" s="196">
        <v>190</v>
      </c>
      <c r="B879" s="206">
        <v>43743</v>
      </c>
      <c r="C879" s="2" t="s">
        <v>105</v>
      </c>
      <c r="D879" s="2" t="s">
        <v>1133</v>
      </c>
      <c r="E879" s="2"/>
      <c r="F879" s="2" t="s">
        <v>1157</v>
      </c>
      <c r="G879" s="72"/>
      <c r="H879" s="72">
        <v>35</v>
      </c>
      <c r="I879" s="72"/>
      <c r="J879" s="72">
        <v>10</v>
      </c>
      <c r="K879" s="21">
        <v>180</v>
      </c>
      <c r="L879" s="21">
        <v>1090</v>
      </c>
      <c r="M879" s="21">
        <v>185</v>
      </c>
      <c r="N879" s="21">
        <v>1195</v>
      </c>
      <c r="O879" s="2"/>
      <c r="P879" s="2"/>
      <c r="Q879" s="197"/>
    </row>
    <row r="880" spans="1:17" ht="15" customHeight="1">
      <c r="A880" s="196">
        <v>189</v>
      </c>
      <c r="B880" s="206">
        <v>43743</v>
      </c>
      <c r="C880" s="2" t="s">
        <v>105</v>
      </c>
      <c r="D880" s="2" t="s">
        <v>1146</v>
      </c>
      <c r="E880" s="2"/>
      <c r="F880" s="2" t="s">
        <v>1157</v>
      </c>
      <c r="G880" s="72"/>
      <c r="H880" s="72">
        <v>42.5</v>
      </c>
      <c r="I880" s="72"/>
      <c r="J880" s="72">
        <v>10.7</v>
      </c>
      <c r="K880" s="21">
        <v>225</v>
      </c>
      <c r="L880" s="21">
        <v>1300</v>
      </c>
      <c r="M880" s="21">
        <v>236</v>
      </c>
      <c r="N880" s="21"/>
      <c r="O880" s="2"/>
      <c r="P880" s="2"/>
      <c r="Q880" s="197" t="s">
        <v>1159</v>
      </c>
    </row>
    <row r="881" spans="1:17" ht="15" customHeight="1">
      <c r="A881" s="196">
        <v>188</v>
      </c>
      <c r="B881" s="71">
        <v>43742</v>
      </c>
      <c r="C881" s="2" t="s">
        <v>105</v>
      </c>
      <c r="D881" s="2" t="s">
        <v>1133</v>
      </c>
      <c r="E881" s="2"/>
      <c r="F881" s="2" t="s">
        <v>41</v>
      </c>
      <c r="G881" s="72"/>
      <c r="H881" s="72">
        <v>35</v>
      </c>
      <c r="I881" s="72"/>
      <c r="J881" s="72">
        <v>10.47</v>
      </c>
      <c r="K881" s="21">
        <v>177</v>
      </c>
      <c r="L881" s="21">
        <v>955</v>
      </c>
      <c r="M881" s="21">
        <v>183</v>
      </c>
      <c r="N881" s="21">
        <v>1172</v>
      </c>
      <c r="O881" s="2"/>
      <c r="P881" s="2"/>
      <c r="Q881" s="197"/>
    </row>
    <row r="882" spans="1:17" ht="15" customHeight="1">
      <c r="A882" s="196">
        <v>187</v>
      </c>
      <c r="B882" s="71">
        <v>43742</v>
      </c>
      <c r="C882" s="2" t="s">
        <v>105</v>
      </c>
      <c r="D882" s="2" t="s">
        <v>1133</v>
      </c>
      <c r="E882" s="2"/>
      <c r="F882" s="2" t="s">
        <v>41</v>
      </c>
      <c r="G882" s="72"/>
      <c r="H882" s="72">
        <v>35</v>
      </c>
      <c r="I882" s="72"/>
      <c r="J882" s="72">
        <v>11.09</v>
      </c>
      <c r="K882" s="21"/>
      <c r="L882" s="21"/>
      <c r="M882" s="21"/>
      <c r="N882" s="21">
        <v>1155</v>
      </c>
      <c r="O882" s="2"/>
      <c r="P882" s="2"/>
      <c r="Q882" s="197"/>
    </row>
    <row r="883" spans="1:17" ht="15" customHeight="1">
      <c r="A883" s="196">
        <v>186</v>
      </c>
      <c r="B883" s="71">
        <v>43742</v>
      </c>
      <c r="C883" s="2" t="s">
        <v>105</v>
      </c>
      <c r="D883" s="2" t="s">
        <v>1074</v>
      </c>
      <c r="E883" s="2"/>
      <c r="F883" s="2" t="s">
        <v>41</v>
      </c>
      <c r="G883" s="72"/>
      <c r="H883" s="72">
        <v>42.5</v>
      </c>
      <c r="I883" s="72"/>
      <c r="J883" s="72">
        <v>10.95</v>
      </c>
      <c r="K883" s="21"/>
      <c r="L883" s="21"/>
      <c r="M883" s="21"/>
      <c r="N883" s="21">
        <v>1419</v>
      </c>
      <c r="O883" s="2"/>
      <c r="P883" s="2"/>
      <c r="Q883" s="197"/>
    </row>
    <row r="884" spans="1:17" ht="15" customHeight="1">
      <c r="A884" s="196">
        <v>185</v>
      </c>
      <c r="B884" s="71">
        <v>43742</v>
      </c>
      <c r="C884" s="2" t="s">
        <v>105</v>
      </c>
      <c r="D884" s="2" t="s">
        <v>1131</v>
      </c>
      <c r="E884" s="2"/>
      <c r="F884" s="2" t="s">
        <v>41</v>
      </c>
      <c r="G884" s="72"/>
      <c r="H884" s="72">
        <v>35</v>
      </c>
      <c r="I884" s="72"/>
      <c r="J884" s="72"/>
      <c r="K884" s="21"/>
      <c r="L884" s="21"/>
      <c r="M884" s="21"/>
      <c r="N884" s="21"/>
      <c r="O884" s="2"/>
      <c r="P884" s="2"/>
      <c r="Q884" s="197"/>
    </row>
    <row r="885" spans="1:17" ht="15" customHeight="1">
      <c r="A885" s="196">
        <v>184</v>
      </c>
      <c r="B885" s="71">
        <v>43742</v>
      </c>
      <c r="C885" s="2" t="s">
        <v>105</v>
      </c>
      <c r="D885" s="2" t="s">
        <v>1146</v>
      </c>
      <c r="E885" s="2"/>
      <c r="F885" s="2" t="s">
        <v>41</v>
      </c>
      <c r="G885" s="72"/>
      <c r="H885" s="72">
        <v>42.5</v>
      </c>
      <c r="I885" s="72"/>
      <c r="J885" s="72">
        <v>10.45</v>
      </c>
      <c r="K885" s="21">
        <v>226</v>
      </c>
      <c r="L885" s="21">
        <v>1330</v>
      </c>
      <c r="M885" s="21">
        <v>236</v>
      </c>
      <c r="N885" s="21">
        <v>1636</v>
      </c>
      <c r="O885" s="2"/>
      <c r="P885" s="2"/>
      <c r="Q885" s="197"/>
    </row>
    <row r="886" spans="1:17" ht="15" customHeight="1">
      <c r="A886" s="196">
        <v>183</v>
      </c>
      <c r="B886" s="71">
        <v>43742</v>
      </c>
      <c r="C886" s="2" t="s">
        <v>105</v>
      </c>
      <c r="D886" s="2" t="s">
        <v>1094</v>
      </c>
      <c r="E886" s="2"/>
      <c r="F886" s="2" t="s">
        <v>70</v>
      </c>
      <c r="G886" s="72"/>
      <c r="H886" s="72">
        <v>35</v>
      </c>
      <c r="I886" s="72"/>
      <c r="J886" s="72">
        <v>9.25</v>
      </c>
      <c r="K886" s="21">
        <v>204</v>
      </c>
      <c r="L886" s="21">
        <v>1040</v>
      </c>
      <c r="M886" s="21">
        <v>211</v>
      </c>
      <c r="N886" s="21">
        <v>1408</v>
      </c>
      <c r="O886" s="2"/>
      <c r="P886" s="2"/>
      <c r="Q886" s="197" t="s">
        <v>1155</v>
      </c>
    </row>
    <row r="887" spans="1:17" ht="15" customHeight="1">
      <c r="A887" s="196">
        <v>182</v>
      </c>
      <c r="B887" s="71">
        <v>43742</v>
      </c>
      <c r="C887" s="2" t="s">
        <v>105</v>
      </c>
      <c r="D887" s="2" t="s">
        <v>1098</v>
      </c>
      <c r="E887" s="2"/>
      <c r="F887" s="2" t="s">
        <v>70</v>
      </c>
      <c r="G887" s="72"/>
      <c r="H887" s="72">
        <v>35</v>
      </c>
      <c r="I887" s="72"/>
      <c r="J887" s="72">
        <v>10.3</v>
      </c>
      <c r="K887" s="21">
        <v>202</v>
      </c>
      <c r="L887" s="21">
        <v>920</v>
      </c>
      <c r="M887" s="21">
        <v>211</v>
      </c>
      <c r="N887" s="21">
        <v>1298</v>
      </c>
      <c r="O887" s="2"/>
      <c r="P887" s="2"/>
      <c r="Q887" s="197" t="s">
        <v>1156</v>
      </c>
    </row>
    <row r="888" spans="1:17" ht="15" customHeight="1">
      <c r="A888" s="196">
        <v>181</v>
      </c>
      <c r="B888" s="71">
        <v>43738</v>
      </c>
      <c r="C888" s="2" t="s">
        <v>105</v>
      </c>
      <c r="D888" s="2" t="s">
        <v>1133</v>
      </c>
      <c r="E888" s="2"/>
      <c r="F888" s="2" t="s">
        <v>41</v>
      </c>
      <c r="G888" s="72"/>
      <c r="H888" s="72">
        <v>35</v>
      </c>
      <c r="I888" s="72"/>
      <c r="J888" s="72">
        <v>11.3</v>
      </c>
      <c r="K888" s="21">
        <v>178</v>
      </c>
      <c r="L888" s="21">
        <v>895</v>
      </c>
      <c r="M888" s="21">
        <v>184</v>
      </c>
      <c r="N888" s="21">
        <v>1120</v>
      </c>
      <c r="O888" s="2"/>
      <c r="P888" s="2"/>
      <c r="Q888" s="197"/>
    </row>
    <row r="889" spans="1:17" ht="15" customHeight="1">
      <c r="A889" s="196">
        <v>180</v>
      </c>
      <c r="B889" s="71">
        <v>43738</v>
      </c>
      <c r="C889" s="2" t="s">
        <v>37</v>
      </c>
      <c r="D889" s="2" t="s">
        <v>1133</v>
      </c>
      <c r="E889" s="2"/>
      <c r="F889" s="2" t="s">
        <v>41</v>
      </c>
      <c r="G889" s="72"/>
      <c r="H889" s="72">
        <v>35</v>
      </c>
      <c r="I889" s="72"/>
      <c r="J889" s="72">
        <v>10.65</v>
      </c>
      <c r="K889" s="21">
        <v>178</v>
      </c>
      <c r="L889" s="21">
        <v>945</v>
      </c>
      <c r="M889" s="21">
        <v>184</v>
      </c>
      <c r="N889" s="21">
        <v>1172</v>
      </c>
      <c r="O889" s="2"/>
      <c r="P889" s="2"/>
      <c r="Q889" s="197"/>
    </row>
    <row r="890" spans="1:17" ht="15" customHeight="1">
      <c r="A890" s="196">
        <v>179</v>
      </c>
      <c r="B890" s="71">
        <v>43737</v>
      </c>
      <c r="C890" s="2" t="s">
        <v>105</v>
      </c>
      <c r="D890" s="2" t="s">
        <v>1133</v>
      </c>
      <c r="E890" s="2"/>
      <c r="F890" s="2" t="s">
        <v>41</v>
      </c>
      <c r="G890" s="72"/>
      <c r="H890" s="72">
        <v>35</v>
      </c>
      <c r="I890" s="72"/>
      <c r="J890" s="72">
        <v>12</v>
      </c>
      <c r="K890" s="21">
        <v>175</v>
      </c>
      <c r="L890" s="21">
        <v>855</v>
      </c>
      <c r="M890" s="21">
        <v>185</v>
      </c>
      <c r="N890" s="21">
        <v>1070</v>
      </c>
      <c r="O890" s="2"/>
      <c r="P890" s="2"/>
      <c r="Q890" s="197" t="s">
        <v>1154</v>
      </c>
    </row>
    <row r="891" spans="1:17" ht="15" customHeight="1">
      <c r="A891" s="196">
        <v>178</v>
      </c>
      <c r="B891" s="71">
        <v>43737</v>
      </c>
      <c r="C891" s="2" t="s">
        <v>37</v>
      </c>
      <c r="D891" s="2" t="s">
        <v>1133</v>
      </c>
      <c r="E891" s="2"/>
      <c r="F891" s="2" t="s">
        <v>41</v>
      </c>
      <c r="G891" s="72"/>
      <c r="H891" s="72">
        <v>35</v>
      </c>
      <c r="I891" s="72"/>
      <c r="J891" s="72">
        <v>11.75</v>
      </c>
      <c r="K891" s="21">
        <v>178</v>
      </c>
      <c r="L891" s="21">
        <v>835</v>
      </c>
      <c r="M891" s="21">
        <v>184</v>
      </c>
      <c r="N891" s="21">
        <v>1060</v>
      </c>
      <c r="O891" s="2"/>
      <c r="P891" s="2"/>
      <c r="Q891" s="197"/>
    </row>
    <row r="892" spans="1:17" ht="15" customHeight="1">
      <c r="A892" s="196">
        <v>177</v>
      </c>
      <c r="B892" s="71">
        <v>43736</v>
      </c>
      <c r="C892" s="2" t="s">
        <v>105</v>
      </c>
      <c r="D892" s="2" t="s">
        <v>1133</v>
      </c>
      <c r="E892" s="2"/>
      <c r="F892" s="2" t="s">
        <v>41</v>
      </c>
      <c r="G892" s="72"/>
      <c r="H892" s="72">
        <v>35</v>
      </c>
      <c r="I892" s="72"/>
      <c r="J892" s="72">
        <v>12</v>
      </c>
      <c r="K892" s="21">
        <v>176</v>
      </c>
      <c r="L892" s="21">
        <v>850</v>
      </c>
      <c r="M892" s="21">
        <v>185</v>
      </c>
      <c r="N892" s="21">
        <v>1138</v>
      </c>
      <c r="O892" s="2"/>
      <c r="P892" s="2"/>
      <c r="Q892" s="197" t="s">
        <v>1774</v>
      </c>
    </row>
    <row r="893" spans="1:17" ht="15" customHeight="1">
      <c r="A893" s="196">
        <v>176</v>
      </c>
      <c r="B893" s="71">
        <v>43736</v>
      </c>
      <c r="C893" s="2" t="s">
        <v>37</v>
      </c>
      <c r="D893" s="2" t="s">
        <v>1133</v>
      </c>
      <c r="E893" s="2"/>
      <c r="F893" s="2" t="s">
        <v>41</v>
      </c>
      <c r="G893" s="72"/>
      <c r="H893" s="72">
        <v>35</v>
      </c>
      <c r="I893" s="72"/>
      <c r="J893" s="72">
        <v>13</v>
      </c>
      <c r="K893" s="21">
        <v>174</v>
      </c>
      <c r="L893" s="21">
        <v>780</v>
      </c>
      <c r="M893" s="21">
        <v>185</v>
      </c>
      <c r="N893" s="21">
        <v>1180</v>
      </c>
      <c r="O893" s="2"/>
      <c r="P893" s="2"/>
      <c r="Q893" s="197" t="s">
        <v>1153</v>
      </c>
    </row>
    <row r="894" spans="1:17" ht="15" customHeight="1">
      <c r="A894" s="196">
        <v>175</v>
      </c>
      <c r="B894" s="71">
        <v>43736</v>
      </c>
      <c r="C894" s="2" t="s">
        <v>37</v>
      </c>
      <c r="D894" s="2" t="s">
        <v>1133</v>
      </c>
      <c r="E894" s="2"/>
      <c r="F894" s="2" t="s">
        <v>41</v>
      </c>
      <c r="G894" s="72"/>
      <c r="H894" s="72">
        <v>35</v>
      </c>
      <c r="I894" s="72"/>
      <c r="J894" s="72">
        <v>12.2</v>
      </c>
      <c r="K894" s="21">
        <v>175</v>
      </c>
      <c r="L894" s="21">
        <v>825</v>
      </c>
      <c r="M894" s="21">
        <v>185</v>
      </c>
      <c r="N894" s="21">
        <v>1125</v>
      </c>
      <c r="O894" s="2"/>
      <c r="P894" s="2"/>
      <c r="Q894" s="197" t="s">
        <v>1153</v>
      </c>
    </row>
    <row r="895" spans="1:17" ht="15" customHeight="1">
      <c r="A895" s="196">
        <v>174</v>
      </c>
      <c r="B895" s="71">
        <v>43736</v>
      </c>
      <c r="C895" s="2" t="s">
        <v>38</v>
      </c>
      <c r="D895" s="2" t="s">
        <v>1133</v>
      </c>
      <c r="E895" s="2"/>
      <c r="F895" s="2" t="s">
        <v>41</v>
      </c>
      <c r="G895" s="72"/>
      <c r="H895" s="72">
        <v>35</v>
      </c>
      <c r="I895" s="72"/>
      <c r="J895" s="72">
        <v>12.26</v>
      </c>
      <c r="K895" s="21">
        <v>176</v>
      </c>
      <c r="L895" s="21">
        <v>845</v>
      </c>
      <c r="M895" s="21">
        <v>185</v>
      </c>
      <c r="N895" s="21">
        <v>1140</v>
      </c>
      <c r="O895" s="2"/>
      <c r="P895" s="2"/>
      <c r="Q895" s="197" t="s">
        <v>1153</v>
      </c>
    </row>
    <row r="896" spans="1:17" ht="15" customHeight="1">
      <c r="A896" s="196">
        <v>173</v>
      </c>
      <c r="B896" s="71">
        <v>43735</v>
      </c>
      <c r="C896" s="2" t="s">
        <v>105</v>
      </c>
      <c r="D896" s="2" t="s">
        <v>1133</v>
      </c>
      <c r="E896" s="2"/>
      <c r="F896" s="2" t="s">
        <v>41</v>
      </c>
      <c r="G896" s="72"/>
      <c r="H896" s="72" t="s">
        <v>384</v>
      </c>
      <c r="I896" s="72"/>
      <c r="J896" s="72" t="s">
        <v>384</v>
      </c>
      <c r="K896" s="21" t="s">
        <v>384</v>
      </c>
      <c r="L896" s="21" t="s">
        <v>384</v>
      </c>
      <c r="M896" s="21" t="s">
        <v>384</v>
      </c>
      <c r="N896" s="21" t="s">
        <v>384</v>
      </c>
      <c r="O896" s="2"/>
      <c r="P896" s="2"/>
      <c r="Q896" s="197"/>
    </row>
    <row r="897" spans="1:17" ht="15" customHeight="1">
      <c r="A897" s="196">
        <v>172</v>
      </c>
      <c r="B897" s="71">
        <v>43734</v>
      </c>
      <c r="C897" s="2" t="s">
        <v>37</v>
      </c>
      <c r="D897" s="2" t="s">
        <v>1133</v>
      </c>
      <c r="E897" s="2"/>
      <c r="F897" s="2" t="s">
        <v>41</v>
      </c>
      <c r="G897" s="72"/>
      <c r="H897" s="72">
        <v>35</v>
      </c>
      <c r="I897" s="72"/>
      <c r="J897" s="72">
        <v>11.5</v>
      </c>
      <c r="K897" s="21">
        <v>177</v>
      </c>
      <c r="L897" s="21">
        <v>850</v>
      </c>
      <c r="M897" s="21">
        <v>185</v>
      </c>
      <c r="N897" s="21">
        <v>1175</v>
      </c>
      <c r="O897" s="2"/>
      <c r="P897" s="2"/>
      <c r="Q897" s="197" t="s">
        <v>1149</v>
      </c>
    </row>
    <row r="898" spans="1:17" ht="15" customHeight="1">
      <c r="A898" s="196">
        <v>171</v>
      </c>
      <c r="B898" s="71">
        <v>43733</v>
      </c>
      <c r="C898" s="2" t="s">
        <v>37</v>
      </c>
      <c r="D898" s="2" t="s">
        <v>1133</v>
      </c>
      <c r="E898" s="2"/>
      <c r="F898" s="2" t="s">
        <v>41</v>
      </c>
      <c r="G898" s="72"/>
      <c r="H898" s="72">
        <v>35</v>
      </c>
      <c r="I898" s="72"/>
      <c r="J898" s="72">
        <v>10.8</v>
      </c>
      <c r="K898" s="21"/>
      <c r="L898" s="21"/>
      <c r="M898" s="21"/>
      <c r="N898" s="21"/>
      <c r="O898" s="2"/>
      <c r="P898" s="2"/>
      <c r="Q898" s="197" t="s">
        <v>1147</v>
      </c>
    </row>
    <row r="899" spans="1:17" ht="15" customHeight="1">
      <c r="A899" s="196">
        <v>170</v>
      </c>
      <c r="B899" s="71">
        <v>43733</v>
      </c>
      <c r="C899" s="2" t="s">
        <v>38</v>
      </c>
      <c r="D899" s="2" t="s">
        <v>1133</v>
      </c>
      <c r="E899" s="2"/>
      <c r="F899" s="2" t="s">
        <v>41</v>
      </c>
      <c r="G899" s="72"/>
      <c r="H899" s="72">
        <v>35</v>
      </c>
      <c r="I899" s="72"/>
      <c r="J899" s="72">
        <v>10.86</v>
      </c>
      <c r="K899" s="21">
        <v>176</v>
      </c>
      <c r="L899" s="21"/>
      <c r="M899" s="21">
        <v>185</v>
      </c>
      <c r="N899" s="21">
        <v>1182</v>
      </c>
      <c r="O899" s="2"/>
      <c r="P899" s="2"/>
      <c r="Q899" s="197" t="s">
        <v>1147</v>
      </c>
    </row>
    <row r="900" spans="1:17" ht="15" customHeight="1">
      <c r="A900" s="196">
        <v>169</v>
      </c>
      <c r="B900" s="71">
        <v>43733</v>
      </c>
      <c r="C900" s="2" t="s">
        <v>38</v>
      </c>
      <c r="D900" s="2" t="s">
        <v>1133</v>
      </c>
      <c r="E900" s="2"/>
      <c r="F900" s="2" t="s">
        <v>41</v>
      </c>
      <c r="G900" s="72"/>
      <c r="H900" s="72">
        <v>35</v>
      </c>
      <c r="I900" s="72"/>
      <c r="J900" s="72">
        <v>11.2</v>
      </c>
      <c r="K900" s="21">
        <v>170</v>
      </c>
      <c r="L900" s="21">
        <v>923</v>
      </c>
      <c r="M900" s="21">
        <v>180</v>
      </c>
      <c r="N900" s="21">
        <v>1170</v>
      </c>
      <c r="O900" s="2"/>
      <c r="P900" s="2"/>
      <c r="Q900" s="197" t="s">
        <v>1774</v>
      </c>
    </row>
    <row r="901" spans="1:17" ht="15" customHeight="1">
      <c r="A901" s="196">
        <v>168</v>
      </c>
      <c r="B901" s="71">
        <v>43727</v>
      </c>
      <c r="C901" s="2" t="s">
        <v>105</v>
      </c>
      <c r="D901" s="2" t="s">
        <v>1108</v>
      </c>
      <c r="E901" s="2"/>
      <c r="F901" s="2">
        <v>7316</v>
      </c>
      <c r="G901" s="72"/>
      <c r="H901" s="72">
        <v>35</v>
      </c>
      <c r="I901" s="72"/>
      <c r="J901" s="72">
        <v>10.8</v>
      </c>
      <c r="K901" s="21">
        <v>197</v>
      </c>
      <c r="L901" s="21">
        <v>962</v>
      </c>
      <c r="M901" s="21">
        <v>204</v>
      </c>
      <c r="N901" s="21"/>
      <c r="O901" s="2"/>
      <c r="P901" s="2"/>
      <c r="Q901" s="197" t="s">
        <v>1149</v>
      </c>
    </row>
    <row r="902" spans="1:17" ht="15" customHeight="1">
      <c r="A902" s="196">
        <v>167</v>
      </c>
      <c r="B902" s="71">
        <v>43727</v>
      </c>
      <c r="C902" s="2" t="s">
        <v>105</v>
      </c>
      <c r="D902" s="2" t="s">
        <v>1109</v>
      </c>
      <c r="E902" s="2"/>
      <c r="F902" s="2">
        <v>7316</v>
      </c>
      <c r="G902" s="72"/>
      <c r="H902" s="72">
        <v>35</v>
      </c>
      <c r="I902" s="72"/>
      <c r="J902" s="72">
        <v>10.45</v>
      </c>
      <c r="K902" s="21">
        <v>197</v>
      </c>
      <c r="L902" s="21">
        <v>1005</v>
      </c>
      <c r="M902" s="21">
        <v>206</v>
      </c>
      <c r="N902" s="21">
        <v>1345</v>
      </c>
      <c r="O902" s="2"/>
      <c r="P902" s="2"/>
      <c r="Q902" s="197" t="s">
        <v>1150</v>
      </c>
    </row>
    <row r="903" spans="1:17" ht="15" customHeight="1">
      <c r="A903" s="196">
        <v>166</v>
      </c>
      <c r="B903" s="71">
        <v>43727</v>
      </c>
      <c r="C903" s="2" t="s">
        <v>37</v>
      </c>
      <c r="D903" s="2" t="s">
        <v>1151</v>
      </c>
      <c r="E903" s="2"/>
      <c r="F903" s="2"/>
      <c r="G903" s="72"/>
      <c r="H903" s="72">
        <v>35</v>
      </c>
      <c r="I903" s="72"/>
      <c r="J903" s="72">
        <v>12.6</v>
      </c>
      <c r="K903" s="21">
        <v>182</v>
      </c>
      <c r="L903" s="21">
        <v>815</v>
      </c>
      <c r="M903" s="21">
        <v>191</v>
      </c>
      <c r="N903" s="21">
        <v>1130</v>
      </c>
      <c r="O903" s="2"/>
      <c r="P903" s="2"/>
      <c r="Q903" s="197" t="s">
        <v>1147</v>
      </c>
    </row>
    <row r="904" spans="1:17" ht="15" customHeight="1">
      <c r="A904" s="196">
        <v>165</v>
      </c>
      <c r="B904" s="71">
        <v>43727</v>
      </c>
      <c r="C904" s="2" t="s">
        <v>37</v>
      </c>
      <c r="D904" s="2" t="s">
        <v>1152</v>
      </c>
      <c r="E904" s="2"/>
      <c r="F904" s="2"/>
      <c r="G904" s="72"/>
      <c r="H904" s="72">
        <v>35</v>
      </c>
      <c r="I904" s="72"/>
      <c r="J904" s="72">
        <v>12.3</v>
      </c>
      <c r="K904" s="21">
        <v>193</v>
      </c>
      <c r="L904" s="21">
        <v>815</v>
      </c>
      <c r="M904" s="21">
        <v>200</v>
      </c>
      <c r="N904" s="21">
        <v>1050</v>
      </c>
      <c r="O904" s="2"/>
      <c r="P904" s="2"/>
      <c r="Q904" s="197" t="s">
        <v>1147</v>
      </c>
    </row>
    <row r="905" spans="1:17" ht="15" customHeight="1">
      <c r="A905" s="196">
        <v>164</v>
      </c>
      <c r="B905" s="71">
        <v>43725</v>
      </c>
      <c r="C905" s="2" t="s">
        <v>105</v>
      </c>
      <c r="D905" s="2" t="s">
        <v>1131</v>
      </c>
      <c r="E905" s="2"/>
      <c r="F905" s="2">
        <v>7316</v>
      </c>
      <c r="G905" s="72"/>
      <c r="H905" s="72">
        <v>35</v>
      </c>
      <c r="I905" s="72"/>
      <c r="J905" s="72">
        <v>11.2</v>
      </c>
      <c r="K905" s="21">
        <v>187</v>
      </c>
      <c r="L905" s="21">
        <v>930</v>
      </c>
      <c r="M905" s="21">
        <v>196</v>
      </c>
      <c r="N905" s="21"/>
      <c r="O905" s="2"/>
      <c r="P905" s="2"/>
      <c r="Q905" s="197" t="s">
        <v>1148</v>
      </c>
    </row>
    <row r="906" spans="1:17" ht="15" customHeight="1">
      <c r="A906" s="196">
        <v>163</v>
      </c>
      <c r="B906" s="71">
        <v>43725</v>
      </c>
      <c r="C906" s="2" t="s">
        <v>105</v>
      </c>
      <c r="D906" s="2" t="s">
        <v>1133</v>
      </c>
      <c r="E906" s="2"/>
      <c r="F906" s="2">
        <v>7316</v>
      </c>
      <c r="G906" s="72"/>
      <c r="H906" s="72">
        <v>35</v>
      </c>
      <c r="I906" s="72"/>
      <c r="J906" s="72">
        <v>12.25</v>
      </c>
      <c r="K906" s="21">
        <v>175</v>
      </c>
      <c r="L906" s="21">
        <v>860</v>
      </c>
      <c r="M906" s="21">
        <v>186</v>
      </c>
      <c r="N906" s="21"/>
      <c r="O906" s="2"/>
      <c r="P906" s="2"/>
      <c r="Q906" s="197"/>
    </row>
    <row r="907" spans="1:17" ht="15" customHeight="1">
      <c r="A907" s="196">
        <v>162</v>
      </c>
      <c r="B907" s="71">
        <v>43724</v>
      </c>
      <c r="C907" s="2" t="s">
        <v>105</v>
      </c>
      <c r="D907" s="2" t="s">
        <v>1146</v>
      </c>
      <c r="E907" s="2"/>
      <c r="F907" s="2">
        <v>7316</v>
      </c>
      <c r="G907" s="72"/>
      <c r="H907" s="72">
        <v>42.5</v>
      </c>
      <c r="I907" s="72"/>
      <c r="J907" s="72">
        <v>10.15</v>
      </c>
      <c r="K907" s="21">
        <v>229</v>
      </c>
      <c r="L907" s="21"/>
      <c r="M907" s="21">
        <v>236</v>
      </c>
      <c r="N907" s="21">
        <v>1636</v>
      </c>
      <c r="O907" s="2"/>
      <c r="P907" s="2"/>
      <c r="Q907" s="197"/>
    </row>
    <row r="908" spans="1:17" ht="15" customHeight="1">
      <c r="A908" s="196">
        <v>161</v>
      </c>
      <c r="B908" s="71">
        <v>43722</v>
      </c>
      <c r="C908" s="2" t="s">
        <v>105</v>
      </c>
      <c r="D908" s="2" t="s">
        <v>1146</v>
      </c>
      <c r="E908" s="2"/>
      <c r="F908" s="2">
        <v>7316</v>
      </c>
      <c r="G908" s="72"/>
      <c r="H908" s="72">
        <v>42.5</v>
      </c>
      <c r="I908" s="72"/>
      <c r="J908" s="72">
        <v>11.2</v>
      </c>
      <c r="K908" s="21">
        <v>229</v>
      </c>
      <c r="L908" s="21">
        <v>1145</v>
      </c>
      <c r="M908" s="21">
        <v>236</v>
      </c>
      <c r="N908" s="21">
        <v>1525</v>
      </c>
      <c r="O908" s="2"/>
      <c r="P908" s="2"/>
      <c r="Q908" s="197" t="s">
        <v>1147</v>
      </c>
    </row>
    <row r="909" spans="1:17" ht="15" customHeight="1">
      <c r="A909" s="196">
        <v>160</v>
      </c>
      <c r="B909" s="71">
        <v>43722</v>
      </c>
      <c r="C909" s="2" t="s">
        <v>37</v>
      </c>
      <c r="D909" s="2" t="s">
        <v>1146</v>
      </c>
      <c r="E909" s="2"/>
      <c r="F909" s="2">
        <v>7316</v>
      </c>
      <c r="G909" s="72"/>
      <c r="H909" s="72">
        <v>42.5</v>
      </c>
      <c r="I909" s="72"/>
      <c r="J909" s="72">
        <v>10.4</v>
      </c>
      <c r="K909" s="21">
        <v>228.5</v>
      </c>
      <c r="L909" s="21">
        <v>1220</v>
      </c>
      <c r="M909" s="21">
        <v>236</v>
      </c>
      <c r="N909" s="21">
        <v>1635</v>
      </c>
      <c r="O909" s="2"/>
      <c r="P909" s="2"/>
      <c r="Q909" s="197" t="s">
        <v>1147</v>
      </c>
    </row>
    <row r="910" spans="1:17" ht="15" customHeight="1">
      <c r="A910" s="196">
        <v>159</v>
      </c>
      <c r="B910" s="71">
        <v>43722</v>
      </c>
      <c r="C910" s="2" t="s">
        <v>37</v>
      </c>
      <c r="D910" s="2" t="s">
        <v>1146</v>
      </c>
      <c r="E910" s="2"/>
      <c r="F910" s="2">
        <v>7316</v>
      </c>
      <c r="G910" s="72"/>
      <c r="H910" s="72">
        <v>42.5</v>
      </c>
      <c r="I910" s="72"/>
      <c r="J910" s="72">
        <v>10</v>
      </c>
      <c r="K910" s="21">
        <v>229</v>
      </c>
      <c r="L910" s="21"/>
      <c r="M910" s="21">
        <v>236</v>
      </c>
      <c r="N910" s="21">
        <v>1658</v>
      </c>
      <c r="O910" s="2"/>
      <c r="P910" s="2"/>
      <c r="Q910" s="197" t="s">
        <v>1147</v>
      </c>
    </row>
    <row r="911" spans="1:17" ht="15" customHeight="1">
      <c r="A911" s="196">
        <v>158</v>
      </c>
      <c r="B911" s="71">
        <v>43719</v>
      </c>
      <c r="C911" s="2" t="s">
        <v>37</v>
      </c>
      <c r="D911" s="2" t="s">
        <v>1105</v>
      </c>
      <c r="E911" s="2"/>
      <c r="F911" s="2">
        <v>7717</v>
      </c>
      <c r="G911" s="72"/>
      <c r="H911" s="72">
        <v>35</v>
      </c>
      <c r="I911" s="72"/>
      <c r="J911" s="72">
        <v>9.9</v>
      </c>
      <c r="K911" s="21">
        <v>187</v>
      </c>
      <c r="L911" s="21"/>
      <c r="M911" s="21">
        <v>190</v>
      </c>
      <c r="N911" s="21"/>
      <c r="O911" s="2"/>
      <c r="P911" s="2"/>
      <c r="Q911" s="197"/>
    </row>
    <row r="912" spans="1:17" ht="15" customHeight="1">
      <c r="A912" s="196">
        <v>157</v>
      </c>
      <c r="B912" s="71">
        <v>43719</v>
      </c>
      <c r="C912" s="2" t="s">
        <v>37</v>
      </c>
      <c r="D912" s="2" t="s">
        <v>1145</v>
      </c>
      <c r="E912" s="2"/>
      <c r="F912" s="2">
        <v>7717</v>
      </c>
      <c r="G912" s="72"/>
      <c r="H912" s="72">
        <v>35</v>
      </c>
      <c r="I912" s="72"/>
      <c r="J912" s="72">
        <v>11.3</v>
      </c>
      <c r="K912" s="21">
        <v>197</v>
      </c>
      <c r="L912" s="21"/>
      <c r="M912" s="21">
        <v>200</v>
      </c>
      <c r="N912" s="21">
        <v>1072</v>
      </c>
      <c r="O912" s="2"/>
      <c r="P912" s="2"/>
      <c r="Q912" s="197"/>
    </row>
    <row r="913" spans="1:17" ht="15" customHeight="1">
      <c r="A913" s="196">
        <v>156</v>
      </c>
      <c r="B913" s="71">
        <v>43717</v>
      </c>
      <c r="C913" s="2" t="s">
        <v>37</v>
      </c>
      <c r="D913" s="2" t="s">
        <v>1131</v>
      </c>
      <c r="E913" s="2"/>
      <c r="F913" s="2">
        <v>7316</v>
      </c>
      <c r="G913" s="72"/>
      <c r="H913" s="72">
        <v>35</v>
      </c>
      <c r="I913" s="72"/>
      <c r="J913" s="72">
        <v>11.15</v>
      </c>
      <c r="K913" s="21">
        <v>187</v>
      </c>
      <c r="L913" s="21">
        <v>915</v>
      </c>
      <c r="M913" s="21">
        <v>195</v>
      </c>
      <c r="N913" s="21">
        <v>1240</v>
      </c>
      <c r="O913" s="2"/>
      <c r="P913" s="2"/>
      <c r="Q913" s="197" t="s">
        <v>1140</v>
      </c>
    </row>
    <row r="914" spans="1:17" ht="15" customHeight="1">
      <c r="A914" s="196">
        <v>155</v>
      </c>
      <c r="B914" s="71">
        <v>43717</v>
      </c>
      <c r="C914" s="2" t="s">
        <v>37</v>
      </c>
      <c r="D914" s="2" t="s">
        <v>1133</v>
      </c>
      <c r="E914" s="2"/>
      <c r="F914" s="2">
        <v>7316</v>
      </c>
      <c r="G914" s="72"/>
      <c r="H914" s="72">
        <v>35</v>
      </c>
      <c r="I914" s="72"/>
      <c r="J914" s="72">
        <v>12.25</v>
      </c>
      <c r="K914" s="21">
        <v>175</v>
      </c>
      <c r="L914" s="21">
        <v>855</v>
      </c>
      <c r="M914" s="21">
        <v>185</v>
      </c>
      <c r="N914" s="21">
        <v>1155</v>
      </c>
      <c r="O914" s="2"/>
      <c r="P914" s="2"/>
      <c r="Q914" s="197" t="s">
        <v>1140</v>
      </c>
    </row>
    <row r="915" spans="1:17" ht="15" customHeight="1">
      <c r="A915" s="196">
        <v>154</v>
      </c>
      <c r="B915" s="71">
        <v>43714</v>
      </c>
      <c r="C915" s="2" t="s">
        <v>105</v>
      </c>
      <c r="D915" s="2" t="s">
        <v>1131</v>
      </c>
      <c r="E915" s="2"/>
      <c r="F915" s="2">
        <v>7316</v>
      </c>
      <c r="G915" s="72"/>
      <c r="H915" s="72">
        <v>35</v>
      </c>
      <c r="I915" s="72"/>
      <c r="J915" s="72">
        <v>10.9</v>
      </c>
      <c r="K915" s="21">
        <v>187</v>
      </c>
      <c r="L915" s="21">
        <v>928</v>
      </c>
      <c r="M915" s="21">
        <v>196</v>
      </c>
      <c r="N915" s="21">
        <v>1185</v>
      </c>
      <c r="O915" s="2"/>
      <c r="P915" s="2"/>
      <c r="Q915" s="197" t="s">
        <v>1110</v>
      </c>
    </row>
    <row r="916" spans="1:17" ht="15" customHeight="1">
      <c r="A916" s="196">
        <v>153</v>
      </c>
      <c r="B916" s="71">
        <v>43714</v>
      </c>
      <c r="C916" s="2" t="s">
        <v>105</v>
      </c>
      <c r="D916" s="2" t="s">
        <v>1133</v>
      </c>
      <c r="E916" s="2"/>
      <c r="F916" s="2">
        <v>7316</v>
      </c>
      <c r="G916" s="72"/>
      <c r="H916" s="72">
        <v>35</v>
      </c>
      <c r="I916" s="72"/>
      <c r="J916" s="72">
        <v>12.05</v>
      </c>
      <c r="K916" s="21">
        <v>175</v>
      </c>
      <c r="L916" s="21">
        <v>870</v>
      </c>
      <c r="M916" s="21">
        <v>187</v>
      </c>
      <c r="N916" s="21">
        <v>1175</v>
      </c>
      <c r="O916" s="2"/>
      <c r="P916" s="2"/>
      <c r="Q916" s="197" t="s">
        <v>1140</v>
      </c>
    </row>
    <row r="917" spans="1:17" ht="15" customHeight="1">
      <c r="A917" s="196">
        <v>152</v>
      </c>
      <c r="B917" s="71">
        <v>43714</v>
      </c>
      <c r="C917" s="2" t="s">
        <v>105</v>
      </c>
      <c r="D917" s="2" t="s">
        <v>1131</v>
      </c>
      <c r="E917" s="2"/>
      <c r="F917" s="2">
        <v>7316</v>
      </c>
      <c r="G917" s="72"/>
      <c r="H917" s="72">
        <v>35</v>
      </c>
      <c r="I917" s="72"/>
      <c r="J917" s="72">
        <v>11.2</v>
      </c>
      <c r="K917" s="21">
        <v>185</v>
      </c>
      <c r="L917" s="21">
        <v>910</v>
      </c>
      <c r="M917" s="21">
        <v>194</v>
      </c>
      <c r="N917" s="21">
        <v>1170</v>
      </c>
      <c r="O917" s="2"/>
      <c r="P917" s="2"/>
      <c r="Q917" s="197" t="s">
        <v>1142</v>
      </c>
    </row>
    <row r="918" spans="1:17" ht="15" customHeight="1">
      <c r="A918" s="196">
        <v>151</v>
      </c>
      <c r="B918" s="71">
        <v>43714</v>
      </c>
      <c r="C918" s="2" t="s">
        <v>105</v>
      </c>
      <c r="D918" s="2" t="s">
        <v>1133</v>
      </c>
      <c r="E918" s="2"/>
      <c r="F918" s="2">
        <v>7316</v>
      </c>
      <c r="G918" s="72"/>
      <c r="H918" s="72">
        <v>35</v>
      </c>
      <c r="I918" s="72"/>
      <c r="J918" s="72">
        <v>12.1</v>
      </c>
      <c r="K918" s="21">
        <v>174</v>
      </c>
      <c r="L918" s="21">
        <v>850</v>
      </c>
      <c r="M918" s="21">
        <v>185</v>
      </c>
      <c r="N918" s="21">
        <v>1160</v>
      </c>
      <c r="O918" s="2"/>
      <c r="P918" s="2"/>
      <c r="Q918" s="197"/>
    </row>
    <row r="919" spans="1:17" ht="15" customHeight="1">
      <c r="A919" s="196">
        <v>150</v>
      </c>
      <c r="B919" s="71">
        <v>43714</v>
      </c>
      <c r="C919" s="2" t="s">
        <v>37</v>
      </c>
      <c r="D919" s="2" t="s">
        <v>1131</v>
      </c>
      <c r="E919" s="2"/>
      <c r="F919" s="2">
        <v>7316</v>
      </c>
      <c r="G919" s="72"/>
      <c r="H919" s="72">
        <v>35</v>
      </c>
      <c r="I919" s="72"/>
      <c r="J919" s="72">
        <v>11.35</v>
      </c>
      <c r="K919" s="21">
        <v>186.5</v>
      </c>
      <c r="L919" s="21">
        <v>900</v>
      </c>
      <c r="M919" s="21">
        <v>194</v>
      </c>
      <c r="N919" s="21">
        <v>1160</v>
      </c>
      <c r="O919" s="2"/>
      <c r="P919" s="2"/>
      <c r="Q919" s="197" t="s">
        <v>1143</v>
      </c>
    </row>
    <row r="920" spans="1:17" ht="15" customHeight="1">
      <c r="A920" s="196">
        <v>149</v>
      </c>
      <c r="B920" s="71">
        <v>43714</v>
      </c>
      <c r="C920" s="2" t="s">
        <v>37</v>
      </c>
      <c r="D920" s="2" t="s">
        <v>1133</v>
      </c>
      <c r="E920" s="2"/>
      <c r="F920" s="2">
        <v>7316</v>
      </c>
      <c r="G920" s="72"/>
      <c r="H920" s="72">
        <v>35</v>
      </c>
      <c r="I920" s="72"/>
      <c r="J920" s="72">
        <v>12.3</v>
      </c>
      <c r="K920" s="21">
        <v>173.5</v>
      </c>
      <c r="L920" s="21">
        <v>845</v>
      </c>
      <c r="M920" s="21">
        <v>184</v>
      </c>
      <c r="N920" s="21">
        <v>1140</v>
      </c>
      <c r="O920" s="2"/>
      <c r="P920" s="2"/>
      <c r="Q920" s="197" t="s">
        <v>1144</v>
      </c>
    </row>
    <row r="921" spans="1:17" ht="15" customHeight="1">
      <c r="A921" s="196">
        <v>148</v>
      </c>
      <c r="B921" s="206">
        <v>43713</v>
      </c>
      <c r="C921" s="2" t="s">
        <v>105</v>
      </c>
      <c r="D921" s="2" t="s">
        <v>1131</v>
      </c>
      <c r="E921" s="2"/>
      <c r="F921" s="2">
        <v>7316</v>
      </c>
      <c r="G921" s="72"/>
      <c r="H921" s="72">
        <v>35</v>
      </c>
      <c r="I921" s="72"/>
      <c r="J921" s="72">
        <v>11.1</v>
      </c>
      <c r="K921" s="21">
        <v>187</v>
      </c>
      <c r="L921" s="21">
        <v>925</v>
      </c>
      <c r="M921" s="21">
        <v>194</v>
      </c>
      <c r="N921" s="21">
        <v>1170</v>
      </c>
      <c r="O921" s="2"/>
      <c r="P921" s="2"/>
      <c r="Q921" s="197" t="s">
        <v>1141</v>
      </c>
    </row>
    <row r="922" spans="1:17" ht="15" customHeight="1">
      <c r="A922" s="196">
        <v>147</v>
      </c>
      <c r="B922" s="206">
        <v>43713</v>
      </c>
      <c r="C922" s="2" t="s">
        <v>105</v>
      </c>
      <c r="D922" s="2" t="s">
        <v>1133</v>
      </c>
      <c r="E922" s="2"/>
      <c r="F922" s="2">
        <v>7316</v>
      </c>
      <c r="G922" s="72"/>
      <c r="H922" s="72">
        <v>35</v>
      </c>
      <c r="I922" s="72"/>
      <c r="J922" s="72">
        <v>12</v>
      </c>
      <c r="K922" s="21">
        <v>174</v>
      </c>
      <c r="L922" s="21">
        <v>860</v>
      </c>
      <c r="M922" s="21">
        <v>184</v>
      </c>
      <c r="N922" s="21">
        <v>1135</v>
      </c>
      <c r="O922" s="2"/>
      <c r="P922" s="2"/>
      <c r="Q922" s="197"/>
    </row>
    <row r="923" spans="1:17" ht="15" customHeight="1">
      <c r="A923" s="196">
        <v>146</v>
      </c>
      <c r="B923" s="71">
        <v>43708</v>
      </c>
      <c r="C923" s="2" t="s">
        <v>37</v>
      </c>
      <c r="D923" s="2" t="s">
        <v>1139</v>
      </c>
      <c r="E923" s="2"/>
      <c r="F923" s="2">
        <v>7717</v>
      </c>
      <c r="G923" s="72"/>
      <c r="H923" s="72">
        <v>35</v>
      </c>
      <c r="I923" s="72"/>
      <c r="J923" s="72">
        <v>12.6</v>
      </c>
      <c r="K923" s="21">
        <v>195</v>
      </c>
      <c r="L923" s="21"/>
      <c r="M923" s="21">
        <v>200</v>
      </c>
      <c r="N923" s="21">
        <v>1080</v>
      </c>
      <c r="O923" s="2"/>
      <c r="P923" s="2"/>
      <c r="Q923" s="197" t="s">
        <v>1127</v>
      </c>
    </row>
    <row r="924" spans="1:17" ht="15" customHeight="1">
      <c r="A924" s="196">
        <v>145</v>
      </c>
      <c r="B924" s="71">
        <v>43708</v>
      </c>
      <c r="C924" s="2" t="s">
        <v>37</v>
      </c>
      <c r="D924" s="2" t="s">
        <v>1105</v>
      </c>
      <c r="E924" s="2"/>
      <c r="F924" s="2">
        <v>7717</v>
      </c>
      <c r="G924" s="72"/>
      <c r="H924" s="72">
        <v>35</v>
      </c>
      <c r="I924" s="72"/>
      <c r="J924" s="72">
        <v>10.75</v>
      </c>
      <c r="K924" s="21">
        <v>187</v>
      </c>
      <c r="L924" s="21"/>
      <c r="M924" s="21">
        <v>189</v>
      </c>
      <c r="N924" s="21">
        <v>1142</v>
      </c>
      <c r="O924" s="2"/>
      <c r="P924" s="2"/>
      <c r="Q924" s="197" t="s">
        <v>1140</v>
      </c>
    </row>
    <row r="925" spans="1:17" ht="15" customHeight="1">
      <c r="A925" s="196">
        <v>144</v>
      </c>
      <c r="B925" s="71">
        <v>43706</v>
      </c>
      <c r="C925" s="2" t="s">
        <v>37</v>
      </c>
      <c r="D925" s="2" t="s">
        <v>1061</v>
      </c>
      <c r="E925" s="2"/>
      <c r="F925" s="2">
        <v>7717</v>
      </c>
      <c r="G925" s="72"/>
      <c r="H925" s="72">
        <v>35</v>
      </c>
      <c r="I925" s="72"/>
      <c r="J925" s="72">
        <v>11.7</v>
      </c>
      <c r="K925" s="21">
        <v>188</v>
      </c>
      <c r="L925" s="21"/>
      <c r="M925" s="21">
        <v>190</v>
      </c>
      <c r="N925" s="21">
        <v>1015</v>
      </c>
      <c r="O925" s="2"/>
      <c r="P925" s="2"/>
      <c r="Q925" s="197" t="s">
        <v>1138</v>
      </c>
    </row>
    <row r="926" spans="1:17" ht="15" customHeight="1">
      <c r="A926" s="196">
        <v>143</v>
      </c>
      <c r="B926" s="71">
        <v>43703</v>
      </c>
      <c r="C926" s="2" t="s">
        <v>37</v>
      </c>
      <c r="D926" s="2" t="s">
        <v>1131</v>
      </c>
      <c r="E926" s="2"/>
      <c r="F926" s="2">
        <v>7316</v>
      </c>
      <c r="G926" s="72"/>
      <c r="H926" s="72">
        <v>35</v>
      </c>
      <c r="I926" s="72"/>
      <c r="J926" s="72">
        <v>11.6</v>
      </c>
      <c r="K926" s="21">
        <v>187</v>
      </c>
      <c r="L926" s="21">
        <v>950</v>
      </c>
      <c r="M926" s="21">
        <v>194</v>
      </c>
      <c r="N926" s="21"/>
      <c r="O926" s="2"/>
      <c r="P926" s="2"/>
      <c r="Q926" s="197" t="s">
        <v>1137</v>
      </c>
    </row>
    <row r="927" spans="1:17" ht="15" customHeight="1">
      <c r="A927" s="196">
        <v>142</v>
      </c>
      <c r="B927" s="71">
        <v>43703</v>
      </c>
      <c r="C927" s="2" t="s">
        <v>37</v>
      </c>
      <c r="D927" s="2" t="s">
        <v>1133</v>
      </c>
      <c r="E927" s="2"/>
      <c r="F927" s="2">
        <v>7316</v>
      </c>
      <c r="G927" s="72"/>
      <c r="H927" s="72">
        <v>35</v>
      </c>
      <c r="I927" s="72"/>
      <c r="J927" s="72">
        <v>12.5</v>
      </c>
      <c r="K927" s="21">
        <v>172</v>
      </c>
      <c r="L927" s="21">
        <v>900</v>
      </c>
      <c r="M927" s="21">
        <v>185</v>
      </c>
      <c r="N927" s="21">
        <v>1190</v>
      </c>
      <c r="O927" s="2"/>
      <c r="P927" s="2"/>
      <c r="Q927" s="197"/>
    </row>
    <row r="928" spans="1:17" ht="15" customHeight="1">
      <c r="A928" s="196">
        <v>141</v>
      </c>
      <c r="B928" s="71">
        <v>43700</v>
      </c>
      <c r="C928" s="2" t="s">
        <v>105</v>
      </c>
      <c r="D928" s="2" t="s">
        <v>1133</v>
      </c>
      <c r="E928" s="2"/>
      <c r="F928" s="2">
        <v>7316</v>
      </c>
      <c r="G928" s="72"/>
      <c r="H928" s="72">
        <v>35</v>
      </c>
      <c r="I928" s="72"/>
      <c r="J928" s="72">
        <v>12</v>
      </c>
      <c r="K928" s="21">
        <v>176</v>
      </c>
      <c r="L928" s="21">
        <v>920</v>
      </c>
      <c r="M928" s="21">
        <v>187</v>
      </c>
      <c r="N928" s="21">
        <v>1180</v>
      </c>
      <c r="O928" s="2"/>
      <c r="P928" s="2"/>
      <c r="Q928" s="197"/>
    </row>
    <row r="929" spans="1:17" ht="15" customHeight="1">
      <c r="A929" s="196">
        <v>140</v>
      </c>
      <c r="B929" s="71">
        <v>43700</v>
      </c>
      <c r="C929" s="2" t="s">
        <v>105</v>
      </c>
      <c r="D929" s="2" t="s">
        <v>1130</v>
      </c>
      <c r="E929" s="2"/>
      <c r="F929" s="2">
        <v>7316</v>
      </c>
      <c r="G929" s="72"/>
      <c r="H929" s="72">
        <v>35</v>
      </c>
      <c r="I929" s="72"/>
      <c r="J929" s="72">
        <v>9.82</v>
      </c>
      <c r="K929" s="21">
        <v>193</v>
      </c>
      <c r="L929" s="21">
        <v>1125</v>
      </c>
      <c r="M929" s="21">
        <v>202</v>
      </c>
      <c r="N929" s="21">
        <v>1332</v>
      </c>
      <c r="O929" s="2"/>
      <c r="P929" s="2"/>
      <c r="Q929" s="197" t="s">
        <v>1116</v>
      </c>
    </row>
    <row r="930" spans="1:17" ht="15" customHeight="1">
      <c r="A930" s="196">
        <v>139</v>
      </c>
      <c r="B930" s="71">
        <v>43700</v>
      </c>
      <c r="C930" s="2" t="s">
        <v>37</v>
      </c>
      <c r="D930" s="2" t="s">
        <v>1131</v>
      </c>
      <c r="E930" s="2"/>
      <c r="F930" s="2">
        <v>7316</v>
      </c>
      <c r="G930" s="72"/>
      <c r="H930" s="72">
        <v>35</v>
      </c>
      <c r="I930" s="72"/>
      <c r="J930" s="72">
        <v>11.7</v>
      </c>
      <c r="K930" s="21">
        <v>187</v>
      </c>
      <c r="L930" s="21">
        <v>950</v>
      </c>
      <c r="M930" s="21">
        <v>195</v>
      </c>
      <c r="N930" s="21">
        <v>1152</v>
      </c>
      <c r="O930" s="2"/>
      <c r="P930" s="2"/>
      <c r="Q930" s="197" t="s">
        <v>1774</v>
      </c>
    </row>
    <row r="931" spans="1:17" ht="15" customHeight="1">
      <c r="A931" s="196">
        <v>138</v>
      </c>
      <c r="B931" s="71">
        <v>43700</v>
      </c>
      <c r="C931" s="2" t="s">
        <v>37</v>
      </c>
      <c r="D931" s="2" t="s">
        <v>1133</v>
      </c>
      <c r="E931" s="2"/>
      <c r="F931" s="2">
        <v>7316</v>
      </c>
      <c r="G931" s="72"/>
      <c r="H931" s="72">
        <v>35</v>
      </c>
      <c r="I931" s="72"/>
      <c r="J931" s="72">
        <v>11.9</v>
      </c>
      <c r="K931" s="21">
        <v>177</v>
      </c>
      <c r="L931" s="21">
        <v>950</v>
      </c>
      <c r="M931" s="21">
        <v>185</v>
      </c>
      <c r="N931" s="21">
        <v>1209</v>
      </c>
      <c r="O931" s="2"/>
      <c r="P931" s="2"/>
      <c r="Q931" s="197" t="s">
        <v>1774</v>
      </c>
    </row>
    <row r="932" spans="1:17" ht="15" customHeight="1">
      <c r="A932" s="196">
        <v>137</v>
      </c>
      <c r="B932" s="71">
        <v>43700</v>
      </c>
      <c r="C932" s="2" t="s">
        <v>37</v>
      </c>
      <c r="D932" s="2" t="s">
        <v>1130</v>
      </c>
      <c r="E932" s="2"/>
      <c r="F932" s="2">
        <v>7316</v>
      </c>
      <c r="G932" s="72"/>
      <c r="H932" s="72">
        <v>35</v>
      </c>
      <c r="I932" s="72"/>
      <c r="J932" s="72">
        <v>9.3000000000000007</v>
      </c>
      <c r="K932" s="21">
        <v>197</v>
      </c>
      <c r="L932" s="21">
        <v>1210</v>
      </c>
      <c r="M932" s="21">
        <v>203</v>
      </c>
      <c r="N932" s="21">
        <v>1400</v>
      </c>
      <c r="O932" s="2"/>
      <c r="P932" s="2"/>
      <c r="Q932" s="197" t="s">
        <v>1136</v>
      </c>
    </row>
    <row r="933" spans="1:17" ht="15" customHeight="1">
      <c r="A933" s="196">
        <v>136</v>
      </c>
      <c r="B933" s="71">
        <v>43699</v>
      </c>
      <c r="C933" s="2" t="s">
        <v>37</v>
      </c>
      <c r="D933" s="2" t="s">
        <v>1130</v>
      </c>
      <c r="E933" s="2"/>
      <c r="F933" s="2">
        <v>7316</v>
      </c>
      <c r="G933" s="72"/>
      <c r="H933" s="72">
        <v>35</v>
      </c>
      <c r="I933" s="72"/>
      <c r="J933" s="72">
        <v>9.6</v>
      </c>
      <c r="K933" s="21"/>
      <c r="L933" s="21"/>
      <c r="M933" s="21"/>
      <c r="N933" s="21"/>
      <c r="O933" s="2"/>
      <c r="P933" s="2"/>
      <c r="Q933" s="197"/>
    </row>
    <row r="934" spans="1:17" ht="15" customHeight="1">
      <c r="A934" s="196">
        <v>135</v>
      </c>
      <c r="B934" s="71">
        <v>43699</v>
      </c>
      <c r="C934" s="2" t="s">
        <v>37</v>
      </c>
      <c r="D934" s="2" t="s">
        <v>1131</v>
      </c>
      <c r="E934" s="2"/>
      <c r="F934" s="2">
        <v>7316</v>
      </c>
      <c r="G934" s="72"/>
      <c r="H934" s="72">
        <v>35</v>
      </c>
      <c r="I934" s="72"/>
      <c r="J934" s="72"/>
      <c r="K934" s="21"/>
      <c r="L934" s="21"/>
      <c r="M934" s="21"/>
      <c r="N934" s="21"/>
      <c r="O934" s="2"/>
      <c r="P934" s="2"/>
      <c r="Q934" s="197" t="s">
        <v>1132</v>
      </c>
    </row>
    <row r="935" spans="1:17" ht="15" customHeight="1">
      <c r="A935" s="196">
        <v>134</v>
      </c>
      <c r="B935" s="71">
        <v>43699</v>
      </c>
      <c r="C935" s="2" t="s">
        <v>37</v>
      </c>
      <c r="D935" s="2" t="s">
        <v>1133</v>
      </c>
      <c r="E935" s="2"/>
      <c r="F935" s="2">
        <v>7316</v>
      </c>
      <c r="G935" s="72"/>
      <c r="H935" s="72">
        <v>35</v>
      </c>
      <c r="I935" s="72"/>
      <c r="J935" s="72">
        <v>12.4</v>
      </c>
      <c r="K935" s="21">
        <v>179</v>
      </c>
      <c r="L935" s="21">
        <v>900</v>
      </c>
      <c r="M935" s="21">
        <v>185</v>
      </c>
      <c r="N935" s="21">
        <v>1110</v>
      </c>
      <c r="O935" s="2"/>
      <c r="P935" s="2"/>
      <c r="Q935" s="197" t="s">
        <v>1776</v>
      </c>
    </row>
    <row r="936" spans="1:17" ht="15" customHeight="1">
      <c r="A936" s="196">
        <v>133</v>
      </c>
      <c r="B936" s="71">
        <v>43699</v>
      </c>
      <c r="C936" s="2" t="s">
        <v>37</v>
      </c>
      <c r="D936" s="2" t="s">
        <v>1130</v>
      </c>
      <c r="E936" s="2"/>
      <c r="F936" s="2">
        <v>7316</v>
      </c>
      <c r="G936" s="72"/>
      <c r="H936" s="72">
        <v>35</v>
      </c>
      <c r="I936" s="72"/>
      <c r="J936" s="72">
        <v>9.9</v>
      </c>
      <c r="K936" s="21">
        <v>195</v>
      </c>
      <c r="L936" s="21">
        <v>1100</v>
      </c>
      <c r="M936" s="21">
        <v>202</v>
      </c>
      <c r="N936" s="21">
        <v>1310</v>
      </c>
      <c r="O936" s="2"/>
      <c r="P936" s="2"/>
      <c r="Q936" s="197" t="s">
        <v>1134</v>
      </c>
    </row>
    <row r="937" spans="1:17" ht="15" customHeight="1">
      <c r="A937" s="196">
        <v>132</v>
      </c>
      <c r="B937" s="71">
        <v>43699</v>
      </c>
      <c r="C937" s="2" t="s">
        <v>37</v>
      </c>
      <c r="D937" s="2" t="s">
        <v>1130</v>
      </c>
      <c r="E937" s="2"/>
      <c r="F937" s="2">
        <v>7316</v>
      </c>
      <c r="G937" s="72"/>
      <c r="H937" s="72">
        <v>35</v>
      </c>
      <c r="I937" s="72"/>
      <c r="J937" s="72">
        <v>10.26</v>
      </c>
      <c r="K937" s="21">
        <v>192</v>
      </c>
      <c r="L937" s="21">
        <v>1047</v>
      </c>
      <c r="M937" s="21">
        <v>199</v>
      </c>
      <c r="N937" s="21">
        <v>1280</v>
      </c>
      <c r="O937" s="2"/>
      <c r="P937" s="2"/>
      <c r="Q937" s="197" t="s">
        <v>1135</v>
      </c>
    </row>
    <row r="938" spans="1:17" ht="15" customHeight="1">
      <c r="A938" s="196">
        <v>131</v>
      </c>
      <c r="B938" s="71">
        <v>43698</v>
      </c>
      <c r="C938" s="2" t="s">
        <v>37</v>
      </c>
      <c r="D938" s="2" t="s">
        <v>1088</v>
      </c>
      <c r="E938" s="2"/>
      <c r="F938" s="2">
        <v>7716</v>
      </c>
      <c r="G938" s="72"/>
      <c r="H938" s="72">
        <v>30</v>
      </c>
      <c r="I938" s="72"/>
      <c r="J938" s="72">
        <v>10.25</v>
      </c>
      <c r="K938" s="21">
        <v>185</v>
      </c>
      <c r="L938" s="21">
        <v>913</v>
      </c>
      <c r="M938" s="21">
        <v>190</v>
      </c>
      <c r="N938" s="21"/>
      <c r="O938" s="2"/>
      <c r="P938" s="2"/>
      <c r="Q938" s="197" t="s">
        <v>1129</v>
      </c>
    </row>
    <row r="939" spans="1:17" ht="15" customHeight="1">
      <c r="A939" s="196">
        <v>130</v>
      </c>
      <c r="B939" s="71">
        <v>43698</v>
      </c>
      <c r="C939" s="2" t="s">
        <v>37</v>
      </c>
      <c r="D939" s="2" t="s">
        <v>1089</v>
      </c>
      <c r="E939" s="2"/>
      <c r="F939" s="2">
        <v>7716</v>
      </c>
      <c r="G939" s="72"/>
      <c r="H939" s="72">
        <v>35</v>
      </c>
      <c r="I939" s="72"/>
      <c r="J939" s="72">
        <v>9.4</v>
      </c>
      <c r="K939" s="21">
        <v>202</v>
      </c>
      <c r="L939" s="21">
        <v>1200</v>
      </c>
      <c r="M939" s="21">
        <v>205</v>
      </c>
      <c r="N939" s="21"/>
      <c r="O939" s="2"/>
      <c r="P939" s="2"/>
      <c r="Q939" s="197" t="s">
        <v>1110</v>
      </c>
    </row>
    <row r="940" spans="1:17" ht="15" customHeight="1">
      <c r="A940" s="196">
        <v>129</v>
      </c>
      <c r="B940" s="71">
        <v>43697</v>
      </c>
      <c r="C940" s="2" t="s">
        <v>105</v>
      </c>
      <c r="D940" s="2" t="s">
        <v>1126</v>
      </c>
      <c r="E940" s="2"/>
      <c r="F940" s="2">
        <v>7316</v>
      </c>
      <c r="G940" s="72"/>
      <c r="H940" s="72">
        <v>30</v>
      </c>
      <c r="I940" s="72"/>
      <c r="J940" s="72">
        <v>10.6</v>
      </c>
      <c r="K940" s="21">
        <v>186</v>
      </c>
      <c r="L940" s="21">
        <v>880</v>
      </c>
      <c r="M940" s="21">
        <v>189</v>
      </c>
      <c r="N940" s="21">
        <v>1022</v>
      </c>
      <c r="O940" s="2"/>
      <c r="P940" s="2"/>
      <c r="Q940" s="197"/>
    </row>
    <row r="941" spans="1:17" ht="15" customHeight="1">
      <c r="A941" s="196">
        <v>128</v>
      </c>
      <c r="B941" s="71">
        <v>43697</v>
      </c>
      <c r="C941" s="2" t="s">
        <v>105</v>
      </c>
      <c r="D941" s="2" t="s">
        <v>1089</v>
      </c>
      <c r="E941" s="2"/>
      <c r="F941" s="2">
        <v>7716</v>
      </c>
      <c r="G941" s="72"/>
      <c r="H941" s="72">
        <v>35</v>
      </c>
      <c r="I941" s="72"/>
      <c r="J941" s="72">
        <v>9.6</v>
      </c>
      <c r="K941" s="21">
        <v>202</v>
      </c>
      <c r="L941" s="21">
        <v>1160</v>
      </c>
      <c r="M941" s="21">
        <v>205</v>
      </c>
      <c r="N941" s="21">
        <v>1300</v>
      </c>
      <c r="O941" s="2"/>
      <c r="P941" s="2"/>
      <c r="Q941" s="197" t="s">
        <v>1127</v>
      </c>
    </row>
    <row r="942" spans="1:17" ht="15" customHeight="1">
      <c r="A942" s="196">
        <v>127</v>
      </c>
      <c r="B942" s="71">
        <v>43697</v>
      </c>
      <c r="C942" s="2" t="s">
        <v>37</v>
      </c>
      <c r="D942" s="2" t="s">
        <v>1088</v>
      </c>
      <c r="E942" s="2"/>
      <c r="F942" s="2">
        <v>7716</v>
      </c>
      <c r="G942" s="72"/>
      <c r="H942" s="72">
        <v>30</v>
      </c>
      <c r="I942" s="72"/>
      <c r="J942" s="72">
        <v>10.5</v>
      </c>
      <c r="K942" s="21">
        <v>185</v>
      </c>
      <c r="L942" s="21">
        <v>900</v>
      </c>
      <c r="M942" s="21">
        <v>190</v>
      </c>
      <c r="N942" s="21">
        <v>1070</v>
      </c>
      <c r="O942" s="2"/>
      <c r="P942" s="2"/>
      <c r="Q942" s="197"/>
    </row>
    <row r="943" spans="1:17" ht="15" customHeight="1">
      <c r="A943" s="196">
        <v>126</v>
      </c>
      <c r="B943" s="71">
        <v>43697</v>
      </c>
      <c r="C943" s="2" t="s">
        <v>37</v>
      </c>
      <c r="D943" s="2" t="s">
        <v>1089</v>
      </c>
      <c r="E943" s="2"/>
      <c r="F943" s="2">
        <v>7716</v>
      </c>
      <c r="G943" s="72"/>
      <c r="H943" s="72">
        <v>35</v>
      </c>
      <c r="I943" s="72"/>
      <c r="J943" s="72">
        <v>9.4</v>
      </c>
      <c r="K943" s="21">
        <v>201</v>
      </c>
      <c r="L943" s="21">
        <v>1165</v>
      </c>
      <c r="M943" s="21">
        <v>203</v>
      </c>
      <c r="N943" s="21">
        <v>1320</v>
      </c>
      <c r="O943" s="2"/>
      <c r="P943" s="2"/>
      <c r="Q943" s="197" t="s">
        <v>1128</v>
      </c>
    </row>
    <row r="944" spans="1:17" ht="15" customHeight="1">
      <c r="A944" s="196">
        <v>125</v>
      </c>
      <c r="B944" s="71">
        <v>43697</v>
      </c>
      <c r="C944" s="2" t="s">
        <v>37</v>
      </c>
      <c r="D944" s="2" t="s">
        <v>1126</v>
      </c>
      <c r="E944" s="2"/>
      <c r="F944" s="2">
        <v>7316</v>
      </c>
      <c r="G944" s="72"/>
      <c r="H944" s="72">
        <v>35</v>
      </c>
      <c r="I944" s="72"/>
      <c r="J944" s="72">
        <v>9</v>
      </c>
      <c r="K944" s="21">
        <v>195</v>
      </c>
      <c r="L944" s="21">
        <v>1240</v>
      </c>
      <c r="M944" s="21">
        <v>200</v>
      </c>
      <c r="N944" s="21"/>
      <c r="O944" s="2"/>
      <c r="P944" s="2"/>
      <c r="Q944" s="197" t="s">
        <v>1125</v>
      </c>
    </row>
    <row r="945" spans="1:17" ht="15" customHeight="1">
      <c r="A945" s="196">
        <v>124</v>
      </c>
      <c r="B945" s="71">
        <v>43696</v>
      </c>
      <c r="C945" s="2" t="s">
        <v>105</v>
      </c>
      <c r="D945" s="2" t="s">
        <v>1108</v>
      </c>
      <c r="E945" s="2"/>
      <c r="F945" s="2">
        <v>7316</v>
      </c>
      <c r="G945" s="72"/>
      <c r="H945" s="72">
        <v>35</v>
      </c>
      <c r="I945" s="72"/>
      <c r="J945" s="72">
        <v>10.4</v>
      </c>
      <c r="K945" s="21">
        <v>196</v>
      </c>
      <c r="L945" s="21">
        <v>1090</v>
      </c>
      <c r="M945" s="21">
        <v>206</v>
      </c>
      <c r="N945" s="21">
        <v>1310</v>
      </c>
      <c r="O945" s="2"/>
      <c r="P945" s="2"/>
      <c r="Q945" s="197" t="s">
        <v>1125</v>
      </c>
    </row>
    <row r="946" spans="1:17" ht="15" customHeight="1">
      <c r="A946" s="196">
        <v>123</v>
      </c>
      <c r="B946" s="71">
        <v>43696</v>
      </c>
      <c r="C946" s="2" t="s">
        <v>105</v>
      </c>
      <c r="D946" s="2" t="s">
        <v>1109</v>
      </c>
      <c r="E946" s="2"/>
      <c r="F946" s="2">
        <v>7316</v>
      </c>
      <c r="G946" s="72"/>
      <c r="H946" s="72">
        <v>35</v>
      </c>
      <c r="I946" s="72"/>
      <c r="J946" s="72">
        <v>10.35</v>
      </c>
      <c r="K946" s="21">
        <v>196</v>
      </c>
      <c r="L946" s="21">
        <v>1120</v>
      </c>
      <c r="M946" s="21">
        <v>205</v>
      </c>
      <c r="N946" s="21">
        <v>1345</v>
      </c>
      <c r="O946" s="2"/>
      <c r="P946" s="2"/>
      <c r="Q946" s="197"/>
    </row>
    <row r="947" spans="1:17" ht="15" customHeight="1">
      <c r="A947" s="196">
        <v>122</v>
      </c>
      <c r="B947" s="71">
        <v>43696</v>
      </c>
      <c r="C947" s="2" t="s">
        <v>37</v>
      </c>
      <c r="D947" s="2" t="s">
        <v>1089</v>
      </c>
      <c r="E947" s="2"/>
      <c r="F947" s="2">
        <v>7716</v>
      </c>
      <c r="G947" s="72"/>
      <c r="H947" s="72">
        <v>35</v>
      </c>
      <c r="I947" s="72"/>
      <c r="J947" s="72">
        <v>9.3000000000000007</v>
      </c>
      <c r="K947" s="21">
        <v>200</v>
      </c>
      <c r="L947" s="21">
        <v>1160</v>
      </c>
      <c r="M947" s="21">
        <v>203</v>
      </c>
      <c r="N947" s="21">
        <v>1285</v>
      </c>
      <c r="O947" s="2"/>
      <c r="P947" s="2"/>
      <c r="Q947" s="197"/>
    </row>
    <row r="948" spans="1:17" ht="15" customHeight="1">
      <c r="A948" s="196">
        <v>121</v>
      </c>
      <c r="B948" s="71">
        <v>43696</v>
      </c>
      <c r="C948" s="2" t="s">
        <v>37</v>
      </c>
      <c r="D948" s="2" t="s">
        <v>1088</v>
      </c>
      <c r="E948" s="2"/>
      <c r="F948" s="2">
        <v>7716</v>
      </c>
      <c r="G948" s="72"/>
      <c r="H948" s="72">
        <v>35</v>
      </c>
      <c r="I948" s="72"/>
      <c r="J948" s="72">
        <v>12.3</v>
      </c>
      <c r="K948" s="21">
        <v>183</v>
      </c>
      <c r="L948" s="21">
        <v>860</v>
      </c>
      <c r="M948" s="21">
        <v>187</v>
      </c>
      <c r="N948" s="21"/>
      <c r="O948" s="2"/>
      <c r="P948" s="2"/>
      <c r="Q948" s="197" t="s">
        <v>1110</v>
      </c>
    </row>
    <row r="949" spans="1:17" ht="15" customHeight="1">
      <c r="A949" s="196">
        <v>120</v>
      </c>
      <c r="B949" s="71">
        <v>43691</v>
      </c>
      <c r="C949" s="2" t="s">
        <v>37</v>
      </c>
      <c r="D949" s="2" t="s">
        <v>1109</v>
      </c>
      <c r="E949" s="2"/>
      <c r="F949" s="2">
        <v>7316</v>
      </c>
      <c r="G949" s="72"/>
      <c r="H949" s="72">
        <v>35</v>
      </c>
      <c r="I949" s="72"/>
      <c r="J949" s="72">
        <v>10.5</v>
      </c>
      <c r="K949" s="21">
        <v>195</v>
      </c>
      <c r="L949" s="21"/>
      <c r="M949" s="21">
        <v>205</v>
      </c>
      <c r="N949" s="21"/>
      <c r="O949" s="2"/>
      <c r="P949" s="2"/>
      <c r="Q949" s="197" t="s">
        <v>1099</v>
      </c>
    </row>
    <row r="950" spans="1:17" ht="15" customHeight="1">
      <c r="A950" s="196">
        <v>119</v>
      </c>
      <c r="B950" s="71">
        <v>43691</v>
      </c>
      <c r="C950" s="2" t="s">
        <v>37</v>
      </c>
      <c r="D950" s="2" t="s">
        <v>1108</v>
      </c>
      <c r="E950" s="2"/>
      <c r="F950" s="2">
        <v>7316</v>
      </c>
      <c r="G950" s="72"/>
      <c r="H950" s="72">
        <v>35</v>
      </c>
      <c r="I950" s="72"/>
      <c r="J950" s="72">
        <v>10.25</v>
      </c>
      <c r="K950" s="21">
        <v>195</v>
      </c>
      <c r="L950" s="21"/>
      <c r="M950" s="21">
        <v>205</v>
      </c>
      <c r="N950" s="21"/>
      <c r="O950" s="2"/>
      <c r="P950" s="2"/>
      <c r="Q950" s="197" t="s">
        <v>1099</v>
      </c>
    </row>
    <row r="951" spans="1:17" ht="15" customHeight="1">
      <c r="A951" s="196">
        <v>118</v>
      </c>
      <c r="B951" s="71">
        <v>43690</v>
      </c>
      <c r="C951" s="2" t="s">
        <v>37</v>
      </c>
      <c r="D951" s="2" t="s">
        <v>1124</v>
      </c>
      <c r="E951" s="2"/>
      <c r="F951" s="2">
        <v>7718</v>
      </c>
      <c r="G951" s="72"/>
      <c r="H951" s="72">
        <v>35</v>
      </c>
      <c r="I951" s="72"/>
      <c r="J951" s="72">
        <v>12.3</v>
      </c>
      <c r="K951" s="21">
        <v>191</v>
      </c>
      <c r="L951" s="21">
        <v>835</v>
      </c>
      <c r="M951" s="21">
        <v>200</v>
      </c>
      <c r="N951" s="21">
        <v>1105</v>
      </c>
      <c r="O951" s="2"/>
      <c r="P951" s="2" t="s">
        <v>36</v>
      </c>
      <c r="Q951" s="197"/>
    </row>
    <row r="952" spans="1:17" ht="15" customHeight="1">
      <c r="A952" s="196">
        <v>117</v>
      </c>
      <c r="B952" s="71">
        <v>43690</v>
      </c>
      <c r="C952" s="2" t="s">
        <v>37</v>
      </c>
      <c r="D952" s="2" t="s">
        <v>1109</v>
      </c>
      <c r="E952" s="2"/>
      <c r="F952" s="2">
        <v>7316</v>
      </c>
      <c r="G952" s="72"/>
      <c r="H952" s="72">
        <v>35</v>
      </c>
      <c r="I952" s="72"/>
      <c r="J952" s="72">
        <v>10.5</v>
      </c>
      <c r="K952" s="21">
        <v>195</v>
      </c>
      <c r="L952" s="21">
        <v>780</v>
      </c>
      <c r="M952" s="21">
        <v>205</v>
      </c>
      <c r="N952" s="21"/>
      <c r="O952" s="2"/>
      <c r="P952" s="2"/>
      <c r="Q952" s="197"/>
    </row>
    <row r="953" spans="1:17" ht="15" customHeight="1">
      <c r="A953" s="196">
        <v>116</v>
      </c>
      <c r="B953" s="71">
        <v>43690</v>
      </c>
      <c r="C953" s="2" t="s">
        <v>37</v>
      </c>
      <c r="D953" s="2" t="s">
        <v>1108</v>
      </c>
      <c r="E953" s="2"/>
      <c r="F953" s="2">
        <v>7316</v>
      </c>
      <c r="G953" s="72"/>
      <c r="H953" s="72">
        <v>35</v>
      </c>
      <c r="I953" s="72"/>
      <c r="J953" s="72">
        <v>10.3</v>
      </c>
      <c r="K953" s="21">
        <v>196</v>
      </c>
      <c r="L953" s="21"/>
      <c r="M953" s="21">
        <v>205</v>
      </c>
      <c r="N953" s="21"/>
      <c r="O953" s="2"/>
      <c r="P953" s="2"/>
      <c r="Q953" s="197" t="s">
        <v>1099</v>
      </c>
    </row>
    <row r="954" spans="1:17" ht="15" customHeight="1">
      <c r="A954" s="196">
        <v>115</v>
      </c>
      <c r="B954" s="71">
        <v>43687</v>
      </c>
      <c r="C954" s="2" t="s">
        <v>384</v>
      </c>
      <c r="D954" s="2" t="s">
        <v>1121</v>
      </c>
      <c r="E954" s="2"/>
      <c r="F954" s="2" t="s">
        <v>41</v>
      </c>
      <c r="G954" s="72"/>
      <c r="H954" s="72">
        <v>42.5</v>
      </c>
      <c r="I954" s="72"/>
      <c r="J954" s="72">
        <v>10.45</v>
      </c>
      <c r="K954" s="21">
        <v>229</v>
      </c>
      <c r="L954" s="21">
        <v>1310</v>
      </c>
      <c r="M954" s="21">
        <v>238</v>
      </c>
      <c r="N954" s="21">
        <v>1720</v>
      </c>
      <c r="O954" s="2"/>
      <c r="P954" s="2" t="s">
        <v>36</v>
      </c>
      <c r="Q954" s="197" t="s">
        <v>1123</v>
      </c>
    </row>
    <row r="955" spans="1:17" ht="15" customHeight="1">
      <c r="A955" s="196">
        <v>114</v>
      </c>
      <c r="B955" s="71">
        <v>43687</v>
      </c>
      <c r="C955" s="2" t="s">
        <v>384</v>
      </c>
      <c r="D955" s="2" t="s">
        <v>1122</v>
      </c>
      <c r="E955" s="2"/>
      <c r="F955" s="2" t="s">
        <v>41</v>
      </c>
      <c r="G955" s="72"/>
      <c r="H955" s="72">
        <v>42.5</v>
      </c>
      <c r="I955" s="72"/>
      <c r="J955" s="72">
        <v>10.32</v>
      </c>
      <c r="K955" s="21">
        <v>231</v>
      </c>
      <c r="L955" s="21"/>
      <c r="M955" s="21">
        <v>240</v>
      </c>
      <c r="N955" s="21"/>
      <c r="O955" s="2"/>
      <c r="P955" s="2" t="s">
        <v>36</v>
      </c>
      <c r="Q955" s="197"/>
    </row>
    <row r="956" spans="1:17" ht="15" customHeight="1">
      <c r="A956" s="196">
        <v>113</v>
      </c>
      <c r="B956" s="71">
        <v>43675</v>
      </c>
      <c r="C956" s="2" t="s">
        <v>38</v>
      </c>
      <c r="D956" s="2" t="s">
        <v>1108</v>
      </c>
      <c r="E956" s="2"/>
      <c r="F956" s="2" t="s">
        <v>41</v>
      </c>
      <c r="G956" s="72"/>
      <c r="H956" s="72">
        <v>35</v>
      </c>
      <c r="I956" s="72"/>
      <c r="J956" s="72">
        <v>10.45</v>
      </c>
      <c r="K956" s="21">
        <v>196</v>
      </c>
      <c r="L956" s="21">
        <v>1282</v>
      </c>
      <c r="M956" s="21">
        <v>206</v>
      </c>
      <c r="N956" s="21">
        <v>1420</v>
      </c>
      <c r="O956" s="2"/>
      <c r="P956" s="2" t="s">
        <v>36</v>
      </c>
      <c r="Q956" s="197" t="s">
        <v>1097</v>
      </c>
    </row>
    <row r="957" spans="1:17" ht="15" customHeight="1">
      <c r="A957" s="196">
        <v>112</v>
      </c>
      <c r="B957" s="71">
        <v>43675</v>
      </c>
      <c r="C957" s="2" t="s">
        <v>384</v>
      </c>
      <c r="D957" s="2" t="s">
        <v>1109</v>
      </c>
      <c r="E957" s="2"/>
      <c r="F957" s="2" t="s">
        <v>41</v>
      </c>
      <c r="G957" s="72"/>
      <c r="H957" s="72">
        <v>35</v>
      </c>
      <c r="I957" s="72"/>
      <c r="J957" s="72">
        <v>10.68</v>
      </c>
      <c r="K957" s="21">
        <v>194</v>
      </c>
      <c r="L957" s="21">
        <v>990</v>
      </c>
      <c r="M957" s="21">
        <v>205</v>
      </c>
      <c r="N957" s="21">
        <v>1210</v>
      </c>
      <c r="O957" s="2"/>
      <c r="P957" s="2" t="s">
        <v>36</v>
      </c>
      <c r="Q957" s="197" t="s">
        <v>1097</v>
      </c>
    </row>
    <row r="958" spans="1:17" ht="15" customHeight="1">
      <c r="A958" s="196">
        <v>111</v>
      </c>
      <c r="B958" s="71">
        <v>43675</v>
      </c>
      <c r="C958" s="2" t="s">
        <v>384</v>
      </c>
      <c r="D958" s="2" t="s">
        <v>1108</v>
      </c>
      <c r="E958" s="2"/>
      <c r="F958" s="2" t="s">
        <v>41</v>
      </c>
      <c r="G958" s="72"/>
      <c r="H958" s="72">
        <v>35</v>
      </c>
      <c r="I958" s="72"/>
      <c r="J958" s="72">
        <v>10.98</v>
      </c>
      <c r="K958" s="21">
        <v>193</v>
      </c>
      <c r="L958" s="21">
        <v>1000</v>
      </c>
      <c r="M958" s="21">
        <v>206</v>
      </c>
      <c r="N958" s="21">
        <v>1255</v>
      </c>
      <c r="O958" s="2"/>
      <c r="P958" s="2" t="s">
        <v>36</v>
      </c>
      <c r="Q958" s="197"/>
    </row>
    <row r="959" spans="1:17" ht="15" customHeight="1">
      <c r="A959" s="196">
        <v>110</v>
      </c>
      <c r="B959" s="71">
        <v>43675</v>
      </c>
      <c r="C959" s="2" t="s">
        <v>384</v>
      </c>
      <c r="D959" s="2" t="s">
        <v>1108</v>
      </c>
      <c r="E959" s="2"/>
      <c r="F959" s="2" t="s">
        <v>41</v>
      </c>
      <c r="G959" s="72"/>
      <c r="H959" s="72">
        <v>35</v>
      </c>
      <c r="I959" s="72"/>
      <c r="J959" s="72">
        <v>10.66</v>
      </c>
      <c r="K959" s="21">
        <v>194</v>
      </c>
      <c r="L959" s="21">
        <v>1012</v>
      </c>
      <c r="M959" s="21">
        <v>206</v>
      </c>
      <c r="N959" s="21">
        <v>1272</v>
      </c>
      <c r="O959" s="2"/>
      <c r="P959" s="2" t="s">
        <v>36</v>
      </c>
      <c r="Q959" s="197"/>
    </row>
    <row r="960" spans="1:17" ht="15" customHeight="1">
      <c r="A960" s="196">
        <v>109</v>
      </c>
      <c r="B960" s="74">
        <v>43675</v>
      </c>
      <c r="C960" s="73" t="s">
        <v>384</v>
      </c>
      <c r="D960" s="73" t="s">
        <v>1109</v>
      </c>
      <c r="E960" s="73"/>
      <c r="F960" s="73" t="s">
        <v>41</v>
      </c>
      <c r="G960" s="75"/>
      <c r="H960" s="75">
        <v>35</v>
      </c>
      <c r="I960" s="75"/>
      <c r="J960" s="75">
        <v>10</v>
      </c>
      <c r="K960" s="76">
        <v>195</v>
      </c>
      <c r="L960" s="76">
        <v>1067</v>
      </c>
      <c r="M960" s="76">
        <v>206</v>
      </c>
      <c r="N960" s="76">
        <v>1245</v>
      </c>
      <c r="O960" s="73"/>
      <c r="P960" s="2" t="s">
        <v>36</v>
      </c>
      <c r="Q960" s="259"/>
    </row>
    <row r="961" spans="1:17" ht="15" customHeight="1">
      <c r="A961" s="196">
        <v>108</v>
      </c>
      <c r="B961" s="74">
        <v>43675</v>
      </c>
      <c r="C961" s="73" t="s">
        <v>384</v>
      </c>
      <c r="D961" s="73" t="s">
        <v>1098</v>
      </c>
      <c r="E961" s="73"/>
      <c r="F961" s="73" t="s">
        <v>70</v>
      </c>
      <c r="G961" s="75"/>
      <c r="H961" s="75">
        <v>35</v>
      </c>
      <c r="I961" s="75"/>
      <c r="J961" s="75">
        <v>9.9</v>
      </c>
      <c r="K961" s="76">
        <v>202</v>
      </c>
      <c r="L961" s="76">
        <v>997</v>
      </c>
      <c r="M961" s="76">
        <v>209</v>
      </c>
      <c r="N961" s="76">
        <v>1266</v>
      </c>
      <c r="O961" s="73"/>
      <c r="P961" s="2" t="s">
        <v>36</v>
      </c>
      <c r="Q961" s="259"/>
    </row>
    <row r="962" spans="1:17" ht="15" customHeight="1">
      <c r="A962" s="196">
        <v>107</v>
      </c>
      <c r="B962" s="74">
        <v>43675</v>
      </c>
      <c r="C962" s="73" t="s">
        <v>384</v>
      </c>
      <c r="D962" s="73" t="s">
        <v>1112</v>
      </c>
      <c r="E962" s="73"/>
      <c r="F962" s="73" t="s">
        <v>41</v>
      </c>
      <c r="G962" s="75"/>
      <c r="H962" s="75">
        <v>35</v>
      </c>
      <c r="I962" s="75"/>
      <c r="J962" s="75">
        <v>10.65</v>
      </c>
      <c r="K962" s="76">
        <v>200</v>
      </c>
      <c r="L962" s="76">
        <v>1040</v>
      </c>
      <c r="M962" s="76">
        <v>208</v>
      </c>
      <c r="N962" s="76">
        <v>1324</v>
      </c>
      <c r="O962" s="73"/>
      <c r="P962" s="2" t="s">
        <v>36</v>
      </c>
      <c r="Q962" s="259" t="s">
        <v>1113</v>
      </c>
    </row>
    <row r="963" spans="1:17" ht="15" customHeight="1">
      <c r="A963" s="196">
        <v>106</v>
      </c>
      <c r="B963" s="74">
        <v>43675</v>
      </c>
      <c r="C963" s="73" t="s">
        <v>384</v>
      </c>
      <c r="D963" s="73" t="s">
        <v>1074</v>
      </c>
      <c r="E963" s="73"/>
      <c r="F963" s="73" t="s">
        <v>41</v>
      </c>
      <c r="G963" s="75"/>
      <c r="H963" s="75">
        <v>42.5</v>
      </c>
      <c r="I963" s="75"/>
      <c r="J963" s="75">
        <v>11.24</v>
      </c>
      <c r="K963" s="76">
        <v>195</v>
      </c>
      <c r="L963" s="76">
        <v>1238</v>
      </c>
      <c r="M963" s="76">
        <v>203</v>
      </c>
      <c r="N963" s="76">
        <v>1495</v>
      </c>
      <c r="O963" s="73"/>
      <c r="P963" s="2" t="s">
        <v>36</v>
      </c>
      <c r="Q963" s="259" t="s">
        <v>1114</v>
      </c>
    </row>
    <row r="964" spans="1:17" ht="15" customHeight="1">
      <c r="A964" s="196">
        <v>105</v>
      </c>
      <c r="B964" s="74">
        <v>43675</v>
      </c>
      <c r="C964" s="73" t="s">
        <v>384</v>
      </c>
      <c r="D964" s="73" t="s">
        <v>1115</v>
      </c>
      <c r="E964" s="73"/>
      <c r="F964" s="73" t="s">
        <v>41</v>
      </c>
      <c r="G964" s="75"/>
      <c r="H964" s="75">
        <v>35</v>
      </c>
      <c r="I964" s="75"/>
      <c r="J964" s="75">
        <v>10.9</v>
      </c>
      <c r="K964" s="76">
        <v>186</v>
      </c>
      <c r="L964" s="76">
        <v>956</v>
      </c>
      <c r="M964" s="76">
        <v>190</v>
      </c>
      <c r="N964" s="76">
        <v>1172</v>
      </c>
      <c r="O964" s="73"/>
      <c r="P964" s="2" t="s">
        <v>36</v>
      </c>
      <c r="Q964" s="259" t="s">
        <v>1116</v>
      </c>
    </row>
    <row r="965" spans="1:17" ht="15" customHeight="1">
      <c r="A965" s="196">
        <v>104</v>
      </c>
      <c r="B965" s="74">
        <v>43675</v>
      </c>
      <c r="C965" s="73" t="s">
        <v>384</v>
      </c>
      <c r="D965" s="73" t="s">
        <v>1117</v>
      </c>
      <c r="E965" s="73"/>
      <c r="F965" s="73" t="s">
        <v>41</v>
      </c>
      <c r="G965" s="75"/>
      <c r="H965" s="75">
        <v>35</v>
      </c>
      <c r="I965" s="75"/>
      <c r="J965" s="75">
        <v>13</v>
      </c>
      <c r="K965" s="76">
        <v>187</v>
      </c>
      <c r="L965" s="76">
        <v>850</v>
      </c>
      <c r="M965" s="76">
        <v>195</v>
      </c>
      <c r="N965" s="76">
        <v>1030</v>
      </c>
      <c r="O965" s="73"/>
      <c r="P965" s="2" t="s">
        <v>36</v>
      </c>
      <c r="Q965" s="259" t="s">
        <v>1118</v>
      </c>
    </row>
    <row r="966" spans="1:17" ht="15" customHeight="1">
      <c r="A966" s="196">
        <v>103</v>
      </c>
      <c r="B966" s="74">
        <v>43675</v>
      </c>
      <c r="C966" s="73" t="s">
        <v>384</v>
      </c>
      <c r="D966" s="73" t="s">
        <v>1119</v>
      </c>
      <c r="E966" s="73"/>
      <c r="F966" s="73" t="s">
        <v>41</v>
      </c>
      <c r="G966" s="75"/>
      <c r="H966" s="75">
        <v>35</v>
      </c>
      <c r="I966" s="75"/>
      <c r="J966" s="75">
        <v>12.7</v>
      </c>
      <c r="K966" s="76">
        <v>196</v>
      </c>
      <c r="L966" s="76">
        <v>865</v>
      </c>
      <c r="M966" s="76">
        <v>200</v>
      </c>
      <c r="N966" s="76">
        <v>1047</v>
      </c>
      <c r="O966" s="73"/>
      <c r="P966" s="2" t="s">
        <v>36</v>
      </c>
      <c r="Q966" s="259" t="s">
        <v>1120</v>
      </c>
    </row>
    <row r="967" spans="1:17" ht="15" customHeight="1">
      <c r="A967" s="196">
        <v>102</v>
      </c>
      <c r="B967" s="74">
        <v>43675</v>
      </c>
      <c r="C967" s="2" t="s">
        <v>384</v>
      </c>
      <c r="D967" s="2" t="s">
        <v>1121</v>
      </c>
      <c r="E967" s="2"/>
      <c r="F967" s="2" t="s">
        <v>41</v>
      </c>
      <c r="G967" s="72"/>
      <c r="H967" s="72">
        <v>42.5</v>
      </c>
      <c r="I967" s="72"/>
      <c r="J967" s="72">
        <v>10.4</v>
      </c>
      <c r="K967" s="21">
        <v>232</v>
      </c>
      <c r="L967" s="21">
        <v>1340</v>
      </c>
      <c r="M967" s="21">
        <v>241</v>
      </c>
      <c r="N967" s="21">
        <v>1750</v>
      </c>
      <c r="O967" s="73"/>
      <c r="P967" s="2" t="s">
        <v>36</v>
      </c>
      <c r="Q967" s="197"/>
    </row>
    <row r="968" spans="1:17" ht="15" customHeight="1">
      <c r="A968" s="196">
        <v>101</v>
      </c>
      <c r="B968" s="74">
        <v>43675</v>
      </c>
      <c r="C968" s="73" t="s">
        <v>384</v>
      </c>
      <c r="D968" s="73" t="s">
        <v>1122</v>
      </c>
      <c r="E968" s="73"/>
      <c r="F968" s="2" t="s">
        <v>41</v>
      </c>
      <c r="G968" s="75"/>
      <c r="H968" s="75">
        <v>42.5</v>
      </c>
      <c r="I968" s="75"/>
      <c r="J968" s="75">
        <v>10.8</v>
      </c>
      <c r="K968" s="76"/>
      <c r="L968" s="76">
        <v>1270</v>
      </c>
      <c r="M968" s="76"/>
      <c r="N968" s="76"/>
      <c r="O968" s="73"/>
      <c r="P968" s="2" t="s">
        <v>36</v>
      </c>
      <c r="Q968" s="259" t="s">
        <v>1118</v>
      </c>
    </row>
    <row r="969" spans="1:17" ht="15" customHeight="1">
      <c r="A969" s="196">
        <v>100</v>
      </c>
      <c r="B969" s="71">
        <v>43664</v>
      </c>
      <c r="C969" s="2" t="s">
        <v>105</v>
      </c>
      <c r="D969" s="2" t="s">
        <v>1058</v>
      </c>
      <c r="E969" s="2"/>
      <c r="F969" s="2">
        <v>7717</v>
      </c>
      <c r="G969" s="72"/>
      <c r="H969" s="72">
        <v>35</v>
      </c>
      <c r="I969" s="72"/>
      <c r="J969" s="72">
        <v>10.4</v>
      </c>
      <c r="K969" s="21">
        <v>188</v>
      </c>
      <c r="L969" s="21">
        <v>1025</v>
      </c>
      <c r="M969" s="21">
        <v>190</v>
      </c>
      <c r="N969" s="21">
        <v>1080</v>
      </c>
      <c r="O969" s="73"/>
      <c r="P969" s="2" t="s">
        <v>36</v>
      </c>
      <c r="Q969" s="197"/>
    </row>
    <row r="970" spans="1:17" ht="15" customHeight="1">
      <c r="A970" s="196">
        <v>99</v>
      </c>
      <c r="B970" s="71">
        <v>43664</v>
      </c>
      <c r="C970" s="73" t="s">
        <v>105</v>
      </c>
      <c r="D970" s="73" t="s">
        <v>1105</v>
      </c>
      <c r="E970" s="73"/>
      <c r="F970" s="2">
        <v>7717</v>
      </c>
      <c r="G970" s="75"/>
      <c r="H970" s="75">
        <v>35</v>
      </c>
      <c r="I970" s="75"/>
      <c r="J970" s="75">
        <v>10.3</v>
      </c>
      <c r="K970" s="76">
        <v>188</v>
      </c>
      <c r="L970" s="76">
        <v>1000</v>
      </c>
      <c r="M970" s="76">
        <v>190</v>
      </c>
      <c r="N970" s="76">
        <v>1140</v>
      </c>
      <c r="O970" s="73"/>
      <c r="P970" s="2" t="s">
        <v>36</v>
      </c>
      <c r="Q970" s="259"/>
    </row>
    <row r="971" spans="1:17" ht="15" customHeight="1">
      <c r="A971" s="196">
        <v>98</v>
      </c>
      <c r="B971" s="71">
        <v>43663</v>
      </c>
      <c r="C971" s="73" t="s">
        <v>105</v>
      </c>
      <c r="D971" s="73" t="s">
        <v>1058</v>
      </c>
      <c r="E971" s="73"/>
      <c r="F971" s="2">
        <v>7717</v>
      </c>
      <c r="G971" s="75"/>
      <c r="H971" s="75">
        <v>35</v>
      </c>
      <c r="I971" s="75"/>
      <c r="J971" s="75">
        <v>11.45</v>
      </c>
      <c r="K971" s="76">
        <v>187</v>
      </c>
      <c r="L971" s="76">
        <v>900</v>
      </c>
      <c r="M971" s="76">
        <v>190</v>
      </c>
      <c r="N971" s="76">
        <v>1065</v>
      </c>
      <c r="O971" s="73"/>
      <c r="P971" s="2" t="s">
        <v>36</v>
      </c>
      <c r="Q971" s="259" t="s">
        <v>1106</v>
      </c>
    </row>
    <row r="972" spans="1:17" ht="15" customHeight="1">
      <c r="A972" s="196">
        <v>97</v>
      </c>
      <c r="B972" s="71">
        <v>43663</v>
      </c>
      <c r="C972" s="73" t="s">
        <v>105</v>
      </c>
      <c r="D972" s="73" t="s">
        <v>1105</v>
      </c>
      <c r="E972" s="73"/>
      <c r="F972" s="2">
        <v>7717</v>
      </c>
      <c r="G972" s="75"/>
      <c r="H972" s="75">
        <v>35</v>
      </c>
      <c r="I972" s="75"/>
      <c r="J972" s="75">
        <v>11.45</v>
      </c>
      <c r="K972" s="76">
        <v>187</v>
      </c>
      <c r="L972" s="76">
        <v>885</v>
      </c>
      <c r="M972" s="76">
        <v>190</v>
      </c>
      <c r="N972" s="76">
        <v>1045</v>
      </c>
      <c r="O972" s="73"/>
      <c r="P972" s="2" t="s">
        <v>36</v>
      </c>
      <c r="Q972" s="259" t="s">
        <v>1106</v>
      </c>
    </row>
    <row r="973" spans="1:17" ht="15" customHeight="1">
      <c r="A973" s="196">
        <v>96</v>
      </c>
      <c r="B973" s="74">
        <v>43663</v>
      </c>
      <c r="C973" s="73" t="s">
        <v>37</v>
      </c>
      <c r="D973" s="73" t="s">
        <v>1058</v>
      </c>
      <c r="E973" s="73"/>
      <c r="F973" s="2">
        <v>7717</v>
      </c>
      <c r="G973" s="75"/>
      <c r="H973" s="75">
        <v>35</v>
      </c>
      <c r="I973" s="75"/>
      <c r="J973" s="75">
        <v>10.199999999999999</v>
      </c>
      <c r="K973" s="76">
        <v>187</v>
      </c>
      <c r="L973" s="76">
        <v>1010</v>
      </c>
      <c r="M973" s="76">
        <v>188</v>
      </c>
      <c r="N973" s="76">
        <v>1165</v>
      </c>
      <c r="O973" s="73"/>
      <c r="P973" s="2" t="s">
        <v>36</v>
      </c>
      <c r="Q973" s="259"/>
    </row>
    <row r="974" spans="1:17" ht="15" customHeight="1">
      <c r="A974" s="196">
        <v>95</v>
      </c>
      <c r="B974" s="74">
        <v>43663</v>
      </c>
      <c r="C974" s="73" t="s">
        <v>37</v>
      </c>
      <c r="D974" s="73" t="s">
        <v>1105</v>
      </c>
      <c r="E974" s="73"/>
      <c r="F974" s="2">
        <v>7717</v>
      </c>
      <c r="G974" s="75"/>
      <c r="H974" s="75">
        <v>35</v>
      </c>
      <c r="I974" s="75"/>
      <c r="J974" s="75">
        <v>10.07</v>
      </c>
      <c r="K974" s="76">
        <v>188</v>
      </c>
      <c r="L974" s="76">
        <v>998</v>
      </c>
      <c r="M974" s="76">
        <v>190</v>
      </c>
      <c r="N974" s="76">
        <v>1130</v>
      </c>
      <c r="O974" s="73"/>
      <c r="P974" s="2" t="s">
        <v>36</v>
      </c>
      <c r="Q974" s="259"/>
    </row>
    <row r="975" spans="1:17" ht="15" customHeight="1">
      <c r="A975" s="196">
        <v>94</v>
      </c>
      <c r="B975" s="74">
        <v>43663</v>
      </c>
      <c r="C975" s="73" t="s">
        <v>38</v>
      </c>
      <c r="D975" s="73" t="s">
        <v>1058</v>
      </c>
      <c r="E975" s="73"/>
      <c r="F975" s="2">
        <v>7717</v>
      </c>
      <c r="G975" s="75"/>
      <c r="H975" s="75">
        <v>35</v>
      </c>
      <c r="I975" s="75"/>
      <c r="J975" s="75">
        <v>10.050000000000001</v>
      </c>
      <c r="K975" s="76">
        <v>188</v>
      </c>
      <c r="L975" s="76">
        <v>1030</v>
      </c>
      <c r="M975" s="76">
        <v>190</v>
      </c>
      <c r="N975" s="76">
        <v>1190</v>
      </c>
      <c r="O975" s="73"/>
      <c r="P975" s="2" t="s">
        <v>36</v>
      </c>
      <c r="Q975" s="259"/>
    </row>
    <row r="976" spans="1:17" ht="15" customHeight="1">
      <c r="A976" s="196">
        <v>93</v>
      </c>
      <c r="B976" s="74">
        <v>43663</v>
      </c>
      <c r="C976" s="73" t="s">
        <v>38</v>
      </c>
      <c r="D976" s="73" t="s">
        <v>1105</v>
      </c>
      <c r="E976" s="73"/>
      <c r="F976" s="2">
        <v>7717</v>
      </c>
      <c r="G976" s="75"/>
      <c r="H976" s="75">
        <v>35</v>
      </c>
      <c r="I976" s="75"/>
      <c r="J976" s="75">
        <v>10.4</v>
      </c>
      <c r="K976" s="76">
        <v>188</v>
      </c>
      <c r="L976" s="76">
        <v>1020</v>
      </c>
      <c r="M976" s="76">
        <v>190</v>
      </c>
      <c r="N976" s="76">
        <v>1160</v>
      </c>
      <c r="O976" s="73"/>
      <c r="P976" s="2" t="s">
        <v>36</v>
      </c>
      <c r="Q976" s="259" t="s">
        <v>1107</v>
      </c>
    </row>
    <row r="977" spans="1:17" ht="15" customHeight="1">
      <c r="A977" s="196">
        <v>92</v>
      </c>
      <c r="B977" s="74">
        <v>43662</v>
      </c>
      <c r="C977" s="73" t="s">
        <v>37</v>
      </c>
      <c r="D977" s="73" t="s">
        <v>1094</v>
      </c>
      <c r="E977" s="73"/>
      <c r="F977" s="2">
        <v>7199</v>
      </c>
      <c r="G977" s="75"/>
      <c r="H977" s="75">
        <v>35</v>
      </c>
      <c r="I977" s="75"/>
      <c r="J977" s="75">
        <v>9.4</v>
      </c>
      <c r="K977" s="76">
        <v>201</v>
      </c>
      <c r="L977" s="76">
        <v>1080</v>
      </c>
      <c r="M977" s="76">
        <v>210</v>
      </c>
      <c r="N977" s="76">
        <v>1390</v>
      </c>
      <c r="O977" s="73"/>
      <c r="P977" s="2" t="s">
        <v>36</v>
      </c>
      <c r="Q977" s="259"/>
    </row>
    <row r="978" spans="1:17" ht="15" customHeight="1">
      <c r="A978" s="196">
        <v>91</v>
      </c>
      <c r="B978" s="74">
        <v>43662</v>
      </c>
      <c r="C978" s="73" t="s">
        <v>38</v>
      </c>
      <c r="D978" s="73" t="s">
        <v>1105</v>
      </c>
      <c r="E978" s="73"/>
      <c r="F978" s="73">
        <v>7717</v>
      </c>
      <c r="G978" s="75"/>
      <c r="H978" s="75">
        <v>35</v>
      </c>
      <c r="I978" s="75"/>
      <c r="J978" s="75">
        <v>11.6</v>
      </c>
      <c r="K978" s="76">
        <v>185</v>
      </c>
      <c r="L978" s="76">
        <v>830</v>
      </c>
      <c r="M978" s="76">
        <v>188</v>
      </c>
      <c r="N978" s="76">
        <v>1010</v>
      </c>
      <c r="O978" s="73"/>
      <c r="P978" s="2" t="s">
        <v>36</v>
      </c>
      <c r="Q978" s="259"/>
    </row>
    <row r="979" spans="1:17" ht="15" customHeight="1">
      <c r="A979" s="196">
        <v>90</v>
      </c>
      <c r="B979" s="71">
        <v>43655</v>
      </c>
      <c r="C979" s="2" t="s">
        <v>37</v>
      </c>
      <c r="D979" s="2" t="s">
        <v>1070</v>
      </c>
      <c r="E979" s="2"/>
      <c r="F979" s="73">
        <v>752</v>
      </c>
      <c r="G979" s="72"/>
      <c r="H979" s="72">
        <v>35</v>
      </c>
      <c r="I979" s="72"/>
      <c r="J979" s="72">
        <v>9</v>
      </c>
      <c r="K979" s="21">
        <v>194</v>
      </c>
      <c r="L979" s="21">
        <v>1175</v>
      </c>
      <c r="M979" s="21">
        <v>194</v>
      </c>
      <c r="N979" s="21">
        <v>1300</v>
      </c>
      <c r="O979" s="73"/>
      <c r="P979" s="2" t="s">
        <v>36</v>
      </c>
      <c r="Q979" s="197"/>
    </row>
    <row r="980" spans="1:17" ht="15" customHeight="1">
      <c r="A980" s="196">
        <v>89</v>
      </c>
      <c r="B980" s="71">
        <v>43655</v>
      </c>
      <c r="C980" s="2" t="s">
        <v>37</v>
      </c>
      <c r="D980" s="2" t="s">
        <v>1104</v>
      </c>
      <c r="E980" s="2"/>
      <c r="F980" s="73">
        <v>752</v>
      </c>
      <c r="G980" s="72"/>
      <c r="H980" s="72">
        <v>35</v>
      </c>
      <c r="I980" s="72"/>
      <c r="J980" s="72">
        <v>9.35</v>
      </c>
      <c r="K980" s="21">
        <v>195</v>
      </c>
      <c r="L980" s="21">
        <v>1115</v>
      </c>
      <c r="M980" s="21">
        <v>195</v>
      </c>
      <c r="N980" s="21">
        <v>1270</v>
      </c>
      <c r="O980" s="2"/>
      <c r="P980" s="2" t="s">
        <v>36</v>
      </c>
      <c r="Q980" s="197"/>
    </row>
    <row r="981" spans="1:17" ht="15" customHeight="1">
      <c r="A981" s="196">
        <v>88</v>
      </c>
      <c r="B981" s="71">
        <v>43655</v>
      </c>
      <c r="C981" s="73" t="s">
        <v>37</v>
      </c>
      <c r="D981" s="73" t="s">
        <v>1104</v>
      </c>
      <c r="E981" s="73"/>
      <c r="F981" s="73">
        <v>752</v>
      </c>
      <c r="G981" s="75"/>
      <c r="H981" s="75">
        <v>35</v>
      </c>
      <c r="I981" s="75"/>
      <c r="J981" s="75">
        <v>9.2200000000000006</v>
      </c>
      <c r="K981" s="76">
        <v>195</v>
      </c>
      <c r="L981" s="76">
        <v>1066</v>
      </c>
      <c r="M981" s="76">
        <v>195</v>
      </c>
      <c r="N981" s="76">
        <v>1250</v>
      </c>
      <c r="O981" s="73"/>
      <c r="P981" s="2" t="s">
        <v>36</v>
      </c>
      <c r="Q981" s="259"/>
    </row>
    <row r="982" spans="1:17" ht="15" customHeight="1">
      <c r="A982" s="196">
        <v>87</v>
      </c>
      <c r="B982" s="71">
        <v>43655</v>
      </c>
      <c r="C982" s="73" t="s">
        <v>37</v>
      </c>
      <c r="D982" s="73" t="s">
        <v>1070</v>
      </c>
      <c r="E982" s="73"/>
      <c r="F982" s="73">
        <v>752</v>
      </c>
      <c r="G982" s="75"/>
      <c r="H982" s="75">
        <v>35</v>
      </c>
      <c r="I982" s="75"/>
      <c r="J982" s="75">
        <v>8.8000000000000007</v>
      </c>
      <c r="K982" s="76">
        <v>195</v>
      </c>
      <c r="L982" s="76">
        <v>1210</v>
      </c>
      <c r="M982" s="76">
        <v>195</v>
      </c>
      <c r="N982" s="76">
        <v>1338</v>
      </c>
      <c r="O982" s="73"/>
      <c r="P982" s="2" t="s">
        <v>36</v>
      </c>
      <c r="Q982" s="259" t="s">
        <v>1099</v>
      </c>
    </row>
    <row r="983" spans="1:17" ht="15" customHeight="1">
      <c r="A983" s="196">
        <v>86</v>
      </c>
      <c r="B983" s="71">
        <v>43655</v>
      </c>
      <c r="C983" s="73" t="s">
        <v>37</v>
      </c>
      <c r="D983" s="73" t="s">
        <v>1104</v>
      </c>
      <c r="E983" s="73"/>
      <c r="F983" s="73">
        <v>752</v>
      </c>
      <c r="G983" s="75"/>
      <c r="H983" s="75">
        <v>35</v>
      </c>
      <c r="I983" s="75"/>
      <c r="J983" s="75">
        <v>9.1</v>
      </c>
      <c r="K983" s="76">
        <v>194</v>
      </c>
      <c r="L983" s="76">
        <v>1133</v>
      </c>
      <c r="M983" s="76">
        <v>195</v>
      </c>
      <c r="N983" s="76">
        <v>1300</v>
      </c>
      <c r="O983" s="73"/>
      <c r="P983" s="2" t="s">
        <v>36</v>
      </c>
      <c r="Q983" s="259" t="s">
        <v>1099</v>
      </c>
    </row>
    <row r="984" spans="1:17" ht="15" customHeight="1">
      <c r="A984" s="196">
        <v>85</v>
      </c>
      <c r="B984" s="71">
        <v>43654</v>
      </c>
      <c r="C984" s="73" t="s">
        <v>38</v>
      </c>
      <c r="D984" s="73" t="s">
        <v>1058</v>
      </c>
      <c r="E984" s="73"/>
      <c r="F984" s="73">
        <v>7717</v>
      </c>
      <c r="G984" s="75"/>
      <c r="H984" s="75">
        <v>35</v>
      </c>
      <c r="I984" s="75"/>
      <c r="J984" s="75">
        <v>10.18</v>
      </c>
      <c r="K984" s="76">
        <v>188</v>
      </c>
      <c r="L984" s="76"/>
      <c r="M984" s="76">
        <v>189</v>
      </c>
      <c r="N984" s="76"/>
      <c r="O984" s="73"/>
      <c r="P984" s="2" t="s">
        <v>36</v>
      </c>
      <c r="Q984" s="259" t="s">
        <v>1102</v>
      </c>
    </row>
    <row r="985" spans="1:17" ht="15" customHeight="1">
      <c r="A985" s="196">
        <v>84</v>
      </c>
      <c r="B985" s="74">
        <v>43651</v>
      </c>
      <c r="C985" s="73" t="s">
        <v>37</v>
      </c>
      <c r="D985" s="73" t="s">
        <v>1058</v>
      </c>
      <c r="E985" s="73"/>
      <c r="F985" s="73">
        <v>7717</v>
      </c>
      <c r="G985" s="75"/>
      <c r="H985" s="75">
        <v>35</v>
      </c>
      <c r="I985" s="75"/>
      <c r="J985" s="75">
        <v>10.1</v>
      </c>
      <c r="K985" s="76">
        <v>188</v>
      </c>
      <c r="L985" s="76"/>
      <c r="M985" s="76">
        <v>190</v>
      </c>
      <c r="N985" s="76"/>
      <c r="O985" s="73"/>
      <c r="P985" s="2" t="s">
        <v>36</v>
      </c>
      <c r="Q985" s="259" t="s">
        <v>1101</v>
      </c>
    </row>
    <row r="986" spans="1:17" ht="15" customHeight="1">
      <c r="A986" s="196">
        <v>83</v>
      </c>
      <c r="B986" s="74">
        <v>43650</v>
      </c>
      <c r="C986" s="73" t="s">
        <v>105</v>
      </c>
      <c r="D986" s="73" t="s">
        <v>1089</v>
      </c>
      <c r="E986" s="73"/>
      <c r="F986" s="73" t="s">
        <v>68</v>
      </c>
      <c r="G986" s="75"/>
      <c r="H986" s="75">
        <v>35</v>
      </c>
      <c r="I986" s="75"/>
      <c r="J986" s="75">
        <v>9.6999999999999993</v>
      </c>
      <c r="K986" s="76">
        <v>201</v>
      </c>
      <c r="L986" s="76">
        <v>1015</v>
      </c>
      <c r="M986" s="76">
        <v>205</v>
      </c>
      <c r="N986" s="76">
        <v>1320</v>
      </c>
      <c r="O986" s="73"/>
      <c r="P986" s="2" t="s">
        <v>36</v>
      </c>
      <c r="Q986" s="259" t="s">
        <v>1097</v>
      </c>
    </row>
    <row r="987" spans="1:17" ht="15" customHeight="1">
      <c r="A987" s="196">
        <v>82</v>
      </c>
      <c r="B987" s="74">
        <v>43649</v>
      </c>
      <c r="C987" s="73" t="s">
        <v>105</v>
      </c>
      <c r="D987" s="73" t="s">
        <v>1098</v>
      </c>
      <c r="E987" s="73"/>
      <c r="F987" s="73" t="s">
        <v>70</v>
      </c>
      <c r="G987" s="75"/>
      <c r="H987" s="75">
        <v>35</v>
      </c>
      <c r="I987" s="75"/>
      <c r="J987" s="75">
        <v>10.65</v>
      </c>
      <c r="K987" s="76">
        <v>202</v>
      </c>
      <c r="L987" s="76">
        <v>945</v>
      </c>
      <c r="M987" s="76">
        <v>210</v>
      </c>
      <c r="N987" s="76">
        <v>1270</v>
      </c>
      <c r="O987" s="73"/>
      <c r="P987" s="2" t="s">
        <v>36</v>
      </c>
      <c r="Q987" s="259" t="s">
        <v>1099</v>
      </c>
    </row>
    <row r="988" spans="1:17" ht="15" customHeight="1">
      <c r="A988" s="196">
        <v>81</v>
      </c>
      <c r="B988" s="74">
        <v>43649</v>
      </c>
      <c r="C988" s="73" t="s">
        <v>105</v>
      </c>
      <c r="D988" s="73" t="s">
        <v>1100</v>
      </c>
      <c r="E988" s="73"/>
      <c r="F988" s="73" t="s">
        <v>70</v>
      </c>
      <c r="G988" s="75"/>
      <c r="H988" s="75">
        <v>35</v>
      </c>
      <c r="I988" s="75"/>
      <c r="J988" s="75">
        <v>6.15</v>
      </c>
      <c r="K988" s="76">
        <v>282</v>
      </c>
      <c r="L988" s="76">
        <v>1635</v>
      </c>
      <c r="M988" s="76">
        <v>284</v>
      </c>
      <c r="N988" s="76">
        <v>2020</v>
      </c>
      <c r="O988" s="73"/>
      <c r="P988" s="2" t="s">
        <v>36</v>
      </c>
      <c r="Q988" s="259" t="s">
        <v>1099</v>
      </c>
    </row>
    <row r="989" spans="1:17" ht="15" customHeight="1">
      <c r="A989" s="196">
        <v>80</v>
      </c>
      <c r="B989" s="74">
        <v>43649</v>
      </c>
      <c r="C989" s="73" t="s">
        <v>105</v>
      </c>
      <c r="D989" s="73" t="s">
        <v>1098</v>
      </c>
      <c r="E989" s="73"/>
      <c r="F989" s="73" t="s">
        <v>70</v>
      </c>
      <c r="G989" s="75"/>
      <c r="H989" s="75">
        <v>35</v>
      </c>
      <c r="I989" s="75"/>
      <c r="J989" s="75">
        <v>10.3</v>
      </c>
      <c r="K989" s="76">
        <v>204</v>
      </c>
      <c r="L989" s="76">
        <v>985</v>
      </c>
      <c r="M989" s="76">
        <v>210</v>
      </c>
      <c r="N989" s="76">
        <v>1270</v>
      </c>
      <c r="O989" s="73"/>
      <c r="P989" s="2" t="s">
        <v>36</v>
      </c>
      <c r="Q989" s="259" t="s">
        <v>1099</v>
      </c>
    </row>
    <row r="990" spans="1:17" ht="15" customHeight="1">
      <c r="A990" s="196">
        <v>79</v>
      </c>
      <c r="B990" s="74">
        <v>43649</v>
      </c>
      <c r="C990" s="73" t="s">
        <v>105</v>
      </c>
      <c r="D990" s="73" t="s">
        <v>1100</v>
      </c>
      <c r="E990" s="73"/>
      <c r="F990" s="73" t="s">
        <v>70</v>
      </c>
      <c r="G990" s="75"/>
      <c r="H990" s="75">
        <v>35</v>
      </c>
      <c r="I990" s="75"/>
      <c r="J990" s="75">
        <v>6.2</v>
      </c>
      <c r="K990" s="76">
        <v>281</v>
      </c>
      <c r="L990" s="76">
        <v>1630</v>
      </c>
      <c r="M990" s="76">
        <v>283</v>
      </c>
      <c r="N990" s="76">
        <v>2020</v>
      </c>
      <c r="O990" s="73"/>
      <c r="P990" s="2" t="s">
        <v>36</v>
      </c>
      <c r="Q990" s="259" t="s">
        <v>1097</v>
      </c>
    </row>
    <row r="991" spans="1:17" ht="15" customHeight="1">
      <c r="A991" s="196">
        <v>78</v>
      </c>
      <c r="B991" s="74">
        <v>43643</v>
      </c>
      <c r="C991" s="73" t="s">
        <v>105</v>
      </c>
      <c r="D991" s="73" t="s">
        <v>1059</v>
      </c>
      <c r="E991" s="73"/>
      <c r="F991" s="73" t="s">
        <v>69</v>
      </c>
      <c r="G991" s="75"/>
      <c r="H991" s="75">
        <v>35</v>
      </c>
      <c r="I991" s="75"/>
      <c r="J991" s="75">
        <v>10.3</v>
      </c>
      <c r="K991" s="76">
        <v>196.7</v>
      </c>
      <c r="L991" s="76">
        <v>1000</v>
      </c>
      <c r="M991" s="76">
        <v>202</v>
      </c>
      <c r="N991" s="76"/>
      <c r="O991" s="73"/>
      <c r="P991" s="2" t="s">
        <v>36</v>
      </c>
      <c r="Q991" s="259"/>
    </row>
    <row r="992" spans="1:17" ht="15" customHeight="1">
      <c r="A992" s="196">
        <v>77</v>
      </c>
      <c r="B992" s="74">
        <v>43643</v>
      </c>
      <c r="C992" s="73" t="s">
        <v>105</v>
      </c>
      <c r="D992" s="73" t="s">
        <v>1079</v>
      </c>
      <c r="E992" s="73"/>
      <c r="F992" s="73" t="s">
        <v>41</v>
      </c>
      <c r="G992" s="75"/>
      <c r="H992" s="75">
        <v>35</v>
      </c>
      <c r="I992" s="75"/>
      <c r="J992" s="75">
        <v>14</v>
      </c>
      <c r="K992" s="76">
        <v>175</v>
      </c>
      <c r="L992" s="76">
        <v>730</v>
      </c>
      <c r="M992" s="76">
        <v>185</v>
      </c>
      <c r="N992" s="76">
        <v>1030</v>
      </c>
      <c r="O992" s="73"/>
      <c r="P992" s="2" t="s">
        <v>36</v>
      </c>
      <c r="Q992" s="259"/>
    </row>
    <row r="993" spans="1:17" ht="15" customHeight="1">
      <c r="A993" s="196">
        <v>76</v>
      </c>
      <c r="B993" s="74">
        <v>43642</v>
      </c>
      <c r="C993" s="73" t="s">
        <v>37</v>
      </c>
      <c r="D993" s="73" t="s">
        <v>1092</v>
      </c>
      <c r="E993" s="73"/>
      <c r="F993" s="73" t="s">
        <v>70</v>
      </c>
      <c r="G993" s="75"/>
      <c r="H993" s="75">
        <v>35</v>
      </c>
      <c r="I993" s="75"/>
      <c r="J993" s="75">
        <v>6.1</v>
      </c>
      <c r="K993" s="76">
        <v>285</v>
      </c>
      <c r="L993" s="76">
        <v>1730</v>
      </c>
      <c r="M993" s="76">
        <v>285</v>
      </c>
      <c r="N993" s="76"/>
      <c r="O993" s="73"/>
      <c r="P993" s="2" t="s">
        <v>36</v>
      </c>
      <c r="Q993" s="259" t="s">
        <v>1093</v>
      </c>
    </row>
    <row r="994" spans="1:17" ht="15" customHeight="1">
      <c r="A994" s="196">
        <v>75</v>
      </c>
      <c r="B994" s="71">
        <v>43642</v>
      </c>
      <c r="C994" s="2" t="s">
        <v>37</v>
      </c>
      <c r="D994" s="2" t="s">
        <v>1094</v>
      </c>
      <c r="E994" s="2"/>
      <c r="F994" s="2" t="s">
        <v>70</v>
      </c>
      <c r="G994" s="72"/>
      <c r="H994" s="72">
        <v>35</v>
      </c>
      <c r="I994" s="72"/>
      <c r="J994" s="72">
        <v>9.56</v>
      </c>
      <c r="K994" s="21">
        <v>204</v>
      </c>
      <c r="L994" s="21">
        <v>1100</v>
      </c>
      <c r="M994" s="21">
        <v>210</v>
      </c>
      <c r="N994" s="21"/>
      <c r="O994" s="73"/>
      <c r="P994" s="2" t="s">
        <v>36</v>
      </c>
      <c r="Q994" s="197" t="s">
        <v>1064</v>
      </c>
    </row>
    <row r="995" spans="1:17" ht="15" customHeight="1">
      <c r="A995" s="196">
        <v>74</v>
      </c>
      <c r="B995" s="71">
        <v>43642</v>
      </c>
      <c r="C995" s="73" t="s">
        <v>37</v>
      </c>
      <c r="D995" s="73" t="s">
        <v>1076</v>
      </c>
      <c r="E995" s="73"/>
      <c r="F995" s="73" t="s">
        <v>41</v>
      </c>
      <c r="G995" s="75"/>
      <c r="H995" s="75">
        <v>35</v>
      </c>
      <c r="I995" s="75"/>
      <c r="J995" s="75">
        <v>9.5</v>
      </c>
      <c r="K995" s="76">
        <v>189</v>
      </c>
      <c r="L995" s="76">
        <v>1090</v>
      </c>
      <c r="M995" s="76">
        <v>201</v>
      </c>
      <c r="N995" s="76">
        <v>1395</v>
      </c>
      <c r="O995" s="73"/>
      <c r="P995" s="2" t="s">
        <v>36</v>
      </c>
      <c r="Q995" s="259"/>
    </row>
    <row r="996" spans="1:17" ht="15" customHeight="1">
      <c r="A996" s="196">
        <v>73</v>
      </c>
      <c r="B996" s="71">
        <v>43642</v>
      </c>
      <c r="C996" s="73" t="s">
        <v>37</v>
      </c>
      <c r="D996" s="73" t="s">
        <v>1074</v>
      </c>
      <c r="E996" s="73"/>
      <c r="F996" s="73" t="s">
        <v>41</v>
      </c>
      <c r="G996" s="75"/>
      <c r="H996" s="75">
        <v>42.5</v>
      </c>
      <c r="I996" s="75"/>
      <c r="J996" s="75">
        <v>11.05</v>
      </c>
      <c r="K996" s="76">
        <v>190</v>
      </c>
      <c r="L996" s="76">
        <v>1160</v>
      </c>
      <c r="M996" s="76">
        <v>201</v>
      </c>
      <c r="N996" s="76">
        <v>1505</v>
      </c>
      <c r="O996" s="73"/>
      <c r="P996" s="2" t="s">
        <v>36</v>
      </c>
      <c r="Q996" s="259" t="s">
        <v>1777</v>
      </c>
    </row>
    <row r="997" spans="1:17" ht="15" customHeight="1">
      <c r="A997" s="196">
        <v>72</v>
      </c>
      <c r="B997" s="74">
        <v>43642</v>
      </c>
      <c r="C997" s="73" t="s">
        <v>38</v>
      </c>
      <c r="D997" s="73" t="s">
        <v>1059</v>
      </c>
      <c r="E997" s="73"/>
      <c r="F997" s="73" t="s">
        <v>69</v>
      </c>
      <c r="G997" s="75"/>
      <c r="H997" s="75">
        <v>35</v>
      </c>
      <c r="I997" s="75"/>
      <c r="J997" s="75">
        <v>11.28</v>
      </c>
      <c r="K997" s="76">
        <v>196</v>
      </c>
      <c r="L997" s="76">
        <v>998</v>
      </c>
      <c r="M997" s="76">
        <v>200</v>
      </c>
      <c r="N997" s="76"/>
      <c r="O997" s="73"/>
      <c r="P997" s="2" t="s">
        <v>36</v>
      </c>
      <c r="Q997" s="259" t="s">
        <v>1095</v>
      </c>
    </row>
    <row r="998" spans="1:17" ht="15" customHeight="1">
      <c r="A998" s="196">
        <v>71</v>
      </c>
      <c r="B998" s="74">
        <v>43642</v>
      </c>
      <c r="C998" s="73" t="s">
        <v>38</v>
      </c>
      <c r="D998" s="73" t="s">
        <v>1089</v>
      </c>
      <c r="E998" s="73"/>
      <c r="F998" s="73" t="s">
        <v>68</v>
      </c>
      <c r="G998" s="75"/>
      <c r="H998" s="75">
        <v>35</v>
      </c>
      <c r="I998" s="75"/>
      <c r="J998" s="75">
        <v>10.050000000000001</v>
      </c>
      <c r="K998" s="76">
        <v>201</v>
      </c>
      <c r="L998" s="76">
        <v>1025</v>
      </c>
      <c r="M998" s="76">
        <v>205</v>
      </c>
      <c r="N998" s="76">
        <v>1325</v>
      </c>
      <c r="O998" s="73"/>
      <c r="P998" s="2" t="s">
        <v>36</v>
      </c>
      <c r="Q998" s="259" t="s">
        <v>1096</v>
      </c>
    </row>
    <row r="999" spans="1:17" ht="15" customHeight="1">
      <c r="A999" s="196">
        <v>70</v>
      </c>
      <c r="B999" s="74">
        <v>43642</v>
      </c>
      <c r="C999" s="73" t="s">
        <v>38</v>
      </c>
      <c r="D999" s="73" t="s">
        <v>1088</v>
      </c>
      <c r="E999" s="73"/>
      <c r="F999" s="73" t="s">
        <v>68</v>
      </c>
      <c r="G999" s="75"/>
      <c r="H999" s="75">
        <v>30</v>
      </c>
      <c r="I999" s="75"/>
      <c r="J999" s="75">
        <v>11.5</v>
      </c>
      <c r="K999" s="76">
        <v>186</v>
      </c>
      <c r="L999" s="76">
        <v>795</v>
      </c>
      <c r="M999" s="76">
        <v>190</v>
      </c>
      <c r="N999" s="76">
        <v>960</v>
      </c>
      <c r="O999" s="73"/>
      <c r="P999" s="2" t="s">
        <v>36</v>
      </c>
      <c r="Q999" s="259" t="s">
        <v>1097</v>
      </c>
    </row>
    <row r="1000" spans="1:17" ht="15" customHeight="1">
      <c r="A1000" s="196">
        <v>69</v>
      </c>
      <c r="B1000" s="74">
        <v>43641</v>
      </c>
      <c r="C1000" s="73" t="s">
        <v>105</v>
      </c>
      <c r="D1000" s="73" t="s">
        <v>1088</v>
      </c>
      <c r="E1000" s="73"/>
      <c r="F1000" s="73" t="s">
        <v>68</v>
      </c>
      <c r="G1000" s="75"/>
      <c r="H1000" s="75">
        <v>30</v>
      </c>
      <c r="I1000" s="75"/>
      <c r="J1000" s="75">
        <v>11.2</v>
      </c>
      <c r="K1000" s="76">
        <v>184</v>
      </c>
      <c r="L1000" s="76">
        <v>795</v>
      </c>
      <c r="M1000" s="76">
        <v>190</v>
      </c>
      <c r="N1000" s="76">
        <v>965</v>
      </c>
      <c r="O1000" s="73"/>
      <c r="P1000" s="2" t="s">
        <v>36</v>
      </c>
      <c r="Q1000" s="259"/>
    </row>
    <row r="1001" spans="1:17" ht="15" customHeight="1">
      <c r="A1001" s="196">
        <v>68</v>
      </c>
      <c r="B1001" s="74">
        <v>43641</v>
      </c>
      <c r="C1001" s="73" t="s">
        <v>105</v>
      </c>
      <c r="D1001" s="73" t="s">
        <v>1089</v>
      </c>
      <c r="E1001" s="73"/>
      <c r="F1001" s="73" t="s">
        <v>68</v>
      </c>
      <c r="G1001" s="75"/>
      <c r="H1001" s="75">
        <v>35</v>
      </c>
      <c r="I1001" s="75"/>
      <c r="J1001" s="75">
        <v>10.1</v>
      </c>
      <c r="K1001" s="76">
        <v>201</v>
      </c>
      <c r="L1001" s="76">
        <v>1035</v>
      </c>
      <c r="M1001" s="76">
        <v>205</v>
      </c>
      <c r="N1001" s="76">
        <v>1325</v>
      </c>
      <c r="O1001" s="73"/>
      <c r="P1001" s="2" t="s">
        <v>36</v>
      </c>
      <c r="Q1001" s="259" t="s">
        <v>1090</v>
      </c>
    </row>
    <row r="1002" spans="1:17" ht="15" customHeight="1">
      <c r="A1002" s="196">
        <v>67</v>
      </c>
      <c r="B1002" s="74">
        <v>43641</v>
      </c>
      <c r="C1002" s="73" t="s">
        <v>37</v>
      </c>
      <c r="D1002" s="73" t="s">
        <v>1059</v>
      </c>
      <c r="E1002" s="73"/>
      <c r="F1002" s="73" t="s">
        <v>69</v>
      </c>
      <c r="G1002" s="75"/>
      <c r="H1002" s="75">
        <v>35</v>
      </c>
      <c r="I1002" s="75"/>
      <c r="J1002" s="75">
        <v>10.7</v>
      </c>
      <c r="K1002" s="76">
        <v>194</v>
      </c>
      <c r="L1002" s="76">
        <v>950</v>
      </c>
      <c r="M1002" s="76">
        <v>199</v>
      </c>
      <c r="N1002" s="76"/>
      <c r="O1002" s="73"/>
      <c r="P1002" s="2" t="s">
        <v>36</v>
      </c>
      <c r="Q1002" s="259" t="s">
        <v>1091</v>
      </c>
    </row>
    <row r="1003" spans="1:17" ht="15" customHeight="1">
      <c r="A1003" s="196">
        <v>66</v>
      </c>
      <c r="B1003" s="74">
        <v>43640</v>
      </c>
      <c r="C1003" s="73" t="s">
        <v>37</v>
      </c>
      <c r="D1003" s="73" t="s">
        <v>1086</v>
      </c>
      <c r="E1003" s="73"/>
      <c r="F1003" s="73" t="s">
        <v>68</v>
      </c>
      <c r="G1003" s="75"/>
      <c r="H1003" s="75">
        <v>35</v>
      </c>
      <c r="I1003" s="75"/>
      <c r="J1003" s="75">
        <v>11.6</v>
      </c>
      <c r="K1003" s="76">
        <v>200</v>
      </c>
      <c r="L1003" s="76">
        <v>906</v>
      </c>
      <c r="M1003" s="76">
        <v>204</v>
      </c>
      <c r="N1003" s="76">
        <v>1180</v>
      </c>
      <c r="O1003" s="73"/>
      <c r="P1003" s="2" t="s">
        <v>39</v>
      </c>
      <c r="Q1003" s="259"/>
    </row>
    <row r="1004" spans="1:17" ht="15" customHeight="1">
      <c r="A1004" s="196">
        <v>65</v>
      </c>
      <c r="B1004" s="74">
        <v>43640</v>
      </c>
      <c r="C1004" s="73" t="s">
        <v>37</v>
      </c>
      <c r="D1004" s="73" t="s">
        <v>1087</v>
      </c>
      <c r="E1004" s="73"/>
      <c r="F1004" s="73" t="s">
        <v>68</v>
      </c>
      <c r="G1004" s="75"/>
      <c r="H1004" s="75">
        <v>35</v>
      </c>
      <c r="I1004" s="75"/>
      <c r="J1004" s="75">
        <v>15</v>
      </c>
      <c r="K1004" s="76">
        <v>185</v>
      </c>
      <c r="L1004" s="76">
        <v>700</v>
      </c>
      <c r="M1004" s="76">
        <v>190</v>
      </c>
      <c r="N1004" s="76">
        <v>860</v>
      </c>
      <c r="O1004" s="73"/>
      <c r="P1004" s="2" t="s">
        <v>39</v>
      </c>
      <c r="Q1004" s="259"/>
    </row>
    <row r="1005" spans="1:17" ht="15" customHeight="1">
      <c r="A1005" s="196">
        <v>64</v>
      </c>
      <c r="B1005" s="74">
        <v>43636</v>
      </c>
      <c r="C1005" s="73" t="s">
        <v>105</v>
      </c>
      <c r="D1005" s="73" t="s">
        <v>1083</v>
      </c>
      <c r="E1005" s="73"/>
      <c r="F1005" s="73" t="s">
        <v>41</v>
      </c>
      <c r="G1005" s="75"/>
      <c r="H1005" s="75">
        <v>35</v>
      </c>
      <c r="I1005" s="75"/>
      <c r="J1005" s="75">
        <v>9.5299999999999994</v>
      </c>
      <c r="K1005" s="76">
        <v>190</v>
      </c>
      <c r="L1005" s="76">
        <v>1110</v>
      </c>
      <c r="M1005" s="76">
        <v>200</v>
      </c>
      <c r="N1005" s="76">
        <v>1385</v>
      </c>
      <c r="O1005" s="73"/>
      <c r="P1005" s="2" t="s">
        <v>36</v>
      </c>
      <c r="Q1005" s="259"/>
    </row>
    <row r="1006" spans="1:17" ht="15" customHeight="1">
      <c r="A1006" s="196">
        <v>63</v>
      </c>
      <c r="B1006" s="74">
        <v>43636</v>
      </c>
      <c r="C1006" s="73" t="s">
        <v>105</v>
      </c>
      <c r="D1006" s="73" t="s">
        <v>1081</v>
      </c>
      <c r="E1006" s="73"/>
      <c r="F1006" s="73" t="s">
        <v>41</v>
      </c>
      <c r="G1006" s="75"/>
      <c r="H1006" s="75">
        <v>42.5</v>
      </c>
      <c r="I1006" s="75"/>
      <c r="J1006" s="75">
        <v>11.2</v>
      </c>
      <c r="K1006" s="76">
        <v>190</v>
      </c>
      <c r="L1006" s="76">
        <v>1165</v>
      </c>
      <c r="M1006" s="76">
        <v>200</v>
      </c>
      <c r="N1006" s="76">
        <v>1498</v>
      </c>
      <c r="O1006" s="73"/>
      <c r="P1006" s="73" t="s">
        <v>36</v>
      </c>
      <c r="Q1006" s="259"/>
    </row>
    <row r="1007" spans="1:17" ht="15" customHeight="1">
      <c r="A1007" s="196">
        <v>62</v>
      </c>
      <c r="B1007" s="74">
        <v>43636</v>
      </c>
      <c r="C1007" s="73" t="s">
        <v>105</v>
      </c>
      <c r="D1007" s="73" t="s">
        <v>1084</v>
      </c>
      <c r="E1007" s="73"/>
      <c r="F1007" s="73" t="s">
        <v>41</v>
      </c>
      <c r="G1007" s="75"/>
      <c r="H1007" s="75">
        <v>35</v>
      </c>
      <c r="I1007" s="75"/>
      <c r="J1007" s="75">
        <v>12.35</v>
      </c>
      <c r="K1007" s="76">
        <v>195</v>
      </c>
      <c r="L1007" s="76">
        <v>810</v>
      </c>
      <c r="M1007" s="76">
        <v>204</v>
      </c>
      <c r="N1007" s="76">
        <v>1135</v>
      </c>
      <c r="O1007" s="73"/>
      <c r="P1007" s="73" t="s">
        <v>36</v>
      </c>
      <c r="Q1007" s="259"/>
    </row>
    <row r="1008" spans="1:17" ht="15" customHeight="1">
      <c r="A1008" s="196">
        <v>61</v>
      </c>
      <c r="B1008" s="71">
        <v>43630</v>
      </c>
      <c r="C1008" s="2" t="s">
        <v>37</v>
      </c>
      <c r="D1008" s="2" t="s">
        <v>1083</v>
      </c>
      <c r="E1008" s="2"/>
      <c r="F1008" s="2" t="s">
        <v>41</v>
      </c>
      <c r="G1008" s="72"/>
      <c r="H1008" s="72">
        <v>35</v>
      </c>
      <c r="I1008" s="72"/>
      <c r="J1008" s="72">
        <v>9.35</v>
      </c>
      <c r="K1008" s="21">
        <v>190</v>
      </c>
      <c r="L1008" s="21">
        <v>1132</v>
      </c>
      <c r="M1008" s="21">
        <v>200</v>
      </c>
      <c r="N1008" s="21">
        <v>1408</v>
      </c>
      <c r="O1008" s="2"/>
      <c r="P1008" s="2" t="s">
        <v>39</v>
      </c>
      <c r="Q1008" s="197"/>
    </row>
    <row r="1009" spans="1:17" ht="15" customHeight="1">
      <c r="A1009" s="196">
        <v>60</v>
      </c>
      <c r="B1009" s="74">
        <v>43630</v>
      </c>
      <c r="C1009" s="73" t="s">
        <v>37</v>
      </c>
      <c r="D1009" s="73" t="s">
        <v>1081</v>
      </c>
      <c r="E1009" s="73"/>
      <c r="F1009" s="73" t="s">
        <v>41</v>
      </c>
      <c r="G1009" s="75"/>
      <c r="H1009" s="75">
        <v>42.5</v>
      </c>
      <c r="I1009" s="75"/>
      <c r="J1009" s="75">
        <v>11.38</v>
      </c>
      <c r="K1009" s="76">
        <v>190</v>
      </c>
      <c r="L1009" s="76">
        <v>1095</v>
      </c>
      <c r="M1009" s="76">
        <v>200</v>
      </c>
      <c r="N1009" s="76">
        <v>1440</v>
      </c>
      <c r="O1009" s="73"/>
      <c r="P1009" s="73" t="s">
        <v>39</v>
      </c>
      <c r="Q1009" s="259"/>
    </row>
    <row r="1010" spans="1:17" ht="15" customHeight="1">
      <c r="A1010" s="196">
        <v>59</v>
      </c>
      <c r="B1010" s="74">
        <v>43629</v>
      </c>
      <c r="C1010" s="2" t="s">
        <v>38</v>
      </c>
      <c r="D1010" s="2" t="s">
        <v>1083</v>
      </c>
      <c r="E1010" s="2"/>
      <c r="F1010" s="2" t="s">
        <v>41</v>
      </c>
      <c r="G1010" s="72"/>
      <c r="H1010" s="72">
        <v>35</v>
      </c>
      <c r="I1010" s="72"/>
      <c r="J1010" s="72">
        <v>9.73</v>
      </c>
      <c r="K1010" s="21">
        <v>188</v>
      </c>
      <c r="L1010" s="21">
        <v>1078</v>
      </c>
      <c r="M1010" s="21">
        <v>199</v>
      </c>
      <c r="N1010" s="21">
        <v>1370</v>
      </c>
      <c r="O1010" s="2"/>
      <c r="P1010" s="2" t="s">
        <v>39</v>
      </c>
      <c r="Q1010" s="197"/>
    </row>
    <row r="1011" spans="1:17" ht="15" customHeight="1">
      <c r="A1011" s="196">
        <v>58</v>
      </c>
      <c r="B1011" s="74">
        <v>43629</v>
      </c>
      <c r="C1011" s="2" t="s">
        <v>38</v>
      </c>
      <c r="D1011" s="2" t="s">
        <v>1081</v>
      </c>
      <c r="E1011" s="2"/>
      <c r="F1011" s="2" t="s">
        <v>41</v>
      </c>
      <c r="G1011" s="72"/>
      <c r="H1011" s="72">
        <v>42.5</v>
      </c>
      <c r="I1011" s="72"/>
      <c r="J1011" s="72">
        <v>11.89</v>
      </c>
      <c r="K1011" s="21">
        <v>187</v>
      </c>
      <c r="L1011" s="21">
        <v>1083</v>
      </c>
      <c r="M1011" s="21">
        <v>200</v>
      </c>
      <c r="N1011" s="21">
        <v>1430</v>
      </c>
      <c r="O1011" s="2"/>
      <c r="P1011" s="2" t="s">
        <v>39</v>
      </c>
      <c r="Q1011" s="197"/>
    </row>
    <row r="1012" spans="1:17" ht="15" customHeight="1">
      <c r="A1012" s="196">
        <v>57</v>
      </c>
      <c r="B1012" s="74">
        <v>43629</v>
      </c>
      <c r="C1012" s="2" t="s">
        <v>105</v>
      </c>
      <c r="D1012" s="2" t="s">
        <v>1084</v>
      </c>
      <c r="E1012" s="2"/>
      <c r="F1012" s="2" t="s">
        <v>41</v>
      </c>
      <c r="G1012" s="72"/>
      <c r="H1012" s="72">
        <v>35</v>
      </c>
      <c r="I1012" s="72"/>
      <c r="J1012" s="72">
        <v>13.6</v>
      </c>
      <c r="K1012" s="21">
        <v>194</v>
      </c>
      <c r="L1012" s="21">
        <v>753</v>
      </c>
      <c r="M1012" s="21">
        <v>204</v>
      </c>
      <c r="N1012" s="21">
        <v>1038</v>
      </c>
      <c r="O1012" s="2"/>
      <c r="P1012" s="2" t="s">
        <v>39</v>
      </c>
      <c r="Q1012" s="197" t="s">
        <v>1085</v>
      </c>
    </row>
    <row r="1013" spans="1:17" ht="15" customHeight="1">
      <c r="A1013" s="196">
        <v>56</v>
      </c>
      <c r="B1013" s="74">
        <v>43626</v>
      </c>
      <c r="C1013" s="2" t="s">
        <v>105</v>
      </c>
      <c r="D1013" s="2" t="s">
        <v>1079</v>
      </c>
      <c r="E1013" s="2"/>
      <c r="F1013" s="2" t="s">
        <v>41</v>
      </c>
      <c r="G1013" s="72"/>
      <c r="H1013" s="72">
        <v>35</v>
      </c>
      <c r="I1013" s="72"/>
      <c r="J1013" s="72">
        <v>13.8</v>
      </c>
      <c r="K1013" s="21">
        <v>175</v>
      </c>
      <c r="L1013" s="21">
        <v>735</v>
      </c>
      <c r="M1013" s="21">
        <v>185</v>
      </c>
      <c r="N1013" s="21">
        <v>960</v>
      </c>
      <c r="O1013" s="2"/>
      <c r="P1013" s="2" t="s">
        <v>36</v>
      </c>
      <c r="Q1013" s="197" t="s">
        <v>1082</v>
      </c>
    </row>
    <row r="1014" spans="1:17" ht="15" customHeight="1">
      <c r="A1014" s="196">
        <v>55</v>
      </c>
      <c r="B1014" s="74">
        <v>43626</v>
      </c>
      <c r="C1014" s="2" t="s">
        <v>38</v>
      </c>
      <c r="D1014" s="2" t="s">
        <v>1083</v>
      </c>
      <c r="E1014" s="2"/>
      <c r="F1014" s="2" t="s">
        <v>41</v>
      </c>
      <c r="G1014" s="72"/>
      <c r="H1014" s="72">
        <v>35</v>
      </c>
      <c r="I1014" s="72"/>
      <c r="J1014" s="72">
        <v>9.6999999999999993</v>
      </c>
      <c r="K1014" s="21">
        <v>188</v>
      </c>
      <c r="L1014" s="21">
        <v>1078</v>
      </c>
      <c r="M1014" s="21">
        <v>199</v>
      </c>
      <c r="N1014" s="21">
        <v>1374</v>
      </c>
      <c r="O1014" s="2"/>
      <c r="P1014" s="2" t="s">
        <v>39</v>
      </c>
      <c r="Q1014" s="197"/>
    </row>
    <row r="1015" spans="1:17" ht="15" customHeight="1">
      <c r="A1015" s="196">
        <v>54</v>
      </c>
      <c r="B1015" s="74">
        <v>43623</v>
      </c>
      <c r="C1015" s="2" t="s">
        <v>105</v>
      </c>
      <c r="D1015" s="2" t="s">
        <v>1079</v>
      </c>
      <c r="E1015" s="2"/>
      <c r="F1015" s="2" t="s">
        <v>41</v>
      </c>
      <c r="G1015" s="72"/>
      <c r="H1015" s="72">
        <v>35</v>
      </c>
      <c r="I1015" s="72"/>
      <c r="J1015" s="72">
        <v>13.86</v>
      </c>
      <c r="K1015" s="21">
        <v>177</v>
      </c>
      <c r="L1015" s="21">
        <v>746</v>
      </c>
      <c r="M1015" s="21">
        <v>186</v>
      </c>
      <c r="N1015" s="21">
        <v>940</v>
      </c>
      <c r="O1015" s="2"/>
      <c r="P1015" s="2" t="s">
        <v>36</v>
      </c>
      <c r="Q1015" s="197" t="s">
        <v>1078</v>
      </c>
    </row>
    <row r="1016" spans="1:17" ht="15" customHeight="1">
      <c r="A1016" s="196">
        <v>53</v>
      </c>
      <c r="B1016" s="74">
        <v>43623</v>
      </c>
      <c r="C1016" s="73" t="s">
        <v>105</v>
      </c>
      <c r="D1016" s="73" t="s">
        <v>1076</v>
      </c>
      <c r="E1016" s="73"/>
      <c r="F1016" s="73" t="s">
        <v>41</v>
      </c>
      <c r="G1016" s="75"/>
      <c r="H1016" s="75">
        <v>35</v>
      </c>
      <c r="I1016" s="75"/>
      <c r="J1016" s="75">
        <v>9.6999999999999993</v>
      </c>
      <c r="K1016" s="76">
        <v>188</v>
      </c>
      <c r="L1016" s="76">
        <v>1053</v>
      </c>
      <c r="M1016" s="76">
        <v>196</v>
      </c>
      <c r="N1016" s="76">
        <v>1310</v>
      </c>
      <c r="O1016" s="73"/>
      <c r="P1016" s="73" t="s">
        <v>36</v>
      </c>
      <c r="Q1016" s="259" t="s">
        <v>1080</v>
      </c>
    </row>
    <row r="1017" spans="1:17" ht="15" customHeight="1">
      <c r="A1017" s="196">
        <v>52</v>
      </c>
      <c r="B1017" s="71">
        <v>43623</v>
      </c>
      <c r="C1017" s="2" t="s">
        <v>105</v>
      </c>
      <c r="D1017" s="2" t="s">
        <v>1074</v>
      </c>
      <c r="E1017" s="2"/>
      <c r="F1017" s="2" t="s">
        <v>41</v>
      </c>
      <c r="G1017" s="72"/>
      <c r="H1017" s="72">
        <v>42.5</v>
      </c>
      <c r="I1017" s="72"/>
      <c r="J1017" s="72">
        <v>11.04</v>
      </c>
      <c r="K1017" s="21">
        <v>188</v>
      </c>
      <c r="L1017" s="21">
        <v>1160</v>
      </c>
      <c r="M1017" s="21">
        <v>200</v>
      </c>
      <c r="N1017" s="21">
        <v>1490</v>
      </c>
      <c r="O1017" s="2"/>
      <c r="P1017" s="2" t="s">
        <v>36</v>
      </c>
      <c r="Q1017" s="197" t="s">
        <v>1080</v>
      </c>
    </row>
    <row r="1018" spans="1:17" ht="15" customHeight="1">
      <c r="A1018" s="196">
        <v>51</v>
      </c>
      <c r="B1018" s="74">
        <v>43623</v>
      </c>
      <c r="C1018" s="73" t="s">
        <v>38</v>
      </c>
      <c r="D1018" s="73" t="s">
        <v>1081</v>
      </c>
      <c r="E1018" s="73"/>
      <c r="F1018" s="73" t="s">
        <v>41</v>
      </c>
      <c r="G1018" s="75"/>
      <c r="H1018" s="75">
        <v>42.5</v>
      </c>
      <c r="I1018" s="75"/>
      <c r="J1018" s="75">
        <v>10.8</v>
      </c>
      <c r="K1018" s="76">
        <v>188</v>
      </c>
      <c r="L1018" s="76">
        <v>1165</v>
      </c>
      <c r="M1018" s="76">
        <v>199</v>
      </c>
      <c r="N1018" s="76">
        <v>1505</v>
      </c>
      <c r="O1018" s="73"/>
      <c r="P1018" s="73" t="s">
        <v>39</v>
      </c>
      <c r="Q1018" s="259"/>
    </row>
    <row r="1019" spans="1:17" ht="15" customHeight="1">
      <c r="A1019" s="196">
        <v>50</v>
      </c>
      <c r="B1019" s="71">
        <v>43623</v>
      </c>
      <c r="C1019" s="2" t="s">
        <v>38</v>
      </c>
      <c r="D1019" s="2" t="s">
        <v>1079</v>
      </c>
      <c r="E1019" s="2"/>
      <c r="F1019" s="2" t="s">
        <v>41</v>
      </c>
      <c r="G1019" s="72"/>
      <c r="H1019" s="72">
        <v>35</v>
      </c>
      <c r="I1019" s="72"/>
      <c r="J1019" s="72">
        <v>13.4</v>
      </c>
      <c r="K1019" s="21">
        <v>177</v>
      </c>
      <c r="L1019" s="21">
        <v>768</v>
      </c>
      <c r="M1019" s="21">
        <v>186</v>
      </c>
      <c r="N1019" s="21">
        <v>970</v>
      </c>
      <c r="O1019" s="2"/>
      <c r="P1019" s="2" t="s">
        <v>36</v>
      </c>
      <c r="Q1019" s="197" t="s">
        <v>1064</v>
      </c>
    </row>
    <row r="1020" spans="1:17" ht="15" customHeight="1">
      <c r="A1020" s="196">
        <v>49</v>
      </c>
      <c r="B1020" s="71">
        <v>43620</v>
      </c>
      <c r="C1020" s="2" t="s">
        <v>37</v>
      </c>
      <c r="D1020" s="2" t="s">
        <v>1074</v>
      </c>
      <c r="E1020" s="2"/>
      <c r="F1020" s="2" t="s">
        <v>41</v>
      </c>
      <c r="G1020" s="72"/>
      <c r="H1020" s="72">
        <v>42.5</v>
      </c>
      <c r="I1020" s="72"/>
      <c r="J1020" s="72">
        <v>10.62</v>
      </c>
      <c r="K1020" s="21">
        <v>188</v>
      </c>
      <c r="L1020" s="21">
        <v>1036</v>
      </c>
      <c r="M1020" s="21">
        <v>200</v>
      </c>
      <c r="N1020" s="21">
        <v>1388</v>
      </c>
      <c r="O1020" s="2"/>
      <c r="P1020" s="2" t="s">
        <v>36</v>
      </c>
      <c r="Q1020" s="197" t="s">
        <v>1075</v>
      </c>
    </row>
    <row r="1021" spans="1:17" ht="15" customHeight="1">
      <c r="A1021" s="196">
        <v>48</v>
      </c>
      <c r="B1021" s="71">
        <v>43620</v>
      </c>
      <c r="C1021" s="2" t="s">
        <v>37</v>
      </c>
      <c r="D1021" s="2" t="s">
        <v>1076</v>
      </c>
      <c r="E1021" s="2"/>
      <c r="F1021" s="2" t="s">
        <v>41</v>
      </c>
      <c r="G1021" s="72"/>
      <c r="H1021" s="72">
        <v>35</v>
      </c>
      <c r="I1021" s="72"/>
      <c r="J1021" s="72">
        <v>9.3000000000000007</v>
      </c>
      <c r="K1021" s="21">
        <v>188</v>
      </c>
      <c r="L1021" s="21">
        <v>1112</v>
      </c>
      <c r="M1021" s="21">
        <v>200</v>
      </c>
      <c r="N1021" s="21">
        <v>1430</v>
      </c>
      <c r="O1021" s="2"/>
      <c r="P1021" s="2" t="s">
        <v>36</v>
      </c>
      <c r="Q1021" s="197"/>
    </row>
    <row r="1022" spans="1:17" ht="15" customHeight="1">
      <c r="A1022" s="196">
        <v>47</v>
      </c>
      <c r="B1022" s="71">
        <v>43620</v>
      </c>
      <c r="C1022" s="2" t="s">
        <v>37</v>
      </c>
      <c r="D1022" s="2" t="s">
        <v>1077</v>
      </c>
      <c r="E1022" s="2"/>
      <c r="F1022" s="2" t="s">
        <v>41</v>
      </c>
      <c r="G1022" s="72"/>
      <c r="H1022" s="72">
        <v>35</v>
      </c>
      <c r="I1022" s="72"/>
      <c r="J1022" s="72">
        <v>13.6</v>
      </c>
      <c r="K1022" s="21">
        <v>180</v>
      </c>
      <c r="L1022" s="21">
        <v>700</v>
      </c>
      <c r="M1022" s="21">
        <v>200</v>
      </c>
      <c r="N1022" s="21">
        <v>1000</v>
      </c>
      <c r="O1022" s="2"/>
      <c r="P1022" s="2" t="s">
        <v>36</v>
      </c>
      <c r="Q1022" s="197" t="s">
        <v>1078</v>
      </c>
    </row>
    <row r="1023" spans="1:17" ht="15" customHeight="1">
      <c r="A1023" s="196">
        <v>46</v>
      </c>
      <c r="B1023" s="71">
        <v>43619</v>
      </c>
      <c r="C1023" s="2" t="s">
        <v>105</v>
      </c>
      <c r="D1023" s="2" t="s">
        <v>1055</v>
      </c>
      <c r="E1023" s="2"/>
      <c r="F1023" s="2" t="s">
        <v>41</v>
      </c>
      <c r="G1023" s="72"/>
      <c r="H1023" s="72">
        <v>42.5</v>
      </c>
      <c r="I1023" s="72"/>
      <c r="J1023" s="72">
        <v>10.5</v>
      </c>
      <c r="K1023" s="21">
        <v>252</v>
      </c>
      <c r="L1023" s="21">
        <v>1190</v>
      </c>
      <c r="M1023" s="21">
        <v>260</v>
      </c>
      <c r="N1023" s="21">
        <v>1540</v>
      </c>
      <c r="O1023" s="2"/>
      <c r="P1023" s="2" t="s">
        <v>36</v>
      </c>
      <c r="Q1023" s="197"/>
    </row>
    <row r="1024" spans="1:17" ht="15" customHeight="1">
      <c r="A1024" s="196">
        <v>45</v>
      </c>
      <c r="B1024" s="71">
        <v>43616</v>
      </c>
      <c r="C1024" s="2" t="s">
        <v>37</v>
      </c>
      <c r="D1024" s="2" t="s">
        <v>1055</v>
      </c>
      <c r="E1024" s="2"/>
      <c r="F1024" s="2" t="s">
        <v>41</v>
      </c>
      <c r="G1024" s="72"/>
      <c r="H1024" s="72">
        <v>42.5</v>
      </c>
      <c r="I1024" s="72"/>
      <c r="J1024" s="72">
        <v>10.9</v>
      </c>
      <c r="K1024" s="21">
        <v>252</v>
      </c>
      <c r="L1024" s="21">
        <v>1130</v>
      </c>
      <c r="M1024" s="21">
        <v>260</v>
      </c>
      <c r="N1024" s="21">
        <v>1520</v>
      </c>
      <c r="O1024" s="2"/>
      <c r="P1024" s="2" t="s">
        <v>37</v>
      </c>
      <c r="Q1024" s="197"/>
    </row>
    <row r="1025" spans="1:17" ht="15" customHeight="1">
      <c r="A1025" s="196">
        <v>44</v>
      </c>
      <c r="B1025" s="74">
        <v>43616</v>
      </c>
      <c r="C1025" s="73" t="s">
        <v>37</v>
      </c>
      <c r="D1025" s="73" t="s">
        <v>1073</v>
      </c>
      <c r="E1025" s="73"/>
      <c r="F1025" s="73" t="s">
        <v>41</v>
      </c>
      <c r="G1025" s="75"/>
      <c r="H1025" s="75">
        <v>35</v>
      </c>
      <c r="I1025" s="75"/>
      <c r="J1025" s="75">
        <v>11.2</v>
      </c>
      <c r="K1025" s="76">
        <v>182</v>
      </c>
      <c r="L1025" s="76">
        <v>932</v>
      </c>
      <c r="M1025" s="76">
        <v>190</v>
      </c>
      <c r="N1025" s="76"/>
      <c r="O1025" s="73"/>
      <c r="P1025" s="73" t="s">
        <v>36</v>
      </c>
      <c r="Q1025" s="259"/>
    </row>
    <row r="1026" spans="1:17" ht="15" customHeight="1">
      <c r="A1026" s="196">
        <v>43</v>
      </c>
      <c r="B1026" s="71">
        <v>43602</v>
      </c>
      <c r="C1026" s="2" t="s">
        <v>105</v>
      </c>
      <c r="D1026" s="2" t="s">
        <v>1070</v>
      </c>
      <c r="E1026" s="2"/>
      <c r="F1026" s="2" t="s">
        <v>72</v>
      </c>
      <c r="G1026" s="72"/>
      <c r="H1026" s="72">
        <v>35</v>
      </c>
      <c r="I1026" s="72"/>
      <c r="J1026" s="72">
        <v>9.15</v>
      </c>
      <c r="K1026" s="21">
        <v>194</v>
      </c>
      <c r="L1026" s="21">
        <v>1140</v>
      </c>
      <c r="M1026" s="21">
        <v>195</v>
      </c>
      <c r="N1026" s="21">
        <v>1318</v>
      </c>
      <c r="O1026" s="2"/>
      <c r="P1026" s="2" t="s">
        <v>36</v>
      </c>
      <c r="Q1026" s="197"/>
    </row>
    <row r="1027" spans="1:17" ht="15" customHeight="1">
      <c r="A1027" s="196">
        <v>42</v>
      </c>
      <c r="B1027" s="71">
        <v>43601</v>
      </c>
      <c r="C1027" s="2" t="s">
        <v>105</v>
      </c>
      <c r="D1027" s="2" t="s">
        <v>1070</v>
      </c>
      <c r="E1027" s="2"/>
      <c r="F1027" s="2" t="s">
        <v>72</v>
      </c>
      <c r="G1027" s="72"/>
      <c r="H1027" s="72">
        <v>35</v>
      </c>
      <c r="I1027" s="72"/>
      <c r="J1027" s="72">
        <v>9.6999999999999993</v>
      </c>
      <c r="K1027" s="21">
        <v>193</v>
      </c>
      <c r="L1027" s="21">
        <v>1070</v>
      </c>
      <c r="M1027" s="21">
        <v>194</v>
      </c>
      <c r="N1027" s="21">
        <v>1220</v>
      </c>
      <c r="O1027" s="2"/>
      <c r="P1027" s="2" t="s">
        <v>36</v>
      </c>
      <c r="Q1027" s="197"/>
    </row>
    <row r="1028" spans="1:17" ht="15" customHeight="1">
      <c r="A1028" s="196">
        <v>41</v>
      </c>
      <c r="B1028" s="71">
        <v>43600</v>
      </c>
      <c r="C1028" s="2" t="s">
        <v>38</v>
      </c>
      <c r="D1028" s="2" t="s">
        <v>1067</v>
      </c>
      <c r="E1028" s="2"/>
      <c r="F1028" s="2" t="s">
        <v>69</v>
      </c>
      <c r="G1028" s="72"/>
      <c r="H1028" s="72">
        <v>35</v>
      </c>
      <c r="I1028" s="72"/>
      <c r="J1028" s="72">
        <v>10</v>
      </c>
      <c r="K1028" s="21">
        <v>188</v>
      </c>
      <c r="L1028" s="21">
        <v>1030</v>
      </c>
      <c r="M1028" s="21">
        <v>190</v>
      </c>
      <c r="N1028" s="21">
        <v>1159</v>
      </c>
      <c r="O1028" s="2"/>
      <c r="P1028" s="2" t="s">
        <v>36</v>
      </c>
      <c r="Q1028" s="197" t="s">
        <v>1069</v>
      </c>
    </row>
    <row r="1029" spans="1:17" ht="15" customHeight="1">
      <c r="A1029" s="196">
        <v>40</v>
      </c>
      <c r="B1029" s="71">
        <v>43599</v>
      </c>
      <c r="C1029" s="2" t="s">
        <v>105</v>
      </c>
      <c r="D1029" s="2" t="s">
        <v>1063</v>
      </c>
      <c r="E1029" s="2"/>
      <c r="F1029" s="2" t="s">
        <v>69</v>
      </c>
      <c r="G1029" s="72"/>
      <c r="H1029" s="72">
        <v>35</v>
      </c>
      <c r="I1029" s="72"/>
      <c r="J1029" s="72">
        <v>11.2</v>
      </c>
      <c r="K1029" s="21">
        <v>188</v>
      </c>
      <c r="L1029" s="21">
        <v>890</v>
      </c>
      <c r="M1029" s="21">
        <v>189</v>
      </c>
      <c r="N1029" s="21">
        <v>1035</v>
      </c>
      <c r="O1029" s="2"/>
      <c r="P1029" s="2" t="s">
        <v>36</v>
      </c>
      <c r="Q1029" s="197" t="s">
        <v>1068</v>
      </c>
    </row>
    <row r="1030" spans="1:17" ht="15" customHeight="1">
      <c r="A1030" s="196">
        <v>39</v>
      </c>
      <c r="B1030" s="74">
        <v>43599</v>
      </c>
      <c r="C1030" s="73" t="s">
        <v>105</v>
      </c>
      <c r="D1030" s="73" t="s">
        <v>1061</v>
      </c>
      <c r="E1030" s="73"/>
      <c r="F1030" s="73" t="s">
        <v>69</v>
      </c>
      <c r="G1030" s="75"/>
      <c r="H1030" s="75">
        <v>35</v>
      </c>
      <c r="I1030" s="75"/>
      <c r="J1030" s="75">
        <v>11.95</v>
      </c>
      <c r="K1030" s="76">
        <v>189</v>
      </c>
      <c r="L1030" s="76">
        <v>860</v>
      </c>
      <c r="M1030" s="76">
        <v>190</v>
      </c>
      <c r="N1030" s="76">
        <v>1000</v>
      </c>
      <c r="O1030" s="73"/>
      <c r="P1030" s="73" t="s">
        <v>36</v>
      </c>
      <c r="Q1030" s="259" t="s">
        <v>1068</v>
      </c>
    </row>
    <row r="1031" spans="1:17" ht="15" customHeight="1">
      <c r="A1031" s="196">
        <v>38</v>
      </c>
      <c r="B1031" s="74">
        <v>43599</v>
      </c>
      <c r="C1031" s="73" t="s">
        <v>37</v>
      </c>
      <c r="D1031" s="73" t="s">
        <v>1065</v>
      </c>
      <c r="E1031" s="73"/>
      <c r="F1031" s="73" t="s">
        <v>69</v>
      </c>
      <c r="G1031" s="75"/>
      <c r="H1031" s="75">
        <v>35</v>
      </c>
      <c r="I1031" s="75"/>
      <c r="J1031" s="75">
        <v>11.3</v>
      </c>
      <c r="K1031" s="76">
        <v>189</v>
      </c>
      <c r="L1031" s="76">
        <v>894</v>
      </c>
      <c r="M1031" s="76">
        <v>190</v>
      </c>
      <c r="N1031" s="76">
        <v>1030</v>
      </c>
      <c r="O1031" s="73"/>
      <c r="P1031" s="73" t="s">
        <v>36</v>
      </c>
      <c r="Q1031" s="259"/>
    </row>
    <row r="1032" spans="1:17" ht="15" customHeight="1">
      <c r="A1032" s="196">
        <v>37</v>
      </c>
      <c r="B1032" s="74">
        <v>43598</v>
      </c>
      <c r="C1032" s="73" t="s">
        <v>105</v>
      </c>
      <c r="D1032" s="73" t="s">
        <v>1061</v>
      </c>
      <c r="E1032" s="73"/>
      <c r="F1032" s="73" t="s">
        <v>69</v>
      </c>
      <c r="G1032" s="75"/>
      <c r="H1032" s="75">
        <v>35</v>
      </c>
      <c r="I1032" s="75"/>
      <c r="J1032" s="75">
        <v>13.25</v>
      </c>
      <c r="K1032" s="76">
        <v>189</v>
      </c>
      <c r="L1032" s="76">
        <v>790</v>
      </c>
      <c r="M1032" s="76">
        <v>189</v>
      </c>
      <c r="N1032" s="76">
        <v>964</v>
      </c>
      <c r="O1032" s="73"/>
      <c r="P1032" s="73" t="s">
        <v>36</v>
      </c>
      <c r="Q1032" s="259" t="s">
        <v>1062</v>
      </c>
    </row>
    <row r="1033" spans="1:17" ht="15" customHeight="1">
      <c r="A1033" s="196">
        <v>36</v>
      </c>
      <c r="B1033" s="71">
        <v>43598</v>
      </c>
      <c r="C1033" s="2" t="s">
        <v>105</v>
      </c>
      <c r="D1033" s="2" t="s">
        <v>1063</v>
      </c>
      <c r="E1033" s="2"/>
      <c r="F1033" s="2" t="s">
        <v>69</v>
      </c>
      <c r="G1033" s="72"/>
      <c r="H1033" s="72">
        <v>35</v>
      </c>
      <c r="I1033" s="72"/>
      <c r="J1033" s="72">
        <v>12.63</v>
      </c>
      <c r="K1033" s="21">
        <v>189</v>
      </c>
      <c r="L1033" s="21">
        <v>850</v>
      </c>
      <c r="M1033" s="21">
        <v>190</v>
      </c>
      <c r="N1033" s="21">
        <v>987</v>
      </c>
      <c r="O1033" s="2"/>
      <c r="P1033" s="2" t="s">
        <v>36</v>
      </c>
      <c r="Q1033" s="197" t="s">
        <v>1064</v>
      </c>
    </row>
    <row r="1034" spans="1:17" ht="15" customHeight="1">
      <c r="A1034" s="196">
        <v>35</v>
      </c>
      <c r="B1034" s="74">
        <v>43598</v>
      </c>
      <c r="C1034" s="73" t="s">
        <v>105</v>
      </c>
      <c r="D1034" s="73" t="s">
        <v>1065</v>
      </c>
      <c r="E1034" s="73"/>
      <c r="F1034" s="73" t="s">
        <v>69</v>
      </c>
      <c r="G1034" s="75"/>
      <c r="H1034" s="75">
        <v>35</v>
      </c>
      <c r="I1034" s="75"/>
      <c r="J1034" s="75">
        <v>11.94</v>
      </c>
      <c r="K1034" s="76">
        <v>189</v>
      </c>
      <c r="L1034" s="76">
        <v>846</v>
      </c>
      <c r="M1034" s="76">
        <v>190</v>
      </c>
      <c r="N1034" s="76">
        <v>981</v>
      </c>
      <c r="O1034" s="73"/>
      <c r="P1034" s="73" t="s">
        <v>36</v>
      </c>
      <c r="Q1034" s="259"/>
    </row>
    <row r="1035" spans="1:17" ht="15" customHeight="1">
      <c r="A1035" s="196">
        <v>34</v>
      </c>
      <c r="B1035" s="71">
        <v>43598</v>
      </c>
      <c r="C1035" s="2" t="s">
        <v>37</v>
      </c>
      <c r="D1035" s="2" t="s">
        <v>1063</v>
      </c>
      <c r="E1035" s="2"/>
      <c r="F1035" s="2" t="s">
        <v>69</v>
      </c>
      <c r="G1035" s="72"/>
      <c r="H1035" s="72">
        <v>35</v>
      </c>
      <c r="I1035" s="72"/>
      <c r="J1035" s="72">
        <v>11.6</v>
      </c>
      <c r="K1035" s="21">
        <v>189</v>
      </c>
      <c r="L1035" s="21">
        <v>868</v>
      </c>
      <c r="M1035" s="21">
        <v>189</v>
      </c>
      <c r="N1035" s="21">
        <v>1004</v>
      </c>
      <c r="O1035" s="2"/>
      <c r="P1035" s="2" t="s">
        <v>36</v>
      </c>
      <c r="Q1035" s="197" t="s">
        <v>1066</v>
      </c>
    </row>
    <row r="1036" spans="1:17" ht="15" customHeight="1">
      <c r="A1036" s="196">
        <v>33</v>
      </c>
      <c r="B1036" s="71">
        <v>43598</v>
      </c>
      <c r="C1036" s="2" t="s">
        <v>37</v>
      </c>
      <c r="D1036" s="2" t="s">
        <v>1061</v>
      </c>
      <c r="E1036" s="2"/>
      <c r="F1036" s="2" t="s">
        <v>69</v>
      </c>
      <c r="G1036" s="72"/>
      <c r="H1036" s="72">
        <v>35</v>
      </c>
      <c r="I1036" s="72"/>
      <c r="J1036" s="72">
        <v>11.7</v>
      </c>
      <c r="K1036" s="21">
        <v>189</v>
      </c>
      <c r="L1036" s="21">
        <v>850</v>
      </c>
      <c r="M1036" s="21">
        <v>190</v>
      </c>
      <c r="N1036" s="21">
        <v>970</v>
      </c>
      <c r="O1036" s="2"/>
      <c r="P1036" s="2" t="s">
        <v>36</v>
      </c>
      <c r="Q1036" s="197"/>
    </row>
    <row r="1037" spans="1:17" ht="15" customHeight="1">
      <c r="A1037" s="196">
        <v>32</v>
      </c>
      <c r="B1037" s="74">
        <v>43598</v>
      </c>
      <c r="C1037" s="73" t="s">
        <v>37</v>
      </c>
      <c r="D1037" s="73" t="s">
        <v>1065</v>
      </c>
      <c r="E1037" s="73"/>
      <c r="F1037" s="73" t="s">
        <v>69</v>
      </c>
      <c r="G1037" s="75"/>
      <c r="H1037" s="75">
        <v>35</v>
      </c>
      <c r="I1037" s="75"/>
      <c r="J1037" s="75">
        <v>11.8</v>
      </c>
      <c r="K1037" s="76">
        <v>189</v>
      </c>
      <c r="L1037" s="76">
        <v>820</v>
      </c>
      <c r="M1037" s="76">
        <v>189</v>
      </c>
      <c r="N1037" s="76">
        <v>970</v>
      </c>
      <c r="O1037" s="73"/>
      <c r="P1037" s="73" t="s">
        <v>36</v>
      </c>
      <c r="Q1037" s="259"/>
    </row>
    <row r="1038" spans="1:17" ht="15" customHeight="1">
      <c r="A1038" s="196">
        <v>31</v>
      </c>
      <c r="B1038" s="71">
        <v>43598</v>
      </c>
      <c r="C1038" s="2" t="s">
        <v>37</v>
      </c>
      <c r="D1038" s="2" t="s">
        <v>1058</v>
      </c>
      <c r="E1038" s="2"/>
      <c r="F1038" s="2" t="s">
        <v>69</v>
      </c>
      <c r="G1038" s="72"/>
      <c r="H1038" s="72">
        <v>35</v>
      </c>
      <c r="I1038" s="72"/>
      <c r="J1038" s="72">
        <v>10.199999999999999</v>
      </c>
      <c r="K1038" s="21">
        <v>189</v>
      </c>
      <c r="L1038" s="21">
        <v>1040</v>
      </c>
      <c r="M1038" s="21">
        <v>190</v>
      </c>
      <c r="N1038" s="21">
        <v>1150</v>
      </c>
      <c r="O1038" s="2"/>
      <c r="P1038" s="2" t="s">
        <v>36</v>
      </c>
      <c r="Q1038" s="197"/>
    </row>
    <row r="1039" spans="1:17" ht="15" customHeight="1">
      <c r="A1039" s="196">
        <v>30</v>
      </c>
      <c r="B1039" s="74">
        <v>43598</v>
      </c>
      <c r="C1039" s="73" t="s">
        <v>38</v>
      </c>
      <c r="D1039" s="73" t="s">
        <v>1061</v>
      </c>
      <c r="E1039" s="73"/>
      <c r="F1039" s="73" t="s">
        <v>69</v>
      </c>
      <c r="G1039" s="75"/>
      <c r="H1039" s="75">
        <v>35</v>
      </c>
      <c r="I1039" s="75"/>
      <c r="J1039" s="75">
        <v>11.6</v>
      </c>
      <c r="K1039" s="76">
        <v>189</v>
      </c>
      <c r="L1039" s="76">
        <v>890</v>
      </c>
      <c r="M1039" s="76">
        <v>190</v>
      </c>
      <c r="N1039" s="76">
        <v>1025</v>
      </c>
      <c r="O1039" s="73"/>
      <c r="P1039" s="73" t="s">
        <v>36</v>
      </c>
      <c r="Q1039" s="259"/>
    </row>
    <row r="1040" spans="1:17" ht="15" customHeight="1">
      <c r="A1040" s="196">
        <v>29</v>
      </c>
      <c r="B1040" s="71">
        <v>43598</v>
      </c>
      <c r="C1040" s="2" t="s">
        <v>38</v>
      </c>
      <c r="D1040" s="2" t="s">
        <v>1065</v>
      </c>
      <c r="E1040" s="2"/>
      <c r="F1040" s="2" t="s">
        <v>69</v>
      </c>
      <c r="G1040" s="72"/>
      <c r="H1040" s="72">
        <v>35</v>
      </c>
      <c r="I1040" s="72"/>
      <c r="J1040" s="72">
        <v>11.35</v>
      </c>
      <c r="K1040" s="21">
        <v>189</v>
      </c>
      <c r="L1040" s="21">
        <v>890</v>
      </c>
      <c r="M1040" s="21">
        <v>189</v>
      </c>
      <c r="N1040" s="21">
        <v>1032</v>
      </c>
      <c r="O1040" s="2"/>
      <c r="P1040" s="2" t="s">
        <v>36</v>
      </c>
      <c r="Q1040" s="197"/>
    </row>
    <row r="1041" spans="1:17" ht="15" customHeight="1">
      <c r="A1041" s="196">
        <v>28</v>
      </c>
      <c r="B1041" s="74">
        <v>43598</v>
      </c>
      <c r="C1041" s="73" t="s">
        <v>38</v>
      </c>
      <c r="D1041" s="73" t="s">
        <v>1067</v>
      </c>
      <c r="E1041" s="73"/>
      <c r="F1041" s="73" t="s">
        <v>69</v>
      </c>
      <c r="G1041" s="75"/>
      <c r="H1041" s="75">
        <v>35</v>
      </c>
      <c r="I1041" s="75"/>
      <c r="J1041" s="75">
        <v>10.199999999999999</v>
      </c>
      <c r="K1041" s="76">
        <v>189</v>
      </c>
      <c r="L1041" s="76">
        <v>1020</v>
      </c>
      <c r="M1041" s="76">
        <v>189</v>
      </c>
      <c r="N1041" s="76">
        <v>1150</v>
      </c>
      <c r="O1041" s="73"/>
      <c r="P1041" s="73" t="s">
        <v>36</v>
      </c>
      <c r="Q1041" s="259"/>
    </row>
    <row r="1042" spans="1:17" ht="15" customHeight="1">
      <c r="A1042" s="196">
        <v>27</v>
      </c>
      <c r="B1042" s="74">
        <v>43591</v>
      </c>
      <c r="C1042" s="73" t="s">
        <v>105</v>
      </c>
      <c r="D1042" s="73" t="s">
        <v>1060</v>
      </c>
      <c r="E1042" s="73"/>
      <c r="F1042" s="73" t="s">
        <v>68</v>
      </c>
      <c r="G1042" s="75"/>
      <c r="H1042" s="75">
        <v>42.5</v>
      </c>
      <c r="I1042" s="75"/>
      <c r="J1042" s="75">
        <v>9.9</v>
      </c>
      <c r="K1042" s="76">
        <v>237</v>
      </c>
      <c r="L1042" s="76">
        <v>1415</v>
      </c>
      <c r="M1042" s="76">
        <v>240</v>
      </c>
      <c r="N1042" s="76">
        <v>1685</v>
      </c>
      <c r="O1042" s="73"/>
      <c r="P1042" s="73" t="s">
        <v>36</v>
      </c>
      <c r="Q1042" s="259"/>
    </row>
    <row r="1043" spans="1:17" ht="15" customHeight="1">
      <c r="A1043" s="196">
        <v>26</v>
      </c>
      <c r="B1043" s="71">
        <v>43589</v>
      </c>
      <c r="C1043" s="2" t="s">
        <v>105</v>
      </c>
      <c r="D1043" s="2" t="s">
        <v>1060</v>
      </c>
      <c r="E1043" s="2"/>
      <c r="F1043" s="2" t="s">
        <v>41</v>
      </c>
      <c r="G1043" s="72"/>
      <c r="H1043" s="72">
        <v>42.5</v>
      </c>
      <c r="I1043" s="72"/>
      <c r="J1043" s="72">
        <v>9.9</v>
      </c>
      <c r="K1043" s="21">
        <v>235</v>
      </c>
      <c r="L1043" s="21">
        <v>1380</v>
      </c>
      <c r="M1043" s="21">
        <v>239</v>
      </c>
      <c r="N1043" s="21">
        <v>1675</v>
      </c>
      <c r="O1043" s="2"/>
      <c r="P1043" s="2" t="s">
        <v>36</v>
      </c>
      <c r="Q1043" s="197" t="s">
        <v>1057</v>
      </c>
    </row>
    <row r="1044" spans="1:17" ht="15" customHeight="1">
      <c r="A1044" s="196">
        <v>25</v>
      </c>
      <c r="B1044" s="74">
        <v>43587</v>
      </c>
      <c r="C1044" s="73" t="s">
        <v>37</v>
      </c>
      <c r="D1044" s="73" t="s">
        <v>1055</v>
      </c>
      <c r="E1044" s="73"/>
      <c r="F1044" s="73" t="s">
        <v>41</v>
      </c>
      <c r="G1044" s="75"/>
      <c r="H1044" s="75">
        <v>42.5</v>
      </c>
      <c r="I1044" s="75"/>
      <c r="J1044" s="75">
        <v>10.85</v>
      </c>
      <c r="K1044" s="76">
        <v>252</v>
      </c>
      <c r="L1044" s="76">
        <v>1180</v>
      </c>
      <c r="M1044" s="76">
        <v>260</v>
      </c>
      <c r="N1044" s="76">
        <v>1455</v>
      </c>
      <c r="O1044" s="73"/>
      <c r="P1044" s="73" t="s">
        <v>37</v>
      </c>
      <c r="Q1044" s="259"/>
    </row>
    <row r="1045" spans="1:17" ht="15" customHeight="1">
      <c r="A1045" s="196">
        <v>24</v>
      </c>
      <c r="B1045" s="71">
        <v>43587</v>
      </c>
      <c r="C1045" s="2" t="s">
        <v>37</v>
      </c>
      <c r="D1045" s="2" t="s">
        <v>1053</v>
      </c>
      <c r="E1045" s="2"/>
      <c r="F1045" s="2" t="s">
        <v>41</v>
      </c>
      <c r="G1045" s="72"/>
      <c r="H1045" s="72">
        <v>35</v>
      </c>
      <c r="I1045" s="72"/>
      <c r="J1045" s="72">
        <v>11.8</v>
      </c>
      <c r="K1045" s="21">
        <v>201</v>
      </c>
      <c r="L1045" s="21">
        <v>885</v>
      </c>
      <c r="M1045" s="21">
        <v>210</v>
      </c>
      <c r="N1045" s="21">
        <v>1150</v>
      </c>
      <c r="O1045" s="2"/>
      <c r="P1045" s="2" t="s">
        <v>37</v>
      </c>
      <c r="Q1045" s="197"/>
    </row>
    <row r="1046" spans="1:17" ht="15" customHeight="1">
      <c r="A1046" s="196">
        <v>23</v>
      </c>
      <c r="B1046" s="71">
        <v>43587</v>
      </c>
      <c r="C1046" s="2" t="s">
        <v>37</v>
      </c>
      <c r="D1046" s="2" t="s">
        <v>1055</v>
      </c>
      <c r="E1046" s="2"/>
      <c r="F1046" s="2" t="s">
        <v>41</v>
      </c>
      <c r="G1046" s="72"/>
      <c r="H1046" s="72">
        <v>42.5</v>
      </c>
      <c r="I1046" s="72"/>
      <c r="J1046" s="72">
        <v>10.8</v>
      </c>
      <c r="K1046" s="21">
        <v>252</v>
      </c>
      <c r="L1046" s="21">
        <v>1190</v>
      </c>
      <c r="M1046" s="21">
        <v>260</v>
      </c>
      <c r="N1046" s="21">
        <v>1500</v>
      </c>
      <c r="O1046" s="2"/>
      <c r="P1046" s="2" t="s">
        <v>37</v>
      </c>
      <c r="Q1046" s="197"/>
    </row>
    <row r="1047" spans="1:17" ht="15" customHeight="1">
      <c r="A1047" s="196">
        <v>22</v>
      </c>
      <c r="B1047" s="74">
        <v>43582</v>
      </c>
      <c r="C1047" s="73" t="s">
        <v>105</v>
      </c>
      <c r="D1047" s="73" t="s">
        <v>1058</v>
      </c>
      <c r="E1047" s="73"/>
      <c r="F1047" s="73" t="s">
        <v>69</v>
      </c>
      <c r="G1047" s="75"/>
      <c r="H1047" s="75">
        <v>35</v>
      </c>
      <c r="I1047" s="75"/>
      <c r="J1047" s="75">
        <v>10</v>
      </c>
      <c r="K1047" s="76">
        <v>189</v>
      </c>
      <c r="L1047" s="76">
        <v>980</v>
      </c>
      <c r="M1047" s="76">
        <v>190</v>
      </c>
      <c r="N1047" s="76">
        <v>1144</v>
      </c>
      <c r="O1047" s="73"/>
      <c r="P1047" s="73" t="s">
        <v>36</v>
      </c>
      <c r="Q1047" s="259"/>
    </row>
    <row r="1048" spans="1:17" ht="15" customHeight="1">
      <c r="A1048" s="196">
        <v>21</v>
      </c>
      <c r="B1048" s="71">
        <v>43582</v>
      </c>
      <c r="C1048" s="2" t="s">
        <v>38</v>
      </c>
      <c r="D1048" s="2" t="s">
        <v>1059</v>
      </c>
      <c r="E1048" s="2"/>
      <c r="F1048" s="2" t="s">
        <v>69</v>
      </c>
      <c r="G1048" s="72"/>
      <c r="H1048" s="72">
        <v>35</v>
      </c>
      <c r="I1048" s="72"/>
      <c r="J1048" s="72">
        <v>10.1</v>
      </c>
      <c r="K1048" s="21">
        <v>194</v>
      </c>
      <c r="L1048" s="21">
        <v>890</v>
      </c>
      <c r="M1048" s="21">
        <v>198</v>
      </c>
      <c r="N1048" s="21">
        <v>1040</v>
      </c>
      <c r="O1048" s="2"/>
      <c r="P1048" s="2" t="s">
        <v>36</v>
      </c>
      <c r="Q1048" s="197"/>
    </row>
    <row r="1049" spans="1:17" ht="15" customHeight="1">
      <c r="A1049" s="196">
        <v>20</v>
      </c>
      <c r="B1049" s="74">
        <v>43579</v>
      </c>
      <c r="C1049" s="73" t="s">
        <v>105</v>
      </c>
      <c r="D1049" s="73" t="s">
        <v>1055</v>
      </c>
      <c r="E1049" s="73"/>
      <c r="F1049" s="73" t="s">
        <v>41</v>
      </c>
      <c r="G1049" s="75"/>
      <c r="H1049" s="75">
        <v>42.5</v>
      </c>
      <c r="I1049" s="75"/>
      <c r="J1049" s="75">
        <v>11.05</v>
      </c>
      <c r="K1049" s="76">
        <v>253</v>
      </c>
      <c r="L1049" s="76">
        <v>1165</v>
      </c>
      <c r="M1049" s="76">
        <v>259</v>
      </c>
      <c r="N1049" s="76">
        <v>1443</v>
      </c>
      <c r="O1049" s="73"/>
      <c r="P1049" s="73" t="s">
        <v>37</v>
      </c>
      <c r="Q1049" s="259"/>
    </row>
    <row r="1050" spans="1:17" ht="15" customHeight="1">
      <c r="A1050" s="196">
        <v>19</v>
      </c>
      <c r="B1050" s="74">
        <v>43579</v>
      </c>
      <c r="C1050" s="2" t="s">
        <v>105</v>
      </c>
      <c r="D1050" s="2" t="s">
        <v>1053</v>
      </c>
      <c r="E1050" s="2"/>
      <c r="F1050" s="2" t="s">
        <v>41</v>
      </c>
      <c r="G1050" s="72"/>
      <c r="H1050" s="72">
        <v>35</v>
      </c>
      <c r="I1050" s="72"/>
      <c r="J1050" s="72">
        <v>11.95</v>
      </c>
      <c r="K1050" s="21">
        <v>200</v>
      </c>
      <c r="L1050" s="21">
        <v>898</v>
      </c>
      <c r="M1050" s="21">
        <v>209</v>
      </c>
      <c r="N1050" s="21">
        <v>1145</v>
      </c>
      <c r="O1050" s="2"/>
      <c r="P1050" s="2" t="s">
        <v>37</v>
      </c>
      <c r="Q1050" s="197" t="s">
        <v>1057</v>
      </c>
    </row>
    <row r="1051" spans="1:17" ht="15" customHeight="1">
      <c r="A1051" s="196">
        <v>18</v>
      </c>
      <c r="B1051" s="74">
        <v>43579</v>
      </c>
      <c r="C1051" s="73" t="s">
        <v>105</v>
      </c>
      <c r="D1051" s="73" t="s">
        <v>1055</v>
      </c>
      <c r="E1051" s="73"/>
      <c r="F1051" s="73" t="s">
        <v>41</v>
      </c>
      <c r="G1051" s="75"/>
      <c r="H1051" s="75">
        <v>42.5</v>
      </c>
      <c r="I1051" s="75"/>
      <c r="J1051" s="75">
        <v>10.95</v>
      </c>
      <c r="K1051" s="76">
        <v>253</v>
      </c>
      <c r="L1051" s="76">
        <v>1185</v>
      </c>
      <c r="M1051" s="76">
        <v>260</v>
      </c>
      <c r="N1051" s="76">
        <v>1180</v>
      </c>
      <c r="O1051" s="73"/>
      <c r="P1051" s="73" t="s">
        <v>37</v>
      </c>
      <c r="Q1051" s="259"/>
    </row>
    <row r="1052" spans="1:17" ht="15" customHeight="1">
      <c r="A1052" s="196">
        <v>17</v>
      </c>
      <c r="B1052" s="71">
        <v>43577</v>
      </c>
      <c r="C1052" s="2" t="s">
        <v>38</v>
      </c>
      <c r="D1052" s="2" t="s">
        <v>1053</v>
      </c>
      <c r="E1052" s="2"/>
      <c r="F1052" s="2" t="s">
        <v>41</v>
      </c>
      <c r="G1052" s="72"/>
      <c r="H1052" s="72">
        <v>35</v>
      </c>
      <c r="I1052" s="72"/>
      <c r="J1052" s="72">
        <v>12.5</v>
      </c>
      <c r="K1052" s="21">
        <v>202</v>
      </c>
      <c r="L1052" s="21">
        <v>920</v>
      </c>
      <c r="M1052" s="21">
        <v>212</v>
      </c>
      <c r="N1052" s="21">
        <v>1180</v>
      </c>
      <c r="O1052" s="2"/>
      <c r="P1052" s="2" t="s">
        <v>37</v>
      </c>
      <c r="Q1052" s="197" t="s">
        <v>1054</v>
      </c>
    </row>
    <row r="1053" spans="1:17" ht="15" customHeight="1">
      <c r="A1053" s="196">
        <v>16</v>
      </c>
      <c r="B1053" s="74">
        <v>43577</v>
      </c>
      <c r="C1053" s="73" t="s">
        <v>38</v>
      </c>
      <c r="D1053" s="73" t="s">
        <v>1055</v>
      </c>
      <c r="E1053" s="73"/>
      <c r="F1053" s="73" t="s">
        <v>41</v>
      </c>
      <c r="G1053" s="75"/>
      <c r="H1053" s="75">
        <v>42.5</v>
      </c>
      <c r="I1053" s="75"/>
      <c r="J1053" s="75">
        <v>11</v>
      </c>
      <c r="K1053" s="76">
        <v>253.5</v>
      </c>
      <c r="L1053" s="76">
        <v>1140</v>
      </c>
      <c r="M1053" s="76">
        <v>260</v>
      </c>
      <c r="N1053" s="76">
        <v>1465</v>
      </c>
      <c r="O1053" s="73"/>
      <c r="P1053" s="73" t="s">
        <v>37</v>
      </c>
      <c r="Q1053" s="259" t="s">
        <v>1056</v>
      </c>
    </row>
    <row r="1054" spans="1:17" ht="15" customHeight="1">
      <c r="A1054" s="196">
        <v>15</v>
      </c>
      <c r="B1054" s="71">
        <v>43568</v>
      </c>
      <c r="C1054" s="2" t="s">
        <v>105</v>
      </c>
      <c r="D1054" s="2" t="s">
        <v>1050</v>
      </c>
      <c r="E1054" s="2"/>
      <c r="F1054" s="2" t="s">
        <v>41</v>
      </c>
      <c r="G1054" s="72"/>
      <c r="H1054" s="72">
        <v>42.5</v>
      </c>
      <c r="I1054" s="72"/>
      <c r="J1054" s="72">
        <v>12.5</v>
      </c>
      <c r="K1054" s="21">
        <v>208</v>
      </c>
      <c r="L1054" s="21">
        <v>1060</v>
      </c>
      <c r="M1054" s="21">
        <v>220</v>
      </c>
      <c r="N1054" s="21">
        <v>1390</v>
      </c>
      <c r="O1054" s="2"/>
      <c r="P1054" s="2" t="s">
        <v>36</v>
      </c>
      <c r="Q1054" s="197" t="s">
        <v>1051</v>
      </c>
    </row>
    <row r="1055" spans="1:17" ht="15" customHeight="1">
      <c r="A1055" s="261">
        <v>14</v>
      </c>
      <c r="B1055" s="74">
        <v>43568</v>
      </c>
      <c r="C1055" s="73" t="s">
        <v>105</v>
      </c>
      <c r="D1055" s="73" t="s">
        <v>1052</v>
      </c>
      <c r="E1055" s="73"/>
      <c r="F1055" s="73" t="s">
        <v>41</v>
      </c>
      <c r="G1055" s="75"/>
      <c r="H1055" s="75">
        <v>42.5</v>
      </c>
      <c r="I1055" s="75"/>
      <c r="J1055" s="75">
        <v>10</v>
      </c>
      <c r="K1055" s="76">
        <v>245</v>
      </c>
      <c r="L1055" s="76">
        <v>1318</v>
      </c>
      <c r="M1055" s="76">
        <v>255</v>
      </c>
      <c r="N1055" s="76">
        <v>1675</v>
      </c>
      <c r="O1055" s="73"/>
      <c r="P1055" s="73" t="s">
        <v>36</v>
      </c>
      <c r="Q1055" s="259" t="s">
        <v>1051</v>
      </c>
    </row>
    <row r="1056" spans="1:17" ht="15" customHeight="1">
      <c r="A1056" s="261">
        <v>13</v>
      </c>
      <c r="B1056" s="74">
        <v>43565</v>
      </c>
      <c r="C1056" s="73" t="s">
        <v>105</v>
      </c>
      <c r="D1056" s="73" t="s">
        <v>1046</v>
      </c>
      <c r="E1056" s="73"/>
      <c r="F1056" s="73" t="s">
        <v>41</v>
      </c>
      <c r="G1056" s="75"/>
      <c r="H1056" s="75">
        <v>35</v>
      </c>
      <c r="I1056" s="75"/>
      <c r="J1056" s="75">
        <v>14.2</v>
      </c>
      <c r="K1056" s="76">
        <v>177</v>
      </c>
      <c r="L1056" s="76">
        <v>785</v>
      </c>
      <c r="M1056" s="76">
        <v>189</v>
      </c>
      <c r="N1056" s="76">
        <v>1000</v>
      </c>
      <c r="O1056" s="73"/>
      <c r="P1056" s="73" t="s">
        <v>39</v>
      </c>
      <c r="Q1056" s="259"/>
    </row>
    <row r="1057" spans="1:17" ht="15" customHeight="1">
      <c r="A1057" s="261">
        <v>12</v>
      </c>
      <c r="B1057" s="71">
        <v>43565</v>
      </c>
      <c r="C1057" s="2" t="s">
        <v>105</v>
      </c>
      <c r="D1057" s="2" t="s">
        <v>1042</v>
      </c>
      <c r="E1057" s="2"/>
      <c r="F1057" s="2" t="s">
        <v>41</v>
      </c>
      <c r="G1057" s="72"/>
      <c r="H1057" s="72">
        <v>35</v>
      </c>
      <c r="I1057" s="72"/>
      <c r="J1057" s="72">
        <v>13.6</v>
      </c>
      <c r="K1057" s="21">
        <v>177</v>
      </c>
      <c r="L1057" s="21">
        <v>790</v>
      </c>
      <c r="M1057" s="21">
        <v>189</v>
      </c>
      <c r="N1057" s="21">
        <v>1049</v>
      </c>
      <c r="O1057" s="2"/>
      <c r="P1057" s="2" t="s">
        <v>39</v>
      </c>
      <c r="Q1057" s="197" t="s">
        <v>1048</v>
      </c>
    </row>
    <row r="1058" spans="1:17" ht="15" customHeight="1">
      <c r="A1058" s="261">
        <v>11</v>
      </c>
      <c r="B1058" s="71">
        <v>43565</v>
      </c>
      <c r="C1058" s="2" t="s">
        <v>105</v>
      </c>
      <c r="D1058" s="2" t="s">
        <v>1044</v>
      </c>
      <c r="E1058" s="2"/>
      <c r="F1058" s="2" t="s">
        <v>41</v>
      </c>
      <c r="G1058" s="72"/>
      <c r="H1058" s="72">
        <v>35</v>
      </c>
      <c r="I1058" s="72"/>
      <c r="J1058" s="72">
        <v>13.5</v>
      </c>
      <c r="K1058" s="21">
        <v>177</v>
      </c>
      <c r="L1058" s="21">
        <v>795</v>
      </c>
      <c r="M1058" s="21">
        <v>189</v>
      </c>
      <c r="N1058" s="21">
        <v>1040</v>
      </c>
      <c r="O1058" s="2"/>
      <c r="P1058" s="2" t="s">
        <v>39</v>
      </c>
      <c r="Q1058" s="197" t="s">
        <v>1049</v>
      </c>
    </row>
    <row r="1059" spans="1:17" ht="15" customHeight="1">
      <c r="A1059" s="261">
        <v>10</v>
      </c>
      <c r="B1059" s="74">
        <v>43564</v>
      </c>
      <c r="C1059" s="73" t="s">
        <v>37</v>
      </c>
      <c r="D1059" s="73" t="s">
        <v>1046</v>
      </c>
      <c r="E1059" s="73"/>
      <c r="F1059" s="73" t="s">
        <v>41</v>
      </c>
      <c r="G1059" s="75"/>
      <c r="H1059" s="75">
        <v>35</v>
      </c>
      <c r="I1059" s="75"/>
      <c r="J1059" s="75">
        <v>14.3</v>
      </c>
      <c r="K1059" s="76">
        <v>178</v>
      </c>
      <c r="L1059" s="76">
        <v>740</v>
      </c>
      <c r="M1059" s="76">
        <v>189</v>
      </c>
      <c r="N1059" s="76">
        <v>950</v>
      </c>
      <c r="O1059" s="73"/>
      <c r="P1059" s="73" t="s">
        <v>39</v>
      </c>
      <c r="Q1059" s="259"/>
    </row>
    <row r="1060" spans="1:17" ht="15" customHeight="1">
      <c r="A1060" s="261">
        <v>9</v>
      </c>
      <c r="B1060" s="71">
        <v>43564</v>
      </c>
      <c r="C1060" s="2" t="s">
        <v>37</v>
      </c>
      <c r="D1060" s="2" t="s">
        <v>1044</v>
      </c>
      <c r="E1060" s="2"/>
      <c r="F1060" s="2" t="s">
        <v>41</v>
      </c>
      <c r="G1060" s="72"/>
      <c r="H1060" s="72">
        <v>35</v>
      </c>
      <c r="I1060" s="72"/>
      <c r="J1060" s="72">
        <v>13.75</v>
      </c>
      <c r="K1060" s="21">
        <v>177</v>
      </c>
      <c r="L1060" s="21">
        <v>780</v>
      </c>
      <c r="M1060" s="21">
        <v>188</v>
      </c>
      <c r="N1060" s="21">
        <v>1005</v>
      </c>
      <c r="O1060" s="2"/>
      <c r="P1060" s="2" t="s">
        <v>39</v>
      </c>
      <c r="Q1060" s="197" t="s">
        <v>1047</v>
      </c>
    </row>
    <row r="1061" spans="1:17" ht="15" customHeight="1">
      <c r="A1061" s="261">
        <v>8</v>
      </c>
      <c r="B1061" s="74">
        <v>43564</v>
      </c>
      <c r="C1061" s="73" t="s">
        <v>37</v>
      </c>
      <c r="D1061" s="73" t="s">
        <v>1042</v>
      </c>
      <c r="E1061" s="73"/>
      <c r="F1061" s="73" t="s">
        <v>41</v>
      </c>
      <c r="G1061" s="75"/>
      <c r="H1061" s="75">
        <v>35</v>
      </c>
      <c r="I1061" s="75"/>
      <c r="J1061" s="75">
        <v>13.7</v>
      </c>
      <c r="K1061" s="76">
        <v>177</v>
      </c>
      <c r="L1061" s="76">
        <v>750</v>
      </c>
      <c r="M1061" s="76">
        <v>189</v>
      </c>
      <c r="N1061" s="76">
        <v>1020</v>
      </c>
      <c r="O1061" s="73"/>
      <c r="P1061" s="73" t="s">
        <v>39</v>
      </c>
      <c r="Q1061" s="259" t="s">
        <v>1043</v>
      </c>
    </row>
    <row r="1062" spans="1:17" ht="15" customHeight="1">
      <c r="A1062" s="261">
        <v>7</v>
      </c>
      <c r="B1062" s="74">
        <v>43563</v>
      </c>
      <c r="C1062" s="2" t="s">
        <v>105</v>
      </c>
      <c r="D1062" s="2" t="s">
        <v>1042</v>
      </c>
      <c r="E1062" s="2"/>
      <c r="F1062" s="2" t="s">
        <v>41</v>
      </c>
      <c r="G1062" s="72"/>
      <c r="H1062" s="72">
        <v>35</v>
      </c>
      <c r="I1062" s="72"/>
      <c r="J1062" s="72">
        <v>14.35</v>
      </c>
      <c r="K1062" s="21">
        <v>178</v>
      </c>
      <c r="L1062" s="21">
        <v>700</v>
      </c>
      <c r="M1062" s="21">
        <v>186</v>
      </c>
      <c r="N1062" s="21">
        <v>940</v>
      </c>
      <c r="O1062" s="2"/>
      <c r="P1062" s="2" t="s">
        <v>39</v>
      </c>
      <c r="Q1062" s="197" t="s">
        <v>1043</v>
      </c>
    </row>
    <row r="1063" spans="1:17" ht="15" customHeight="1">
      <c r="A1063" s="261">
        <v>6</v>
      </c>
      <c r="B1063" s="71">
        <v>43563</v>
      </c>
      <c r="C1063" s="2" t="s">
        <v>105</v>
      </c>
      <c r="D1063" s="2" t="s">
        <v>1044</v>
      </c>
      <c r="E1063" s="2"/>
      <c r="F1063" s="2" t="s">
        <v>41</v>
      </c>
      <c r="G1063" s="72"/>
      <c r="H1063" s="72">
        <v>35</v>
      </c>
      <c r="I1063" s="72"/>
      <c r="J1063" s="72">
        <v>14.1</v>
      </c>
      <c r="K1063" s="21">
        <v>180</v>
      </c>
      <c r="L1063" s="21">
        <v>750</v>
      </c>
      <c r="M1063" s="21">
        <v>187</v>
      </c>
      <c r="N1063" s="21">
        <v>970</v>
      </c>
      <c r="O1063" s="2"/>
      <c r="P1063" s="2" t="s">
        <v>39</v>
      </c>
      <c r="Q1063" s="197" t="s">
        <v>206</v>
      </c>
    </row>
    <row r="1064" spans="1:17" ht="15" customHeight="1">
      <c r="A1064" s="261">
        <v>5</v>
      </c>
      <c r="B1064" s="71">
        <v>43563</v>
      </c>
      <c r="C1064" s="2" t="s">
        <v>37</v>
      </c>
      <c r="D1064" s="2" t="s">
        <v>1042</v>
      </c>
      <c r="E1064" s="2"/>
      <c r="F1064" s="2" t="s">
        <v>41</v>
      </c>
      <c r="G1064" s="72"/>
      <c r="H1064" s="72">
        <v>35</v>
      </c>
      <c r="I1064" s="72"/>
      <c r="J1064" s="72">
        <v>14.5</v>
      </c>
      <c r="K1064" s="21">
        <v>178</v>
      </c>
      <c r="L1064" s="21">
        <v>750</v>
      </c>
      <c r="M1064" s="21">
        <v>190</v>
      </c>
      <c r="N1064" s="21">
        <v>1040</v>
      </c>
      <c r="O1064" s="2"/>
      <c r="P1064" s="2" t="s">
        <v>39</v>
      </c>
      <c r="Q1064" s="197" t="s">
        <v>206</v>
      </c>
    </row>
    <row r="1065" spans="1:17" ht="15" customHeight="1">
      <c r="A1065" s="261">
        <v>4</v>
      </c>
      <c r="B1065" s="71">
        <v>43563</v>
      </c>
      <c r="C1065" s="2" t="s">
        <v>37</v>
      </c>
      <c r="D1065" s="2" t="s">
        <v>1044</v>
      </c>
      <c r="E1065" s="2"/>
      <c r="F1065" s="2" t="s">
        <v>41</v>
      </c>
      <c r="G1065" s="72"/>
      <c r="H1065" s="72">
        <v>35</v>
      </c>
      <c r="I1065" s="72"/>
      <c r="J1065" s="72">
        <v>14.35</v>
      </c>
      <c r="K1065" s="21">
        <v>177</v>
      </c>
      <c r="L1065" s="21">
        <v>744</v>
      </c>
      <c r="M1065" s="21">
        <v>190</v>
      </c>
      <c r="N1065" s="21">
        <v>995</v>
      </c>
      <c r="O1065" s="2"/>
      <c r="P1065" s="2" t="s">
        <v>39</v>
      </c>
      <c r="Q1065" s="197" t="s">
        <v>1045</v>
      </c>
    </row>
    <row r="1066" spans="1:17" ht="15" customHeight="1">
      <c r="A1066" s="261">
        <v>3</v>
      </c>
      <c r="B1066" s="71">
        <v>43558</v>
      </c>
      <c r="C1066" s="2" t="s">
        <v>105</v>
      </c>
      <c r="D1066" s="2" t="s">
        <v>1040</v>
      </c>
      <c r="E1066" s="2"/>
      <c r="F1066" s="2" t="s">
        <v>41</v>
      </c>
      <c r="G1066" s="72"/>
      <c r="H1066" s="72">
        <v>35</v>
      </c>
      <c r="I1066" s="72"/>
      <c r="J1066" s="72">
        <v>12</v>
      </c>
      <c r="K1066" s="21">
        <v>202</v>
      </c>
      <c r="L1066" s="21">
        <v>885</v>
      </c>
      <c r="M1066" s="21">
        <v>209</v>
      </c>
      <c r="N1066" s="21">
        <v>1132</v>
      </c>
      <c r="O1066" s="2"/>
      <c r="P1066" s="2" t="s">
        <v>39</v>
      </c>
      <c r="Q1066" s="197" t="s">
        <v>206</v>
      </c>
    </row>
    <row r="1067" spans="1:17" ht="15" customHeight="1">
      <c r="A1067" s="261">
        <v>2</v>
      </c>
      <c r="B1067" s="74">
        <v>43558</v>
      </c>
      <c r="C1067" s="73" t="s">
        <v>105</v>
      </c>
      <c r="D1067" s="73" t="s">
        <v>1038</v>
      </c>
      <c r="E1067" s="73"/>
      <c r="F1067" s="73" t="s">
        <v>41</v>
      </c>
      <c r="G1067" s="75"/>
      <c r="H1067" s="75">
        <v>42.5</v>
      </c>
      <c r="I1067" s="75"/>
      <c r="J1067" s="75">
        <v>11</v>
      </c>
      <c r="K1067" s="76">
        <v>254</v>
      </c>
      <c r="L1067" s="76">
        <v>1195</v>
      </c>
      <c r="M1067" s="76">
        <v>259</v>
      </c>
      <c r="N1067" s="76">
        <v>1480</v>
      </c>
      <c r="O1067" s="73"/>
      <c r="P1067" s="73" t="s">
        <v>39</v>
      </c>
      <c r="Q1067" s="259" t="s">
        <v>1041</v>
      </c>
    </row>
    <row r="1068" spans="1:17" ht="15" customHeight="1">
      <c r="A1068" s="261">
        <v>1</v>
      </c>
      <c r="B1068" s="74">
        <v>43556</v>
      </c>
      <c r="C1068" s="73" t="s">
        <v>105</v>
      </c>
      <c r="D1068" s="73" t="s">
        <v>1038</v>
      </c>
      <c r="E1068" s="73"/>
      <c r="F1068" s="73" t="s">
        <v>41</v>
      </c>
      <c r="G1068" s="75"/>
      <c r="H1068" s="75">
        <v>42.5</v>
      </c>
      <c r="I1068" s="75"/>
      <c r="J1068" s="75">
        <v>11.8</v>
      </c>
      <c r="K1068" s="76">
        <v>254</v>
      </c>
      <c r="L1068" s="76">
        <v>1080</v>
      </c>
      <c r="M1068" s="76">
        <v>261</v>
      </c>
      <c r="N1068" s="76">
        <v>1500</v>
      </c>
      <c r="O1068" s="73"/>
      <c r="P1068" s="73" t="s">
        <v>39</v>
      </c>
      <c r="Q1068" s="259" t="s">
        <v>1039</v>
      </c>
    </row>
  </sheetData>
  <sortState xmlns:xlrd2="http://schemas.microsoft.com/office/spreadsheetml/2017/richdata2" ref="B2:R965">
    <sortCondition ref="B1"/>
  </sortState>
  <dataValidations count="2">
    <dataValidation type="list" allowBlank="1" showInputMessage="1" showErrorMessage="1" sqref="P2:P10 P13:P24" xr:uid="{00000000-0002-0000-0800-000000000000}">
      <formula1>"Die Test,Prototype,Pre-launch"</formula1>
    </dataValidation>
    <dataValidation type="list" allowBlank="1" showInputMessage="1" showErrorMessage="1" sqref="P11:P12 P25:P1005" xr:uid="{00000000-0002-0000-0800-000001000000}">
      <formula1>"Die Test,Prototype,Pre-Launch"</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pageSetUpPr fitToPage="1"/>
  </sheetPr>
  <dimension ref="A1:U40"/>
  <sheetViews>
    <sheetView view="pageBreakPreview" zoomScaleNormal="100" zoomScaleSheetLayoutView="100" workbookViewId="0">
      <selection activeCell="E29" sqref="E29"/>
    </sheetView>
  </sheetViews>
  <sheetFormatPr defaultColWidth="9.109375" defaultRowHeight="15.6"/>
  <cols>
    <col min="1" max="1" width="5.6640625" style="86" bestFit="1" customWidth="1"/>
    <col min="2" max="2" width="12.5546875" style="86" customWidth="1"/>
    <col min="3" max="3" width="35.6640625" style="86" customWidth="1"/>
    <col min="4" max="19" width="5.33203125" style="86" customWidth="1"/>
    <col min="20" max="20" width="18" style="86" customWidth="1"/>
    <col min="21" max="21" width="2.88671875" style="86" customWidth="1"/>
    <col min="22" max="16384" width="9.109375" style="86"/>
  </cols>
  <sheetData>
    <row r="1" spans="1:21" ht="30" customHeight="1" thickBot="1">
      <c r="A1" s="267" t="s">
        <v>651</v>
      </c>
      <c r="B1" s="268"/>
      <c r="C1" s="269" t="s">
        <v>652</v>
      </c>
      <c r="D1" s="270"/>
      <c r="E1" s="270"/>
      <c r="F1" s="270"/>
      <c r="G1" s="270"/>
      <c r="H1" s="270"/>
      <c r="I1" s="270"/>
      <c r="J1" s="270"/>
      <c r="K1" s="270"/>
      <c r="L1" s="270"/>
      <c r="M1" s="270"/>
      <c r="N1" s="270"/>
      <c r="O1" s="270"/>
      <c r="P1" s="270"/>
      <c r="Q1" s="271" t="s">
        <v>653</v>
      </c>
      <c r="R1" s="271"/>
      <c r="S1" s="271"/>
      <c r="T1" s="271"/>
      <c r="U1" s="272"/>
    </row>
    <row r="2" spans="1:21" s="88" customFormat="1" ht="14.1" customHeight="1">
      <c r="A2" s="273" t="s">
        <v>654</v>
      </c>
      <c r="B2" s="275" t="s">
        <v>655</v>
      </c>
      <c r="C2" s="277" t="s">
        <v>656</v>
      </c>
      <c r="D2" s="87">
        <v>1</v>
      </c>
      <c r="E2" s="87">
        <v>2</v>
      </c>
      <c r="F2" s="87">
        <v>3</v>
      </c>
      <c r="G2" s="87">
        <v>4</v>
      </c>
      <c r="H2" s="87">
        <v>5</v>
      </c>
      <c r="I2" s="87">
        <v>6</v>
      </c>
      <c r="J2" s="87">
        <v>7</v>
      </c>
      <c r="K2" s="87">
        <v>8</v>
      </c>
      <c r="L2" s="87">
        <v>9</v>
      </c>
      <c r="M2" s="87">
        <v>10</v>
      </c>
      <c r="N2" s="87">
        <v>11</v>
      </c>
      <c r="O2" s="87">
        <v>12</v>
      </c>
      <c r="P2" s="87">
        <v>13</v>
      </c>
      <c r="Q2" s="87">
        <v>14</v>
      </c>
      <c r="R2" s="87">
        <v>15</v>
      </c>
      <c r="S2" s="87">
        <v>16</v>
      </c>
      <c r="T2" s="279" t="s">
        <v>657</v>
      </c>
      <c r="U2" s="280"/>
    </row>
    <row r="3" spans="1:21" s="88" customFormat="1" ht="14.1" customHeight="1">
      <c r="A3" s="274"/>
      <c r="B3" s="276"/>
      <c r="C3" s="278"/>
      <c r="D3" s="89">
        <v>17</v>
      </c>
      <c r="E3" s="89">
        <v>18</v>
      </c>
      <c r="F3" s="89">
        <v>19</v>
      </c>
      <c r="G3" s="89">
        <v>20</v>
      </c>
      <c r="H3" s="89">
        <v>21</v>
      </c>
      <c r="I3" s="89">
        <v>22</v>
      </c>
      <c r="J3" s="89">
        <v>23</v>
      </c>
      <c r="K3" s="89">
        <v>24</v>
      </c>
      <c r="L3" s="89">
        <v>25</v>
      </c>
      <c r="M3" s="89">
        <v>26</v>
      </c>
      <c r="N3" s="89">
        <v>27</v>
      </c>
      <c r="O3" s="89">
        <v>28</v>
      </c>
      <c r="P3" s="89">
        <v>29</v>
      </c>
      <c r="Q3" s="89">
        <v>30</v>
      </c>
      <c r="R3" s="89">
        <v>31</v>
      </c>
      <c r="S3" s="90"/>
      <c r="T3" s="281"/>
      <c r="U3" s="282"/>
    </row>
    <row r="4" spans="1:21" ht="12.6" customHeight="1">
      <c r="A4" s="283">
        <v>1</v>
      </c>
      <c r="B4" s="285">
        <v>160086</v>
      </c>
      <c r="C4" s="285" t="s">
        <v>658</v>
      </c>
      <c r="D4" s="91"/>
      <c r="E4" s="91"/>
      <c r="F4" s="91"/>
      <c r="G4" s="91"/>
      <c r="H4" s="91"/>
      <c r="I4" s="91"/>
      <c r="J4" s="91"/>
      <c r="K4" s="91"/>
      <c r="L4" s="91"/>
      <c r="M4" s="91"/>
      <c r="N4" s="91"/>
      <c r="O4" s="91"/>
      <c r="P4" s="91"/>
      <c r="Q4" s="91"/>
      <c r="R4" s="91"/>
      <c r="S4" s="91"/>
      <c r="T4" s="287"/>
      <c r="U4" s="288"/>
    </row>
    <row r="5" spans="1:21" ht="12.6" customHeight="1">
      <c r="A5" s="284"/>
      <c r="B5" s="286"/>
      <c r="C5" s="286"/>
      <c r="D5" s="92"/>
      <c r="E5" s="92"/>
      <c r="F5" s="92"/>
      <c r="G5" s="92"/>
      <c r="H5" s="92"/>
      <c r="I5" s="92"/>
      <c r="J5" s="92"/>
      <c r="K5" s="92"/>
      <c r="L5" s="92"/>
      <c r="M5" s="92"/>
      <c r="N5" s="92"/>
      <c r="O5" s="92"/>
      <c r="P5" s="92"/>
      <c r="Q5" s="92"/>
      <c r="R5" s="92"/>
      <c r="S5" s="92"/>
      <c r="T5" s="289"/>
      <c r="U5" s="290"/>
    </row>
    <row r="6" spans="1:21" ht="12.6" customHeight="1">
      <c r="A6" s="283">
        <v>2</v>
      </c>
      <c r="B6" s="285">
        <v>160092</v>
      </c>
      <c r="C6" s="285" t="s">
        <v>659</v>
      </c>
      <c r="D6" s="91"/>
      <c r="E6" s="91"/>
      <c r="F6" s="91"/>
      <c r="G6" s="91"/>
      <c r="H6" s="91"/>
      <c r="I6" s="91"/>
      <c r="J6" s="91"/>
      <c r="K6" s="91"/>
      <c r="L6" s="91"/>
      <c r="M6" s="91"/>
      <c r="N6" s="91"/>
      <c r="O6" s="91"/>
      <c r="P6" s="91"/>
      <c r="Q6" s="91"/>
      <c r="R6" s="91"/>
      <c r="S6" s="91"/>
      <c r="T6" s="287"/>
      <c r="U6" s="288"/>
    </row>
    <row r="7" spans="1:21" ht="12.6" customHeight="1">
      <c r="A7" s="284"/>
      <c r="B7" s="286"/>
      <c r="C7" s="286"/>
      <c r="D7" s="92"/>
      <c r="E7" s="92"/>
      <c r="F7" s="92"/>
      <c r="G7" s="92"/>
      <c r="H7" s="92"/>
      <c r="I7" s="92"/>
      <c r="J7" s="92"/>
      <c r="K7" s="92"/>
      <c r="L7" s="92"/>
      <c r="M7" s="92"/>
      <c r="N7" s="92"/>
      <c r="O7" s="92"/>
      <c r="P7" s="92"/>
      <c r="Q7" s="92"/>
      <c r="R7" s="92"/>
      <c r="S7" s="92"/>
      <c r="T7" s="289"/>
      <c r="U7" s="290"/>
    </row>
    <row r="8" spans="1:21" ht="12.6" customHeight="1">
      <c r="A8" s="283">
        <v>3</v>
      </c>
      <c r="B8" s="285">
        <v>190097</v>
      </c>
      <c r="C8" s="285" t="s">
        <v>660</v>
      </c>
      <c r="D8" s="91"/>
      <c r="E8" s="91"/>
      <c r="F8" s="91"/>
      <c r="G8" s="91"/>
      <c r="H8" s="91"/>
      <c r="I8" s="91"/>
      <c r="J8" s="91"/>
      <c r="K8" s="91"/>
      <c r="L8" s="91"/>
      <c r="M8" s="91"/>
      <c r="N8" s="91"/>
      <c r="O8" s="91"/>
      <c r="P8" s="91"/>
      <c r="Q8" s="91"/>
      <c r="R8" s="91"/>
      <c r="S8" s="91"/>
      <c r="T8" s="287"/>
      <c r="U8" s="288"/>
    </row>
    <row r="9" spans="1:21" ht="12.6" customHeight="1">
      <c r="A9" s="284"/>
      <c r="B9" s="286"/>
      <c r="C9" s="286"/>
      <c r="D9" s="92"/>
      <c r="E9" s="92"/>
      <c r="F9" s="92"/>
      <c r="G9" s="92"/>
      <c r="H9" s="92"/>
      <c r="I9" s="92"/>
      <c r="J9" s="92"/>
      <c r="K9" s="92"/>
      <c r="L9" s="92"/>
      <c r="M9" s="92"/>
      <c r="N9" s="92"/>
      <c r="O9" s="92"/>
      <c r="P9" s="92"/>
      <c r="Q9" s="92"/>
      <c r="R9" s="92"/>
      <c r="S9" s="92"/>
      <c r="T9" s="289"/>
      <c r="U9" s="290"/>
    </row>
    <row r="10" spans="1:21" ht="12.6" customHeight="1">
      <c r="A10" s="283">
        <v>4</v>
      </c>
      <c r="B10" s="285" t="s">
        <v>661</v>
      </c>
      <c r="C10" s="285" t="s">
        <v>662</v>
      </c>
      <c r="D10" s="91"/>
      <c r="E10" s="91"/>
      <c r="F10" s="91"/>
      <c r="G10" s="91"/>
      <c r="H10" s="91"/>
      <c r="I10" s="91"/>
      <c r="J10" s="91"/>
      <c r="K10" s="91"/>
      <c r="L10" s="91"/>
      <c r="M10" s="91"/>
      <c r="N10" s="91"/>
      <c r="O10" s="91"/>
      <c r="P10" s="91"/>
      <c r="Q10" s="91"/>
      <c r="R10" s="91"/>
      <c r="S10" s="91"/>
      <c r="T10" s="287"/>
      <c r="U10" s="288"/>
    </row>
    <row r="11" spans="1:21" ht="12.6" customHeight="1">
      <c r="A11" s="284"/>
      <c r="B11" s="286"/>
      <c r="C11" s="286"/>
      <c r="D11" s="92"/>
      <c r="E11" s="92"/>
      <c r="F11" s="92"/>
      <c r="G11" s="92"/>
      <c r="H11" s="92"/>
      <c r="I11" s="92"/>
      <c r="J11" s="92"/>
      <c r="K11" s="92"/>
      <c r="L11" s="92"/>
      <c r="M11" s="92"/>
      <c r="N11" s="92"/>
      <c r="O11" s="92"/>
      <c r="P11" s="92"/>
      <c r="Q11" s="92"/>
      <c r="R11" s="92"/>
      <c r="S11" s="92"/>
      <c r="T11" s="289"/>
      <c r="U11" s="290"/>
    </row>
    <row r="12" spans="1:21" ht="12.6" customHeight="1">
      <c r="A12" s="283"/>
      <c r="B12" s="285"/>
      <c r="C12" s="285"/>
      <c r="D12" s="91"/>
      <c r="E12" s="91"/>
      <c r="F12" s="91"/>
      <c r="G12" s="91"/>
      <c r="H12" s="91"/>
      <c r="I12" s="91"/>
      <c r="J12" s="91"/>
      <c r="K12" s="91"/>
      <c r="L12" s="91"/>
      <c r="M12" s="91"/>
      <c r="N12" s="91"/>
      <c r="O12" s="91"/>
      <c r="P12" s="91"/>
      <c r="Q12" s="91"/>
      <c r="R12" s="91"/>
      <c r="S12" s="91"/>
      <c r="T12" s="287"/>
      <c r="U12" s="288"/>
    </row>
    <row r="13" spans="1:21" ht="12.6" customHeight="1">
      <c r="A13" s="284"/>
      <c r="B13" s="286"/>
      <c r="C13" s="286"/>
      <c r="D13" s="92"/>
      <c r="E13" s="92"/>
      <c r="F13" s="92"/>
      <c r="G13" s="92"/>
      <c r="H13" s="92"/>
      <c r="I13" s="92"/>
      <c r="J13" s="92"/>
      <c r="K13" s="92"/>
      <c r="L13" s="92"/>
      <c r="M13" s="92"/>
      <c r="N13" s="92"/>
      <c r="O13" s="92"/>
      <c r="P13" s="92"/>
      <c r="Q13" s="92"/>
      <c r="R13" s="92"/>
      <c r="S13" s="92"/>
      <c r="T13" s="289"/>
      <c r="U13" s="290"/>
    </row>
    <row r="14" spans="1:21" ht="12.6" customHeight="1">
      <c r="A14" s="283"/>
      <c r="B14" s="285"/>
      <c r="C14" s="285"/>
      <c r="D14" s="91"/>
      <c r="E14" s="91"/>
      <c r="F14" s="91"/>
      <c r="G14" s="91"/>
      <c r="H14" s="91"/>
      <c r="I14" s="91"/>
      <c r="J14" s="91"/>
      <c r="K14" s="91"/>
      <c r="L14" s="91"/>
      <c r="M14" s="91"/>
      <c r="N14" s="91"/>
      <c r="O14" s="91"/>
      <c r="P14" s="91"/>
      <c r="Q14" s="91"/>
      <c r="R14" s="91"/>
      <c r="S14" s="91"/>
      <c r="T14" s="287"/>
      <c r="U14" s="288"/>
    </row>
    <row r="15" spans="1:21" ht="12.6" customHeight="1">
      <c r="A15" s="284"/>
      <c r="B15" s="286"/>
      <c r="C15" s="286"/>
      <c r="D15" s="92"/>
      <c r="E15" s="92"/>
      <c r="F15" s="92"/>
      <c r="G15" s="92"/>
      <c r="H15" s="92"/>
      <c r="I15" s="92"/>
      <c r="J15" s="92"/>
      <c r="K15" s="92"/>
      <c r="L15" s="92"/>
      <c r="M15" s="92"/>
      <c r="N15" s="92"/>
      <c r="O15" s="92"/>
      <c r="P15" s="92"/>
      <c r="Q15" s="92"/>
      <c r="R15" s="92"/>
      <c r="S15" s="92"/>
      <c r="T15" s="289"/>
      <c r="U15" s="290"/>
    </row>
    <row r="16" spans="1:21" ht="12.6" customHeight="1">
      <c r="A16" s="283"/>
      <c r="B16" s="285"/>
      <c r="C16" s="291"/>
      <c r="D16" s="91"/>
      <c r="E16" s="91"/>
      <c r="F16" s="91"/>
      <c r="G16" s="91"/>
      <c r="H16" s="91"/>
      <c r="I16" s="91"/>
      <c r="J16" s="91"/>
      <c r="K16" s="91"/>
      <c r="L16" s="91"/>
      <c r="M16" s="91"/>
      <c r="N16" s="91"/>
      <c r="O16" s="91"/>
      <c r="P16" s="91"/>
      <c r="Q16" s="91"/>
      <c r="R16" s="91"/>
      <c r="S16" s="91"/>
      <c r="T16" s="287"/>
      <c r="U16" s="288"/>
    </row>
    <row r="17" spans="1:21" ht="12.6" customHeight="1">
      <c r="A17" s="284"/>
      <c r="B17" s="286"/>
      <c r="C17" s="292"/>
      <c r="D17" s="92"/>
      <c r="E17" s="92"/>
      <c r="F17" s="92"/>
      <c r="G17" s="92"/>
      <c r="H17" s="92"/>
      <c r="I17" s="92"/>
      <c r="J17" s="92"/>
      <c r="K17" s="92"/>
      <c r="L17" s="92"/>
      <c r="M17" s="92"/>
      <c r="N17" s="92"/>
      <c r="O17" s="92"/>
      <c r="P17" s="92"/>
      <c r="Q17" s="92"/>
      <c r="R17" s="92"/>
      <c r="S17" s="92"/>
      <c r="T17" s="289"/>
      <c r="U17" s="290"/>
    </row>
    <row r="18" spans="1:21" ht="12.6" customHeight="1">
      <c r="A18" s="283"/>
      <c r="B18" s="285"/>
      <c r="C18" s="291"/>
      <c r="D18" s="91"/>
      <c r="E18" s="91"/>
      <c r="F18" s="91"/>
      <c r="G18" s="91"/>
      <c r="H18" s="91"/>
      <c r="I18" s="91"/>
      <c r="J18" s="91"/>
      <c r="K18" s="91"/>
      <c r="L18" s="91"/>
      <c r="M18" s="91"/>
      <c r="N18" s="91"/>
      <c r="O18" s="91"/>
      <c r="P18" s="91"/>
      <c r="Q18" s="91"/>
      <c r="R18" s="91"/>
      <c r="S18" s="91"/>
      <c r="T18" s="287"/>
      <c r="U18" s="288"/>
    </row>
    <row r="19" spans="1:21" ht="12.6" customHeight="1">
      <c r="A19" s="284"/>
      <c r="B19" s="286"/>
      <c r="C19" s="292"/>
      <c r="D19" s="92"/>
      <c r="E19" s="92"/>
      <c r="F19" s="92"/>
      <c r="G19" s="92"/>
      <c r="H19" s="92"/>
      <c r="I19" s="92"/>
      <c r="J19" s="92"/>
      <c r="K19" s="92"/>
      <c r="L19" s="92"/>
      <c r="M19" s="92"/>
      <c r="N19" s="92"/>
      <c r="O19" s="92"/>
      <c r="P19" s="92"/>
      <c r="Q19" s="92"/>
      <c r="R19" s="92"/>
      <c r="S19" s="92"/>
      <c r="T19" s="289"/>
      <c r="U19" s="290"/>
    </row>
    <row r="20" spans="1:21" ht="12.6" customHeight="1">
      <c r="A20" s="283"/>
      <c r="B20" s="285"/>
      <c r="C20" s="291"/>
      <c r="D20" s="91"/>
      <c r="E20" s="91"/>
      <c r="F20" s="91"/>
      <c r="G20" s="91"/>
      <c r="H20" s="91"/>
      <c r="I20" s="91"/>
      <c r="J20" s="91"/>
      <c r="K20" s="91"/>
      <c r="L20" s="91"/>
      <c r="M20" s="91"/>
      <c r="N20" s="91"/>
      <c r="O20" s="91"/>
      <c r="P20" s="91"/>
      <c r="Q20" s="91"/>
      <c r="R20" s="91"/>
      <c r="S20" s="91"/>
      <c r="T20" s="287"/>
      <c r="U20" s="288"/>
    </row>
    <row r="21" spans="1:21" ht="12.6" customHeight="1">
      <c r="A21" s="284"/>
      <c r="B21" s="286"/>
      <c r="C21" s="292"/>
      <c r="D21" s="92"/>
      <c r="E21" s="92"/>
      <c r="F21" s="92"/>
      <c r="G21" s="92"/>
      <c r="H21" s="92"/>
      <c r="I21" s="92"/>
      <c r="J21" s="92"/>
      <c r="K21" s="92"/>
      <c r="L21" s="92"/>
      <c r="M21" s="92"/>
      <c r="N21" s="92"/>
      <c r="O21" s="92"/>
      <c r="P21" s="92"/>
      <c r="Q21" s="92"/>
      <c r="R21" s="92"/>
      <c r="S21" s="92"/>
      <c r="T21" s="289"/>
      <c r="U21" s="290"/>
    </row>
    <row r="22" spans="1:21" ht="12.6" customHeight="1">
      <c r="A22" s="283"/>
      <c r="B22" s="285"/>
      <c r="C22" s="291"/>
      <c r="D22" s="91"/>
      <c r="E22" s="91"/>
      <c r="F22" s="91"/>
      <c r="G22" s="91"/>
      <c r="H22" s="91"/>
      <c r="I22" s="91"/>
      <c r="J22" s="91"/>
      <c r="K22" s="91"/>
      <c r="L22" s="91"/>
      <c r="M22" s="91"/>
      <c r="N22" s="91"/>
      <c r="O22" s="91"/>
      <c r="P22" s="91"/>
      <c r="Q22" s="91"/>
      <c r="R22" s="91"/>
      <c r="S22" s="91"/>
      <c r="T22" s="287"/>
      <c r="U22" s="288"/>
    </row>
    <row r="23" spans="1:21" ht="12.6" customHeight="1">
      <c r="A23" s="284"/>
      <c r="B23" s="286"/>
      <c r="C23" s="292"/>
      <c r="D23" s="92"/>
      <c r="E23" s="92"/>
      <c r="F23" s="92"/>
      <c r="G23" s="92"/>
      <c r="H23" s="92"/>
      <c r="I23" s="92"/>
      <c r="J23" s="92"/>
      <c r="K23" s="92"/>
      <c r="L23" s="92"/>
      <c r="M23" s="92"/>
      <c r="N23" s="92"/>
      <c r="O23" s="92"/>
      <c r="P23" s="92"/>
      <c r="Q23" s="92"/>
      <c r="R23" s="92"/>
      <c r="S23" s="92"/>
      <c r="T23" s="289"/>
      <c r="U23" s="290"/>
    </row>
    <row r="24" spans="1:21" ht="12.6" customHeight="1">
      <c r="A24" s="283"/>
      <c r="B24" s="285"/>
      <c r="C24" s="291"/>
      <c r="D24" s="91"/>
      <c r="E24" s="91"/>
      <c r="F24" s="91"/>
      <c r="G24" s="91"/>
      <c r="H24" s="91"/>
      <c r="I24" s="91"/>
      <c r="J24" s="91"/>
      <c r="K24" s="91"/>
      <c r="L24" s="91"/>
      <c r="M24" s="91"/>
      <c r="N24" s="91"/>
      <c r="O24" s="91"/>
      <c r="P24" s="91"/>
      <c r="Q24" s="91"/>
      <c r="R24" s="91"/>
      <c r="S24" s="91"/>
      <c r="T24" s="287"/>
      <c r="U24" s="288"/>
    </row>
    <row r="25" spans="1:21" ht="12.6" customHeight="1">
      <c r="A25" s="284"/>
      <c r="B25" s="286"/>
      <c r="C25" s="292"/>
      <c r="D25" s="92"/>
      <c r="E25" s="92"/>
      <c r="F25" s="92"/>
      <c r="G25" s="92"/>
      <c r="H25" s="92"/>
      <c r="I25" s="92"/>
      <c r="J25" s="92"/>
      <c r="K25" s="92"/>
      <c r="L25" s="92"/>
      <c r="M25" s="92"/>
      <c r="N25" s="92"/>
      <c r="O25" s="92"/>
      <c r="P25" s="92"/>
      <c r="Q25" s="92"/>
      <c r="R25" s="92"/>
      <c r="S25" s="92"/>
      <c r="T25" s="289"/>
      <c r="U25" s="290"/>
    </row>
    <row r="26" spans="1:21" ht="12.6" customHeight="1">
      <c r="A26" s="283"/>
      <c r="B26" s="285"/>
      <c r="C26" s="291"/>
      <c r="D26" s="91"/>
      <c r="E26" s="91"/>
      <c r="F26" s="91"/>
      <c r="G26" s="91"/>
      <c r="H26" s="91"/>
      <c r="I26" s="91"/>
      <c r="J26" s="91"/>
      <c r="K26" s="91"/>
      <c r="L26" s="91"/>
      <c r="M26" s="91"/>
      <c r="N26" s="91"/>
      <c r="O26" s="91"/>
      <c r="P26" s="91"/>
      <c r="Q26" s="91"/>
      <c r="R26" s="91"/>
      <c r="S26" s="91"/>
      <c r="T26" s="287"/>
      <c r="U26" s="288"/>
    </row>
    <row r="27" spans="1:21" ht="12.6" customHeight="1">
      <c r="A27" s="284"/>
      <c r="B27" s="286"/>
      <c r="C27" s="292"/>
      <c r="D27" s="92"/>
      <c r="E27" s="92"/>
      <c r="F27" s="92"/>
      <c r="G27" s="92"/>
      <c r="H27" s="92"/>
      <c r="I27" s="92"/>
      <c r="J27" s="92"/>
      <c r="K27" s="92"/>
      <c r="L27" s="92"/>
      <c r="M27" s="92"/>
      <c r="N27" s="92"/>
      <c r="O27" s="92"/>
      <c r="P27" s="92"/>
      <c r="Q27" s="92"/>
      <c r="R27" s="92"/>
      <c r="S27" s="92"/>
      <c r="T27" s="289"/>
      <c r="U27" s="290"/>
    </row>
    <row r="28" spans="1:21" ht="12.6" customHeight="1">
      <c r="A28" s="283"/>
      <c r="B28" s="285"/>
      <c r="C28" s="291"/>
      <c r="D28" s="91"/>
      <c r="E28" s="91"/>
      <c r="F28" s="91"/>
      <c r="G28" s="91"/>
      <c r="H28" s="91"/>
      <c r="I28" s="91"/>
      <c r="J28" s="91"/>
      <c r="K28" s="91"/>
      <c r="L28" s="91"/>
      <c r="M28" s="91"/>
      <c r="N28" s="91"/>
      <c r="O28" s="91"/>
      <c r="P28" s="91"/>
      <c r="Q28" s="91"/>
      <c r="R28" s="91"/>
      <c r="S28" s="91"/>
      <c r="T28" s="287"/>
      <c r="U28" s="288"/>
    </row>
    <row r="29" spans="1:21" ht="12.6" customHeight="1">
      <c r="A29" s="284"/>
      <c r="B29" s="286"/>
      <c r="C29" s="292"/>
      <c r="D29" s="92"/>
      <c r="E29" s="92"/>
      <c r="F29" s="92"/>
      <c r="G29" s="92"/>
      <c r="H29" s="92"/>
      <c r="I29" s="92"/>
      <c r="J29" s="92"/>
      <c r="K29" s="92"/>
      <c r="L29" s="92"/>
      <c r="M29" s="92"/>
      <c r="N29" s="92"/>
      <c r="O29" s="92"/>
      <c r="P29" s="92"/>
      <c r="Q29" s="92"/>
      <c r="R29" s="92"/>
      <c r="S29" s="92"/>
      <c r="T29" s="289"/>
      <c r="U29" s="290"/>
    </row>
    <row r="30" spans="1:21" ht="12.6" customHeight="1">
      <c r="A30" s="283"/>
      <c r="B30" s="285"/>
      <c r="C30" s="291"/>
      <c r="D30" s="91"/>
      <c r="E30" s="91"/>
      <c r="F30" s="91"/>
      <c r="G30" s="91"/>
      <c r="H30" s="91"/>
      <c r="I30" s="91"/>
      <c r="J30" s="91"/>
      <c r="K30" s="91"/>
      <c r="L30" s="91"/>
      <c r="M30" s="91"/>
      <c r="N30" s="91"/>
      <c r="O30" s="91"/>
      <c r="P30" s="91"/>
      <c r="Q30" s="91"/>
      <c r="R30" s="91"/>
      <c r="S30" s="91"/>
      <c r="T30" s="287"/>
      <c r="U30" s="288"/>
    </row>
    <row r="31" spans="1:21" ht="12.6" customHeight="1">
      <c r="A31" s="284"/>
      <c r="B31" s="286"/>
      <c r="C31" s="292"/>
      <c r="D31" s="92"/>
      <c r="E31" s="92"/>
      <c r="F31" s="92"/>
      <c r="G31" s="92"/>
      <c r="H31" s="92"/>
      <c r="I31" s="92"/>
      <c r="J31" s="92"/>
      <c r="K31" s="92"/>
      <c r="L31" s="92"/>
      <c r="M31" s="92"/>
      <c r="N31" s="92"/>
      <c r="O31" s="92"/>
      <c r="P31" s="92"/>
      <c r="Q31" s="92"/>
      <c r="R31" s="92"/>
      <c r="S31" s="92"/>
      <c r="T31" s="289"/>
      <c r="U31" s="290"/>
    </row>
    <row r="32" spans="1:21" ht="12.6" customHeight="1">
      <c r="A32" s="283"/>
      <c r="B32" s="285"/>
      <c r="C32" s="291"/>
      <c r="D32" s="91"/>
      <c r="E32" s="91"/>
      <c r="F32" s="91"/>
      <c r="G32" s="91"/>
      <c r="H32" s="91"/>
      <c r="I32" s="91"/>
      <c r="J32" s="91"/>
      <c r="K32" s="91"/>
      <c r="L32" s="91"/>
      <c r="M32" s="91"/>
      <c r="N32" s="91"/>
      <c r="O32" s="91"/>
      <c r="P32" s="91"/>
      <c r="Q32" s="91"/>
      <c r="R32" s="91"/>
      <c r="S32" s="91"/>
      <c r="T32" s="287"/>
      <c r="U32" s="288"/>
    </row>
    <row r="33" spans="1:21" ht="12.6" customHeight="1">
      <c r="A33" s="284"/>
      <c r="B33" s="286"/>
      <c r="C33" s="292"/>
      <c r="D33" s="92"/>
      <c r="E33" s="92"/>
      <c r="F33" s="92"/>
      <c r="G33" s="92"/>
      <c r="H33" s="92"/>
      <c r="I33" s="92"/>
      <c r="J33" s="92"/>
      <c r="K33" s="92"/>
      <c r="L33" s="92"/>
      <c r="M33" s="92"/>
      <c r="N33" s="92"/>
      <c r="O33" s="92"/>
      <c r="P33" s="92"/>
      <c r="Q33" s="92"/>
      <c r="R33" s="92"/>
      <c r="S33" s="92"/>
      <c r="T33" s="289"/>
      <c r="U33" s="290"/>
    </row>
    <row r="34" spans="1:21" ht="12.6" customHeight="1">
      <c r="A34" s="283"/>
      <c r="B34" s="285"/>
      <c r="C34" s="291"/>
      <c r="D34" s="91"/>
      <c r="E34" s="91"/>
      <c r="F34" s="91"/>
      <c r="G34" s="91"/>
      <c r="H34" s="91"/>
      <c r="I34" s="91"/>
      <c r="J34" s="91"/>
      <c r="K34" s="91"/>
      <c r="L34" s="91"/>
      <c r="M34" s="91"/>
      <c r="N34" s="91"/>
      <c r="O34" s="91"/>
      <c r="P34" s="91"/>
      <c r="Q34" s="91"/>
      <c r="R34" s="91"/>
      <c r="S34" s="91"/>
      <c r="T34" s="287"/>
      <c r="U34" s="288"/>
    </row>
    <row r="35" spans="1:21" ht="12.6" customHeight="1">
      <c r="A35" s="284"/>
      <c r="B35" s="286"/>
      <c r="C35" s="292"/>
      <c r="D35" s="92"/>
      <c r="E35" s="92"/>
      <c r="F35" s="92"/>
      <c r="G35" s="92"/>
      <c r="H35" s="92"/>
      <c r="I35" s="92"/>
      <c r="J35" s="92"/>
      <c r="K35" s="92"/>
      <c r="L35" s="92"/>
      <c r="M35" s="92"/>
      <c r="N35" s="92"/>
      <c r="O35" s="92"/>
      <c r="P35" s="92"/>
      <c r="Q35" s="92"/>
      <c r="R35" s="92"/>
      <c r="S35" s="92"/>
      <c r="T35" s="289"/>
      <c r="U35" s="290"/>
    </row>
    <row r="36" spans="1:21" ht="12.6" customHeight="1">
      <c r="A36" s="283"/>
      <c r="B36" s="285"/>
      <c r="C36" s="291"/>
      <c r="D36" s="91"/>
      <c r="E36" s="91"/>
      <c r="F36" s="91"/>
      <c r="G36" s="91"/>
      <c r="H36" s="91"/>
      <c r="I36" s="91"/>
      <c r="J36" s="91"/>
      <c r="K36" s="91"/>
      <c r="L36" s="91"/>
      <c r="M36" s="91"/>
      <c r="N36" s="91"/>
      <c r="O36" s="91"/>
      <c r="P36" s="91"/>
      <c r="Q36" s="91"/>
      <c r="R36" s="91"/>
      <c r="S36" s="91"/>
      <c r="T36" s="287"/>
      <c r="U36" s="288"/>
    </row>
    <row r="37" spans="1:21" ht="12.6" customHeight="1">
      <c r="A37" s="284"/>
      <c r="B37" s="286"/>
      <c r="C37" s="292"/>
      <c r="D37" s="92"/>
      <c r="E37" s="92"/>
      <c r="F37" s="92"/>
      <c r="G37" s="92"/>
      <c r="H37" s="92"/>
      <c r="I37" s="92"/>
      <c r="J37" s="92"/>
      <c r="K37" s="92"/>
      <c r="L37" s="92"/>
      <c r="M37" s="92"/>
      <c r="N37" s="92"/>
      <c r="O37" s="92"/>
      <c r="P37" s="92"/>
      <c r="Q37" s="92"/>
      <c r="R37" s="92"/>
      <c r="S37" s="92"/>
      <c r="T37" s="289"/>
      <c r="U37" s="290"/>
    </row>
    <row r="38" spans="1:21" ht="12.6" customHeight="1">
      <c r="A38" s="283"/>
      <c r="B38" s="285"/>
      <c r="C38" s="291"/>
      <c r="D38" s="91"/>
      <c r="E38" s="91"/>
      <c r="F38" s="91"/>
      <c r="G38" s="91"/>
      <c r="H38" s="91"/>
      <c r="I38" s="91"/>
      <c r="J38" s="91"/>
      <c r="K38" s="91"/>
      <c r="L38" s="91"/>
      <c r="M38" s="91"/>
      <c r="N38" s="91"/>
      <c r="O38" s="91"/>
      <c r="P38" s="91"/>
      <c r="Q38" s="91"/>
      <c r="R38" s="91"/>
      <c r="S38" s="91"/>
      <c r="T38" s="287"/>
      <c r="U38" s="288"/>
    </row>
    <row r="39" spans="1:21" ht="12.6" customHeight="1" thickBot="1">
      <c r="A39" s="284"/>
      <c r="B39" s="286"/>
      <c r="C39" s="292"/>
      <c r="D39" s="92"/>
      <c r="E39" s="92"/>
      <c r="F39" s="92"/>
      <c r="G39" s="92"/>
      <c r="H39" s="92"/>
      <c r="I39" s="92"/>
      <c r="J39" s="92"/>
      <c r="K39" s="92"/>
      <c r="L39" s="92"/>
      <c r="M39" s="92"/>
      <c r="N39" s="92"/>
      <c r="O39" s="92"/>
      <c r="P39" s="92"/>
      <c r="Q39" s="92"/>
      <c r="R39" s="92"/>
      <c r="S39" s="92"/>
      <c r="T39" s="298"/>
      <c r="U39" s="299"/>
    </row>
    <row r="40" spans="1:21" s="88" customFormat="1" ht="30" customHeight="1" thickBot="1">
      <c r="A40" s="293" t="s">
        <v>663</v>
      </c>
      <c r="B40" s="294"/>
      <c r="C40" s="294"/>
      <c r="D40" s="294"/>
      <c r="E40" s="294"/>
      <c r="F40" s="294"/>
      <c r="G40" s="294"/>
      <c r="H40" s="295"/>
      <c r="I40" s="296" t="s">
        <v>664</v>
      </c>
      <c r="J40" s="296"/>
      <c r="K40" s="296"/>
      <c r="L40" s="93"/>
      <c r="M40" s="93"/>
      <c r="N40" s="296" t="s">
        <v>665</v>
      </c>
      <c r="O40" s="296"/>
      <c r="P40" s="296"/>
      <c r="Q40" s="93"/>
      <c r="R40" s="93"/>
      <c r="S40" s="93"/>
      <c r="T40" s="296" t="s">
        <v>666</v>
      </c>
      <c r="U40" s="297"/>
    </row>
  </sheetData>
  <mergeCells count="83">
    <mergeCell ref="A40:H40"/>
    <mergeCell ref="I40:K40"/>
    <mergeCell ref="N40:P40"/>
    <mergeCell ref="T40:U40"/>
    <mergeCell ref="A36:A37"/>
    <mergeCell ref="B36:B37"/>
    <mergeCell ref="C36:C37"/>
    <mergeCell ref="T36:U37"/>
    <mergeCell ref="A38:A39"/>
    <mergeCell ref="B38:B39"/>
    <mergeCell ref="C38:C39"/>
    <mergeCell ref="T38:U39"/>
    <mergeCell ref="A32:A33"/>
    <mergeCell ref="B32:B33"/>
    <mergeCell ref="C32:C33"/>
    <mergeCell ref="T32:U33"/>
    <mergeCell ref="A34:A35"/>
    <mergeCell ref="B34:B35"/>
    <mergeCell ref="C34:C35"/>
    <mergeCell ref="T34:U35"/>
    <mergeCell ref="A28:A29"/>
    <mergeCell ref="B28:B29"/>
    <mergeCell ref="C28:C29"/>
    <mergeCell ref="T28:U29"/>
    <mergeCell ref="A30:A31"/>
    <mergeCell ref="B30:B31"/>
    <mergeCell ref="C30:C31"/>
    <mergeCell ref="T30:U31"/>
    <mergeCell ref="A24:A25"/>
    <mergeCell ref="B24:B25"/>
    <mergeCell ref="C24:C25"/>
    <mergeCell ref="T24:U25"/>
    <mergeCell ref="A26:A27"/>
    <mergeCell ref="B26:B27"/>
    <mergeCell ref="C26:C27"/>
    <mergeCell ref="T26:U27"/>
    <mergeCell ref="A20:A21"/>
    <mergeCell ref="B20:B21"/>
    <mergeCell ref="C20:C21"/>
    <mergeCell ref="T20:U21"/>
    <mergeCell ref="A22:A23"/>
    <mergeCell ref="B22:B23"/>
    <mergeCell ref="C22:C23"/>
    <mergeCell ref="T22:U23"/>
    <mergeCell ref="A16:A17"/>
    <mergeCell ref="B16:B17"/>
    <mergeCell ref="C16:C17"/>
    <mergeCell ref="T16:U17"/>
    <mergeCell ref="A18:A19"/>
    <mergeCell ref="B18:B19"/>
    <mergeCell ref="C18:C19"/>
    <mergeCell ref="T18:U19"/>
    <mergeCell ref="A12:A13"/>
    <mergeCell ref="B12:B13"/>
    <mergeCell ref="C12:C13"/>
    <mergeCell ref="T12:U13"/>
    <mergeCell ref="A14:A15"/>
    <mergeCell ref="B14:B15"/>
    <mergeCell ref="C14:C15"/>
    <mergeCell ref="T14:U15"/>
    <mergeCell ref="A8:A9"/>
    <mergeCell ref="B8:B9"/>
    <mergeCell ref="C8:C9"/>
    <mergeCell ref="T8:U9"/>
    <mergeCell ref="A10:A11"/>
    <mergeCell ref="B10:B11"/>
    <mergeCell ref="C10:C11"/>
    <mergeCell ref="T10:U11"/>
    <mergeCell ref="A4:A5"/>
    <mergeCell ref="B4:B5"/>
    <mergeCell ref="C4:C5"/>
    <mergeCell ref="T4:U5"/>
    <mergeCell ref="A6:A7"/>
    <mergeCell ref="B6:B7"/>
    <mergeCell ref="C6:C7"/>
    <mergeCell ref="T6:U7"/>
    <mergeCell ref="A1:B1"/>
    <mergeCell ref="C1:P1"/>
    <mergeCell ref="Q1:U1"/>
    <mergeCell ref="A2:A3"/>
    <mergeCell ref="B2:B3"/>
    <mergeCell ref="C2:C3"/>
    <mergeCell ref="T2:U3"/>
  </mergeCells>
  <printOptions horizontalCentered="1" verticalCentered="1"/>
  <pageMargins left="0.39370078740157499" right="0.39370078740157499" top="0.39370078740157499" bottom="0.59055118110236204" header="0.31496062992126" footer="0.31496062992126"/>
  <pageSetup paperSize="9" scale="97" orientation="landscape" r:id="rId1"/>
  <headerFooter alignWithMargins="0">
    <oddFooter>&amp;L&amp;"Arial,Regular"&amp;10Retention Period：1 Year
1204_20161101_1&amp;C&amp;"Arial,Regular"&amp;10MAXXIS RUBBER INDIA PVT.LTD.  &amp;"新細明體,Regular"   &amp;"Times New Roman,Regular"&amp;12                     &amp;R&amp;"Arial,Regular"&amp;10A4 No.1204</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pageSetUpPr fitToPage="1"/>
  </sheetPr>
  <dimension ref="A1:U35"/>
  <sheetViews>
    <sheetView view="pageBreakPreview" zoomScale="70" zoomScaleNormal="100" zoomScaleSheetLayoutView="70" workbookViewId="0">
      <selection activeCell="K27" sqref="K27"/>
    </sheetView>
  </sheetViews>
  <sheetFormatPr defaultColWidth="9.109375" defaultRowHeight="14.4"/>
  <cols>
    <col min="1" max="1" width="9.109375" style="94"/>
    <col min="2" max="20" width="9.88671875" style="94" customWidth="1"/>
    <col min="21" max="16384" width="9.109375" style="94"/>
  </cols>
  <sheetData>
    <row r="1" spans="1:21" ht="32.25" customHeight="1">
      <c r="A1" s="300" t="s">
        <v>667</v>
      </c>
      <c r="B1" s="301"/>
      <c r="C1" s="301"/>
      <c r="D1" s="301"/>
      <c r="E1" s="301"/>
      <c r="F1" s="301"/>
      <c r="G1" s="301"/>
      <c r="H1" s="301"/>
      <c r="I1" s="301"/>
      <c r="J1" s="301"/>
      <c r="K1" s="301"/>
      <c r="L1" s="301"/>
      <c r="M1" s="301"/>
      <c r="N1" s="301"/>
      <c r="O1" s="301"/>
      <c r="P1" s="301"/>
      <c r="Q1" s="301"/>
      <c r="R1" s="301"/>
      <c r="S1" s="301"/>
      <c r="T1" s="301"/>
    </row>
    <row r="2" spans="1:21" s="97" customFormat="1" ht="33" customHeight="1">
      <c r="A2" s="302" t="s">
        <v>668</v>
      </c>
      <c r="B2" s="302"/>
      <c r="C2" s="95"/>
      <c r="D2" s="95" t="s">
        <v>710</v>
      </c>
      <c r="E2" s="95"/>
      <c r="F2" s="95"/>
      <c r="G2" s="95"/>
      <c r="H2" s="302" t="s">
        <v>711</v>
      </c>
      <c r="I2" s="302"/>
      <c r="J2" s="302"/>
      <c r="K2" s="302"/>
      <c r="L2" s="302"/>
      <c r="M2" s="302"/>
      <c r="N2" s="95"/>
      <c r="O2" s="95"/>
      <c r="P2" s="95"/>
      <c r="Q2" s="302" t="s">
        <v>712</v>
      </c>
      <c r="R2" s="302"/>
      <c r="S2" s="302"/>
      <c r="T2" s="96"/>
    </row>
    <row r="3" spans="1:21" ht="5.0999999999999996" customHeight="1"/>
    <row r="4" spans="1:21" s="97" customFormat="1" ht="60" customHeight="1">
      <c r="A4" s="98" t="s">
        <v>669</v>
      </c>
      <c r="B4" s="99" t="s">
        <v>670</v>
      </c>
      <c r="C4" s="99" t="s">
        <v>671</v>
      </c>
      <c r="D4" s="99" t="s">
        <v>672</v>
      </c>
      <c r="E4" s="139" t="s">
        <v>673</v>
      </c>
      <c r="F4" s="100"/>
      <c r="G4" s="100"/>
      <c r="H4" s="100"/>
      <c r="I4" s="100"/>
      <c r="J4" s="100"/>
      <c r="K4" s="100"/>
      <c r="L4" s="100"/>
      <c r="M4" s="100"/>
      <c r="N4" s="100"/>
      <c r="O4" s="99"/>
      <c r="P4" s="99"/>
      <c r="Q4" s="99"/>
      <c r="R4" s="99"/>
      <c r="S4" s="99"/>
      <c r="T4" s="99"/>
    </row>
    <row r="5" spans="1:21" ht="21" customHeight="1">
      <c r="A5" s="101">
        <v>1</v>
      </c>
      <c r="B5" s="102"/>
      <c r="C5" s="102"/>
      <c r="D5" s="102"/>
      <c r="E5" s="102"/>
      <c r="F5" s="102"/>
      <c r="G5" s="102"/>
      <c r="H5" s="102"/>
      <c r="I5" s="102"/>
      <c r="J5" s="102"/>
      <c r="K5" s="102"/>
      <c r="L5" s="102"/>
      <c r="M5" s="102"/>
      <c r="N5" s="102"/>
      <c r="O5" s="102"/>
      <c r="P5" s="102"/>
      <c r="Q5" s="102"/>
      <c r="R5" s="102"/>
      <c r="S5" s="102"/>
      <c r="T5" s="102"/>
    </row>
    <row r="6" spans="1:21" ht="21" customHeight="1">
      <c r="A6" s="101">
        <v>2</v>
      </c>
      <c r="B6" s="102"/>
      <c r="C6" s="102"/>
      <c r="D6" s="102"/>
      <c r="E6" s="102"/>
      <c r="F6" s="102"/>
      <c r="G6" s="102"/>
      <c r="H6" s="102"/>
      <c r="I6" s="102"/>
      <c r="J6" s="102"/>
      <c r="K6" s="102"/>
      <c r="L6" s="102"/>
      <c r="M6" s="102"/>
      <c r="N6" s="102"/>
      <c r="O6" s="102"/>
      <c r="P6" s="102"/>
      <c r="Q6" s="102"/>
      <c r="R6" s="102"/>
      <c r="S6" s="102"/>
      <c r="T6" s="102"/>
    </row>
    <row r="7" spans="1:21" ht="21" customHeight="1">
      <c r="A7" s="101">
        <v>3</v>
      </c>
      <c r="B7" s="102"/>
      <c r="C7" s="102"/>
      <c r="D7" s="102"/>
      <c r="E7" s="102"/>
      <c r="F7" s="102"/>
      <c r="G7" s="102"/>
      <c r="H7" s="102"/>
      <c r="I7" s="102"/>
      <c r="J7" s="102"/>
      <c r="K7" s="102"/>
      <c r="L7" s="102"/>
      <c r="M7" s="102"/>
      <c r="N7" s="102"/>
      <c r="O7" s="102"/>
      <c r="P7" s="102"/>
      <c r="Q7" s="102"/>
      <c r="R7" s="102"/>
      <c r="S7" s="102"/>
      <c r="T7" s="102"/>
    </row>
    <row r="8" spans="1:21" ht="21" customHeight="1">
      <c r="A8" s="101">
        <v>4</v>
      </c>
      <c r="B8" s="102"/>
      <c r="C8" s="102"/>
      <c r="D8" s="102"/>
      <c r="E8" s="102"/>
      <c r="F8" s="102"/>
      <c r="G8" s="102"/>
      <c r="H8" s="102"/>
      <c r="I8" s="102"/>
      <c r="J8" s="102"/>
      <c r="K8" s="102"/>
      <c r="L8" s="102"/>
      <c r="M8" s="102"/>
      <c r="N8" s="102"/>
      <c r="O8" s="102"/>
      <c r="P8" s="102"/>
      <c r="Q8" s="102"/>
      <c r="R8" s="102"/>
      <c r="S8" s="102"/>
      <c r="T8" s="102"/>
    </row>
    <row r="9" spans="1:21" ht="21" customHeight="1">
      <c r="A9" s="101">
        <v>5</v>
      </c>
      <c r="B9" s="102"/>
      <c r="C9" s="102"/>
      <c r="D9" s="102"/>
      <c r="E9" s="102"/>
      <c r="F9" s="102"/>
      <c r="G9" s="102"/>
      <c r="H9" s="102"/>
      <c r="I9" s="102"/>
      <c r="J9" s="102"/>
      <c r="K9" s="102"/>
      <c r="L9" s="102"/>
      <c r="M9" s="102"/>
      <c r="N9" s="102"/>
      <c r="O9" s="102"/>
      <c r="P9" s="102"/>
      <c r="Q9" s="102"/>
      <c r="R9" s="102"/>
      <c r="S9" s="102"/>
      <c r="T9" s="102"/>
    </row>
    <row r="10" spans="1:21" ht="21" customHeight="1">
      <c r="A10" s="101">
        <v>6</v>
      </c>
      <c r="B10" s="102"/>
      <c r="C10" s="102"/>
      <c r="D10" s="102"/>
      <c r="E10" s="102"/>
      <c r="F10" s="102"/>
      <c r="G10" s="102"/>
      <c r="H10" s="102"/>
      <c r="I10" s="102"/>
      <c r="J10" s="102"/>
      <c r="K10" s="102"/>
      <c r="L10" s="102"/>
      <c r="M10" s="102"/>
      <c r="N10" s="102"/>
      <c r="O10" s="102"/>
      <c r="P10" s="102"/>
      <c r="Q10" s="102"/>
      <c r="R10" s="102"/>
      <c r="S10" s="102"/>
      <c r="T10" s="102"/>
      <c r="U10" s="94" t="s">
        <v>713</v>
      </c>
    </row>
    <row r="11" spans="1:21" ht="21" customHeight="1">
      <c r="A11" s="101">
        <v>7</v>
      </c>
      <c r="B11" s="102"/>
      <c r="C11" s="102"/>
      <c r="D11" s="102"/>
      <c r="E11" s="102"/>
      <c r="F11" s="102"/>
      <c r="G11" s="102"/>
      <c r="H11" s="102"/>
      <c r="I11" s="102"/>
      <c r="J11" s="102"/>
      <c r="K11" s="102"/>
      <c r="L11" s="102"/>
      <c r="M11" s="102"/>
      <c r="N11" s="102"/>
      <c r="O11" s="102"/>
      <c r="P11" s="102"/>
      <c r="Q11" s="102"/>
      <c r="R11" s="102"/>
      <c r="S11" s="102"/>
      <c r="T11" s="102"/>
    </row>
    <row r="12" spans="1:21" ht="21" customHeight="1">
      <c r="A12" s="101">
        <v>8</v>
      </c>
      <c r="B12" s="102"/>
      <c r="C12" s="102"/>
      <c r="D12" s="102"/>
      <c r="E12" s="102"/>
      <c r="F12" s="102"/>
      <c r="G12" s="102"/>
      <c r="H12" s="102"/>
      <c r="I12" s="102"/>
      <c r="J12" s="102"/>
      <c r="K12" s="102"/>
      <c r="L12" s="102"/>
      <c r="M12" s="102"/>
      <c r="N12" s="102"/>
      <c r="O12" s="102"/>
      <c r="P12" s="102"/>
      <c r="Q12" s="102"/>
      <c r="R12" s="102"/>
      <c r="S12" s="102"/>
      <c r="T12" s="102"/>
    </row>
    <row r="13" spans="1:21" ht="21" customHeight="1">
      <c r="A13" s="101">
        <v>9</v>
      </c>
      <c r="B13" s="102"/>
      <c r="C13" s="102"/>
      <c r="D13" s="102"/>
      <c r="E13" s="102"/>
      <c r="F13" s="102"/>
      <c r="G13" s="102"/>
      <c r="H13" s="102"/>
      <c r="I13" s="102"/>
      <c r="J13" s="102"/>
      <c r="K13" s="102"/>
      <c r="L13" s="102"/>
      <c r="M13" s="102"/>
      <c r="N13" s="102"/>
      <c r="O13" s="102"/>
      <c r="P13" s="102"/>
      <c r="Q13" s="102"/>
      <c r="R13" s="102"/>
      <c r="S13" s="102"/>
      <c r="T13" s="102"/>
    </row>
    <row r="14" spans="1:21" ht="21" customHeight="1">
      <c r="A14" s="101">
        <v>10</v>
      </c>
      <c r="B14" s="102"/>
      <c r="C14" s="102"/>
      <c r="D14" s="102"/>
      <c r="E14" s="102"/>
      <c r="F14" s="102"/>
      <c r="G14" s="102"/>
      <c r="H14" s="102"/>
      <c r="I14" s="102"/>
      <c r="J14" s="102"/>
      <c r="K14" s="102"/>
      <c r="L14" s="102"/>
      <c r="M14" s="102"/>
      <c r="N14" s="102"/>
      <c r="O14" s="102"/>
      <c r="P14" s="102"/>
      <c r="Q14" s="102"/>
      <c r="R14" s="102"/>
      <c r="S14" s="102"/>
      <c r="T14" s="102"/>
    </row>
    <row r="15" spans="1:21" ht="21" customHeight="1">
      <c r="A15" s="101">
        <v>11</v>
      </c>
      <c r="B15" s="102"/>
      <c r="C15" s="102"/>
      <c r="D15" s="102"/>
      <c r="E15" s="102"/>
      <c r="F15" s="102"/>
      <c r="G15" s="102"/>
      <c r="H15" s="102"/>
      <c r="I15" s="102"/>
      <c r="J15" s="102"/>
      <c r="K15" s="102"/>
      <c r="L15" s="102"/>
      <c r="M15" s="102"/>
      <c r="N15" s="102"/>
      <c r="O15" s="102"/>
      <c r="P15" s="102"/>
      <c r="Q15" s="102"/>
      <c r="R15" s="102"/>
      <c r="S15" s="102"/>
      <c r="T15" s="102"/>
    </row>
    <row r="16" spans="1:21" ht="21" customHeight="1">
      <c r="A16" s="101">
        <v>12</v>
      </c>
      <c r="B16" s="102"/>
      <c r="C16" s="102"/>
      <c r="D16" s="102"/>
      <c r="E16" s="102"/>
      <c r="F16" s="102"/>
      <c r="G16" s="102"/>
      <c r="H16" s="102"/>
      <c r="I16" s="102"/>
      <c r="J16" s="102"/>
      <c r="K16" s="102"/>
      <c r="L16" s="102"/>
      <c r="M16" s="102"/>
      <c r="N16" s="102"/>
      <c r="O16" s="102"/>
      <c r="P16" s="102"/>
      <c r="Q16" s="102"/>
      <c r="R16" s="102"/>
      <c r="S16" s="102"/>
      <c r="T16" s="102"/>
    </row>
    <row r="17" spans="1:21" ht="21" customHeight="1">
      <c r="A17" s="101">
        <v>13</v>
      </c>
      <c r="B17" s="102"/>
      <c r="C17" s="102"/>
      <c r="D17" s="102"/>
      <c r="E17" s="102"/>
      <c r="F17" s="102"/>
      <c r="G17" s="102"/>
      <c r="H17" s="102"/>
      <c r="I17" s="102"/>
      <c r="J17" s="102"/>
      <c r="K17" s="102"/>
      <c r="L17" s="102"/>
      <c r="M17" s="102"/>
      <c r="N17" s="102"/>
      <c r="O17" s="102"/>
      <c r="P17" s="102"/>
      <c r="Q17" s="102"/>
      <c r="R17" s="102"/>
      <c r="S17" s="102"/>
      <c r="T17" s="102"/>
    </row>
    <row r="18" spans="1:21" ht="21" customHeight="1">
      <c r="A18" s="101">
        <v>14</v>
      </c>
      <c r="B18" s="102"/>
      <c r="C18" s="102"/>
      <c r="D18" s="102"/>
      <c r="E18" s="102"/>
      <c r="F18" s="102"/>
      <c r="G18" s="102"/>
      <c r="H18" s="102"/>
      <c r="I18" s="102"/>
      <c r="J18" s="102"/>
      <c r="K18" s="102"/>
      <c r="L18" s="102"/>
      <c r="M18" s="102"/>
      <c r="N18" s="102"/>
      <c r="O18" s="102"/>
      <c r="P18" s="102"/>
      <c r="Q18" s="102"/>
      <c r="R18" s="102"/>
      <c r="S18" s="102"/>
      <c r="T18" s="102"/>
    </row>
    <row r="19" spans="1:21" ht="21" customHeight="1">
      <c r="A19" s="101">
        <v>15</v>
      </c>
      <c r="B19" s="102"/>
      <c r="C19" s="102"/>
      <c r="D19" s="102"/>
      <c r="E19" s="102"/>
      <c r="F19" s="102"/>
      <c r="G19" s="102"/>
      <c r="H19" s="102"/>
      <c r="I19" s="102"/>
      <c r="J19" s="102"/>
      <c r="K19" s="102"/>
      <c r="L19" s="102"/>
      <c r="M19" s="102"/>
      <c r="N19" s="102"/>
      <c r="O19" s="102"/>
      <c r="P19" s="102"/>
      <c r="Q19" s="102"/>
      <c r="R19" s="102"/>
      <c r="S19" s="102"/>
      <c r="T19" s="102"/>
    </row>
    <row r="20" spans="1:21" ht="21" customHeight="1">
      <c r="A20" s="101">
        <v>16</v>
      </c>
      <c r="B20" s="102"/>
      <c r="C20" s="102"/>
      <c r="D20" s="102"/>
      <c r="E20" s="102"/>
      <c r="F20" s="102"/>
      <c r="G20" s="102"/>
      <c r="H20" s="102"/>
      <c r="I20" s="102"/>
      <c r="J20" s="102"/>
      <c r="K20" s="102"/>
      <c r="L20" s="102"/>
      <c r="M20" s="102"/>
      <c r="N20" s="102"/>
      <c r="O20" s="102"/>
      <c r="P20" s="102"/>
      <c r="Q20" s="102"/>
      <c r="R20" s="102"/>
      <c r="S20" s="102"/>
      <c r="T20" s="102"/>
    </row>
    <row r="21" spans="1:21" ht="21" customHeight="1">
      <c r="A21" s="101">
        <v>17</v>
      </c>
      <c r="B21" s="102"/>
      <c r="C21" s="102"/>
      <c r="D21" s="102"/>
      <c r="E21" s="102"/>
      <c r="F21" s="102"/>
      <c r="G21" s="102"/>
      <c r="H21" s="102"/>
      <c r="I21" s="102"/>
      <c r="J21" s="102"/>
      <c r="K21" s="102"/>
      <c r="L21" s="102"/>
      <c r="M21" s="102"/>
      <c r="N21" s="102"/>
      <c r="O21" s="102"/>
      <c r="P21" s="102"/>
      <c r="Q21" s="102"/>
      <c r="R21" s="102"/>
      <c r="S21" s="102"/>
      <c r="T21" s="102"/>
    </row>
    <row r="22" spans="1:21" ht="21" customHeight="1">
      <c r="A22" s="101">
        <v>18</v>
      </c>
      <c r="B22" s="102"/>
      <c r="C22" s="102"/>
      <c r="D22" s="102"/>
      <c r="E22" s="102"/>
      <c r="F22" s="102"/>
      <c r="G22" s="102"/>
      <c r="H22" s="102"/>
      <c r="I22" s="102"/>
      <c r="J22" s="102"/>
      <c r="K22" s="102"/>
      <c r="L22" s="102"/>
      <c r="M22" s="102"/>
      <c r="N22" s="102"/>
      <c r="O22" s="102"/>
      <c r="P22" s="102"/>
      <c r="Q22" s="102"/>
      <c r="R22" s="102"/>
      <c r="S22" s="102"/>
      <c r="T22" s="102"/>
    </row>
    <row r="23" spans="1:21" ht="21" customHeight="1">
      <c r="A23" s="101">
        <v>19</v>
      </c>
      <c r="B23" s="102"/>
      <c r="C23" s="102"/>
      <c r="D23" s="102"/>
      <c r="E23" s="102"/>
      <c r="F23" s="102"/>
      <c r="G23" s="102"/>
      <c r="H23" s="102"/>
      <c r="I23" s="102"/>
      <c r="J23" s="102"/>
      <c r="K23" s="102"/>
      <c r="L23" s="102"/>
      <c r="M23" s="102"/>
      <c r="N23" s="102"/>
      <c r="O23" s="102"/>
      <c r="P23" s="102"/>
      <c r="Q23" s="102"/>
      <c r="R23" s="102"/>
      <c r="S23" s="102"/>
      <c r="T23" s="102"/>
    </row>
    <row r="24" spans="1:21" ht="21" customHeight="1">
      <c r="A24" s="101">
        <v>20</v>
      </c>
      <c r="B24" s="102"/>
      <c r="C24" s="102"/>
      <c r="D24" s="102"/>
      <c r="E24" s="102"/>
      <c r="F24" s="102"/>
      <c r="G24" s="102"/>
      <c r="H24" s="102"/>
      <c r="I24" s="102"/>
      <c r="J24" s="102"/>
      <c r="K24" s="102"/>
      <c r="L24" s="102"/>
      <c r="M24" s="102"/>
      <c r="N24" s="102"/>
      <c r="O24" s="102"/>
      <c r="P24" s="102"/>
      <c r="Q24" s="102"/>
      <c r="R24" s="102"/>
      <c r="S24" s="102"/>
      <c r="T24" s="102"/>
    </row>
    <row r="25" spans="1:21" ht="21" customHeight="1">
      <c r="A25" s="101">
        <v>21</v>
      </c>
      <c r="B25" s="102"/>
      <c r="C25" s="102"/>
      <c r="D25" s="102"/>
      <c r="E25" s="102"/>
      <c r="F25" s="102"/>
      <c r="G25" s="102"/>
      <c r="H25" s="102"/>
      <c r="I25" s="102"/>
      <c r="J25" s="102"/>
      <c r="K25" s="102"/>
      <c r="L25" s="102"/>
      <c r="M25" s="102"/>
      <c r="N25" s="102"/>
      <c r="O25" s="102"/>
      <c r="P25" s="102"/>
      <c r="Q25" s="102"/>
      <c r="R25" s="102"/>
      <c r="S25" s="102"/>
      <c r="T25" s="102"/>
      <c r="U25" s="94" t="s">
        <v>713</v>
      </c>
    </row>
    <row r="26" spans="1:21" ht="21" customHeight="1">
      <c r="A26" s="101">
        <v>22</v>
      </c>
      <c r="B26" s="102"/>
      <c r="C26" s="102"/>
      <c r="D26" s="102"/>
      <c r="E26" s="102"/>
      <c r="F26" s="102"/>
      <c r="G26" s="102"/>
      <c r="H26" s="102"/>
      <c r="I26" s="102"/>
      <c r="J26" s="102"/>
      <c r="K26" s="102"/>
      <c r="L26" s="102"/>
      <c r="M26" s="102"/>
      <c r="N26" s="102"/>
      <c r="O26" s="102"/>
      <c r="P26" s="102"/>
      <c r="Q26" s="102"/>
      <c r="R26" s="102"/>
      <c r="S26" s="102"/>
      <c r="T26" s="102"/>
    </row>
    <row r="27" spans="1:21" ht="21" customHeight="1">
      <c r="A27" s="101">
        <v>23</v>
      </c>
      <c r="B27" s="102"/>
      <c r="C27" s="102"/>
      <c r="D27" s="102"/>
      <c r="E27" s="102"/>
      <c r="F27" s="102"/>
      <c r="G27" s="102"/>
      <c r="H27" s="102"/>
      <c r="I27" s="102"/>
      <c r="J27" s="102"/>
      <c r="K27" s="102"/>
      <c r="L27" s="102"/>
      <c r="M27" s="102"/>
      <c r="N27" s="102"/>
      <c r="O27" s="102"/>
      <c r="P27" s="102"/>
      <c r="Q27" s="102"/>
      <c r="R27" s="102"/>
      <c r="S27" s="102"/>
      <c r="T27" s="102"/>
    </row>
    <row r="28" spans="1:21" ht="21" customHeight="1">
      <c r="A28" s="101">
        <v>24</v>
      </c>
      <c r="B28" s="102"/>
      <c r="C28" s="102"/>
      <c r="D28" s="102"/>
      <c r="E28" s="102"/>
      <c r="F28" s="102"/>
      <c r="G28" s="102"/>
      <c r="H28" s="102"/>
      <c r="I28" s="102"/>
      <c r="J28" s="102"/>
      <c r="K28" s="102"/>
      <c r="L28" s="102"/>
      <c r="M28" s="102"/>
      <c r="N28" s="102"/>
      <c r="O28" s="102"/>
      <c r="P28" s="102"/>
      <c r="Q28" s="102"/>
      <c r="R28" s="102"/>
      <c r="S28" s="102"/>
      <c r="T28" s="102"/>
    </row>
    <row r="29" spans="1:21" ht="21" customHeight="1">
      <c r="A29" s="101">
        <v>25</v>
      </c>
      <c r="B29" s="102"/>
      <c r="C29" s="102"/>
      <c r="D29" s="102"/>
      <c r="E29" s="102"/>
      <c r="F29" s="102"/>
      <c r="G29" s="102"/>
      <c r="H29" s="102"/>
      <c r="I29" s="102"/>
      <c r="J29" s="102"/>
      <c r="K29" s="102"/>
      <c r="L29" s="102"/>
      <c r="M29" s="102"/>
      <c r="N29" s="102"/>
      <c r="O29" s="102"/>
      <c r="P29" s="102"/>
      <c r="Q29" s="102"/>
      <c r="R29" s="102"/>
      <c r="S29" s="102"/>
      <c r="T29" s="102"/>
    </row>
    <row r="30" spans="1:21" ht="21" customHeight="1">
      <c r="A30" s="101">
        <v>26</v>
      </c>
      <c r="B30" s="102"/>
      <c r="C30" s="102"/>
      <c r="D30" s="102"/>
      <c r="E30" s="102"/>
      <c r="F30" s="102"/>
      <c r="G30" s="102"/>
      <c r="H30" s="102"/>
      <c r="I30" s="102"/>
      <c r="J30" s="102"/>
      <c r="K30" s="102"/>
      <c r="L30" s="102"/>
      <c r="M30" s="102"/>
      <c r="N30" s="102"/>
      <c r="O30" s="102"/>
      <c r="P30" s="102"/>
      <c r="Q30" s="102"/>
      <c r="R30" s="102"/>
      <c r="S30" s="102"/>
      <c r="T30" s="102"/>
    </row>
    <row r="31" spans="1:21" ht="21" customHeight="1">
      <c r="A31" s="101">
        <v>27</v>
      </c>
      <c r="B31" s="102"/>
      <c r="C31" s="102"/>
      <c r="D31" s="102"/>
      <c r="E31" s="102"/>
      <c r="F31" s="102"/>
      <c r="G31" s="102"/>
      <c r="H31" s="102"/>
      <c r="I31" s="102"/>
      <c r="J31" s="102"/>
      <c r="K31" s="102"/>
      <c r="L31" s="102"/>
      <c r="M31" s="102"/>
      <c r="N31" s="102"/>
      <c r="O31" s="102"/>
      <c r="P31" s="102"/>
      <c r="Q31" s="102"/>
      <c r="R31" s="102"/>
      <c r="S31" s="102"/>
      <c r="T31" s="102"/>
    </row>
    <row r="32" spans="1:21" ht="21" customHeight="1">
      <c r="A32" s="101">
        <v>28</v>
      </c>
      <c r="B32" s="102"/>
      <c r="C32" s="102"/>
      <c r="D32" s="102"/>
      <c r="E32" s="102"/>
      <c r="F32" s="102"/>
      <c r="G32" s="102"/>
      <c r="H32" s="102"/>
      <c r="I32" s="102"/>
      <c r="J32" s="102"/>
      <c r="K32" s="102"/>
      <c r="L32" s="102"/>
      <c r="M32" s="102"/>
      <c r="N32" s="102"/>
      <c r="O32" s="102"/>
      <c r="P32" s="102"/>
      <c r="Q32" s="102"/>
      <c r="R32" s="102"/>
      <c r="S32" s="102"/>
      <c r="T32" s="102"/>
    </row>
    <row r="33" spans="1:20" ht="21" customHeight="1">
      <c r="A33" s="101">
        <v>29</v>
      </c>
      <c r="B33" s="102"/>
      <c r="C33" s="102"/>
      <c r="D33" s="102"/>
      <c r="E33" s="102"/>
      <c r="F33" s="102"/>
      <c r="G33" s="102"/>
      <c r="H33" s="102"/>
      <c r="I33" s="102"/>
      <c r="J33" s="102"/>
      <c r="K33" s="102"/>
      <c r="L33" s="102"/>
      <c r="M33" s="102"/>
      <c r="N33" s="102"/>
      <c r="O33" s="102"/>
      <c r="P33" s="102"/>
      <c r="Q33" s="102"/>
      <c r="R33" s="102"/>
      <c r="S33" s="102"/>
      <c r="T33" s="102"/>
    </row>
    <row r="34" spans="1:20" ht="21" customHeight="1">
      <c r="A34" s="101">
        <v>30</v>
      </c>
      <c r="B34" s="102"/>
      <c r="C34" s="102"/>
      <c r="D34" s="102"/>
      <c r="E34" s="102"/>
      <c r="F34" s="102"/>
      <c r="G34" s="102"/>
      <c r="H34" s="102"/>
      <c r="I34" s="102"/>
      <c r="J34" s="102"/>
      <c r="K34" s="102"/>
      <c r="L34" s="102"/>
      <c r="M34" s="102"/>
      <c r="N34" s="102"/>
      <c r="O34" s="102"/>
      <c r="P34" s="102"/>
      <c r="Q34" s="102"/>
      <c r="R34" s="102"/>
      <c r="S34" s="102"/>
      <c r="T34" s="102"/>
    </row>
    <row r="35" spans="1:20" ht="21" customHeight="1">
      <c r="A35" s="101">
        <v>31</v>
      </c>
      <c r="B35" s="102"/>
      <c r="C35" s="102"/>
      <c r="D35" s="102"/>
      <c r="E35" s="102"/>
      <c r="F35" s="102"/>
      <c r="G35" s="102"/>
      <c r="H35" s="102"/>
      <c r="I35" s="102"/>
      <c r="J35" s="102"/>
      <c r="K35" s="102"/>
      <c r="L35" s="102"/>
      <c r="M35" s="102"/>
      <c r="N35" s="102"/>
      <c r="O35" s="102"/>
      <c r="P35" s="102"/>
      <c r="Q35" s="102"/>
      <c r="R35" s="102"/>
      <c r="S35" s="102"/>
      <c r="T35" s="102"/>
    </row>
  </sheetData>
  <mergeCells count="4">
    <mergeCell ref="A1:T1"/>
    <mergeCell ref="A2:B2"/>
    <mergeCell ref="H2:M2"/>
    <mergeCell ref="Q2:S2"/>
  </mergeCells>
  <printOptions horizontalCentered="1"/>
  <pageMargins left="1.1811023622047245" right="1.1811023622047245" top="0.39370078740157483" bottom="0.59055118110236227" header="0.27559055118110237" footer="0.27559055118110237"/>
  <pageSetup paperSize="9" scale="67" orientation="landscape" r:id="rId1"/>
  <headerFooter>
    <oddFooter>&amp;L&amp;"Arial,Regular"&amp;12Retention Period: 1 Year
0121_20180928_2&amp;C&amp;"Arial,Regular"&amp;12MAXXIS RUBBER INDIA PVT.LTD.&amp;R&amp;"Arial,Regular"&amp;12A4 / A3 No.0121</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theme="4" tint="-0.499984740745262"/>
  </sheetPr>
  <dimension ref="A1:AW34"/>
  <sheetViews>
    <sheetView view="pageBreakPreview" topLeftCell="A16" zoomScale="110" zoomScaleNormal="100" zoomScaleSheetLayoutView="110" workbookViewId="0">
      <selection activeCell="R31" sqref="R31"/>
    </sheetView>
  </sheetViews>
  <sheetFormatPr defaultColWidth="6.33203125" defaultRowHeight="15"/>
  <cols>
    <col min="1" max="27" width="4" style="103" customWidth="1"/>
    <col min="28" max="28" width="6.33203125" style="103" customWidth="1"/>
    <col min="29" max="32" width="6.33203125" style="103"/>
    <col min="33" max="33" width="6.33203125" style="104"/>
    <col min="34" max="34" width="6.33203125" style="105" hidden="1" customWidth="1"/>
    <col min="35" max="35" width="20.44140625" style="106" hidden="1" customWidth="1"/>
    <col min="36" max="36" width="292.109375" style="107" hidden="1" customWidth="1"/>
    <col min="37" max="40" width="6.33203125" style="104"/>
    <col min="41" max="16384" width="6.33203125" style="103"/>
  </cols>
  <sheetData>
    <row r="1" spans="1:49" ht="35.25" customHeight="1">
      <c r="A1" s="309" t="s">
        <v>674</v>
      </c>
      <c r="B1" s="310"/>
      <c r="C1" s="310"/>
      <c r="D1" s="310"/>
      <c r="E1" s="310"/>
      <c r="F1" s="310"/>
      <c r="G1" s="310"/>
      <c r="H1" s="310"/>
      <c r="I1" s="310"/>
      <c r="J1" s="310"/>
      <c r="K1" s="310"/>
      <c r="L1" s="310"/>
      <c r="M1" s="310"/>
      <c r="N1" s="310"/>
      <c r="O1" s="310"/>
      <c r="P1" s="310"/>
      <c r="Q1" s="310"/>
      <c r="R1" s="310"/>
      <c r="S1" s="310"/>
      <c r="T1" s="310"/>
      <c r="U1" s="310"/>
      <c r="V1" s="310"/>
      <c r="W1" s="310"/>
      <c r="X1" s="310"/>
      <c r="Y1" s="310"/>
      <c r="Z1" s="310"/>
      <c r="AA1" s="310"/>
      <c r="AO1" s="104"/>
      <c r="AP1" s="104"/>
      <c r="AQ1" s="104"/>
      <c r="AR1" s="104"/>
      <c r="AS1" s="104"/>
      <c r="AT1" s="104"/>
      <c r="AU1" s="104"/>
      <c r="AV1" s="104"/>
      <c r="AW1" s="104"/>
    </row>
    <row r="2" spans="1:49" s="108" customFormat="1" ht="36" customHeight="1">
      <c r="A2" s="311" t="s">
        <v>675</v>
      </c>
      <c r="B2" s="312"/>
      <c r="C2" s="312"/>
      <c r="D2" s="313"/>
      <c r="E2" s="313"/>
      <c r="F2" s="313"/>
      <c r="G2" s="313"/>
      <c r="H2" s="313"/>
      <c r="I2" s="313"/>
      <c r="J2" s="313"/>
      <c r="K2" s="313"/>
      <c r="L2" s="313"/>
      <c r="M2" s="311" t="s">
        <v>676</v>
      </c>
      <c r="N2" s="312"/>
      <c r="O2" s="312"/>
      <c r="P2" s="312"/>
      <c r="Q2" s="312"/>
      <c r="R2" s="312"/>
      <c r="S2" s="312"/>
      <c r="T2" s="312"/>
      <c r="U2" s="311" t="s">
        <v>677</v>
      </c>
      <c r="V2" s="311"/>
      <c r="W2" s="311"/>
      <c r="X2" s="311"/>
      <c r="Y2" s="311"/>
      <c r="Z2" s="311"/>
      <c r="AA2" s="311"/>
      <c r="AG2" s="109"/>
      <c r="AH2" s="105"/>
      <c r="AI2" s="106"/>
      <c r="AJ2" s="107"/>
      <c r="AK2" s="109"/>
      <c r="AL2" s="109"/>
      <c r="AM2" s="109"/>
      <c r="AN2" s="109"/>
      <c r="AO2" s="109"/>
      <c r="AP2" s="109"/>
      <c r="AQ2" s="109"/>
      <c r="AR2" s="109"/>
      <c r="AS2" s="109"/>
      <c r="AT2" s="109"/>
      <c r="AU2" s="109"/>
      <c r="AV2" s="109"/>
      <c r="AW2" s="109"/>
    </row>
    <row r="3" spans="1:49" s="108" customFormat="1" ht="13.5" customHeight="1">
      <c r="A3" s="303" t="s">
        <v>678</v>
      </c>
      <c r="B3" s="303"/>
      <c r="C3" s="303"/>
      <c r="D3" s="303"/>
      <c r="E3" s="303"/>
      <c r="F3" s="303"/>
      <c r="G3" s="110">
        <v>1</v>
      </c>
      <c r="H3" s="304" t="s">
        <v>679</v>
      </c>
      <c r="I3" s="305"/>
      <c r="J3" s="305"/>
      <c r="K3" s="305"/>
      <c r="L3" s="305"/>
      <c r="M3" s="306"/>
      <c r="N3" s="111">
        <v>2</v>
      </c>
      <c r="O3" s="112" t="s">
        <v>680</v>
      </c>
      <c r="P3" s="112"/>
      <c r="Q3" s="112"/>
      <c r="S3" s="111">
        <v>3</v>
      </c>
      <c r="T3" s="112" t="s">
        <v>681</v>
      </c>
      <c r="V3" s="112"/>
      <c r="W3" s="112"/>
      <c r="X3" s="112"/>
      <c r="Y3" s="111">
        <v>8</v>
      </c>
      <c r="Z3" s="307" t="s">
        <v>682</v>
      </c>
      <c r="AA3" s="308"/>
      <c r="AG3" s="109"/>
      <c r="AH3" s="105"/>
      <c r="AI3" s="106"/>
      <c r="AJ3" s="107"/>
      <c r="AK3" s="109"/>
      <c r="AL3" s="109"/>
      <c r="AM3" s="109"/>
      <c r="AN3" s="109"/>
      <c r="AO3" s="109"/>
      <c r="AP3" s="109"/>
      <c r="AQ3" s="109"/>
      <c r="AR3" s="109"/>
      <c r="AS3" s="109"/>
      <c r="AT3" s="109"/>
      <c r="AU3" s="109"/>
      <c r="AV3" s="109"/>
      <c r="AW3" s="109"/>
    </row>
    <row r="4" spans="1:49" s="117" customFormat="1" ht="2.1" customHeight="1">
      <c r="A4" s="113"/>
      <c r="B4" s="113"/>
      <c r="C4" s="113"/>
      <c r="D4" s="113"/>
      <c r="E4" s="113"/>
      <c r="F4" s="113"/>
      <c r="G4" s="114"/>
      <c r="H4" s="115"/>
      <c r="I4" s="115"/>
      <c r="J4" s="115"/>
      <c r="K4" s="115"/>
      <c r="L4" s="115"/>
      <c r="M4" s="115"/>
      <c r="N4" s="116"/>
      <c r="O4" s="112"/>
      <c r="P4" s="112"/>
      <c r="Q4" s="112"/>
      <c r="S4" s="116"/>
      <c r="T4" s="112"/>
      <c r="V4" s="112"/>
      <c r="W4" s="112"/>
      <c r="X4" s="112"/>
      <c r="Y4" s="112"/>
      <c r="Z4" s="112"/>
      <c r="AA4" s="112"/>
      <c r="AG4" s="118"/>
      <c r="AH4" s="119"/>
      <c r="AI4" s="120"/>
      <c r="AJ4" s="121"/>
      <c r="AK4" s="118"/>
      <c r="AL4" s="118"/>
      <c r="AM4" s="118"/>
      <c r="AN4" s="118"/>
      <c r="AO4" s="118"/>
      <c r="AP4" s="118"/>
      <c r="AQ4" s="118"/>
      <c r="AR4" s="118"/>
      <c r="AS4" s="118"/>
      <c r="AT4" s="118"/>
      <c r="AU4" s="118"/>
      <c r="AV4" s="118"/>
      <c r="AW4" s="118"/>
    </row>
    <row r="5" spans="1:49" s="108" customFormat="1" ht="13.5" customHeight="1">
      <c r="A5" s="303"/>
      <c r="B5" s="303"/>
      <c r="C5" s="303"/>
      <c r="D5" s="303"/>
      <c r="E5" s="303"/>
      <c r="F5" s="303"/>
      <c r="G5" s="110">
        <v>4</v>
      </c>
      <c r="H5" s="305" t="s">
        <v>683</v>
      </c>
      <c r="I5" s="305"/>
      <c r="J5" s="305"/>
      <c r="K5" s="305"/>
      <c r="L5" s="305"/>
      <c r="M5" s="305"/>
      <c r="N5" s="110">
        <v>5</v>
      </c>
      <c r="O5" s="314" t="s">
        <v>684</v>
      </c>
      <c r="P5" s="314"/>
      <c r="Q5" s="314"/>
      <c r="R5" s="315"/>
      <c r="S5" s="110">
        <v>6</v>
      </c>
      <c r="T5" s="316" t="s">
        <v>685</v>
      </c>
      <c r="U5" s="303"/>
      <c r="V5" s="317"/>
      <c r="W5" s="111">
        <v>7</v>
      </c>
      <c r="X5" s="112" t="s">
        <v>686</v>
      </c>
      <c r="Y5" s="112"/>
      <c r="Z5" s="112"/>
      <c r="AA5" s="112"/>
      <c r="AG5" s="109"/>
      <c r="AH5" s="105"/>
      <c r="AI5" s="106"/>
      <c r="AJ5" s="107"/>
      <c r="AK5" s="109"/>
      <c r="AL5" s="109"/>
      <c r="AM5" s="109"/>
      <c r="AN5" s="109"/>
      <c r="AO5" s="109"/>
      <c r="AP5" s="109"/>
      <c r="AQ5" s="109"/>
      <c r="AR5" s="109"/>
      <c r="AS5" s="109"/>
      <c r="AT5" s="109"/>
      <c r="AU5" s="109"/>
      <c r="AV5" s="109"/>
      <c r="AW5" s="109"/>
    </row>
    <row r="6" spans="1:49" s="108" customFormat="1" ht="3" customHeight="1" thickBot="1">
      <c r="A6" s="122"/>
      <c r="B6" s="122"/>
      <c r="C6" s="122"/>
      <c r="D6" s="122"/>
      <c r="E6" s="122"/>
      <c r="F6" s="122"/>
      <c r="G6" s="122"/>
      <c r="H6" s="123"/>
      <c r="I6" s="123"/>
      <c r="J6" s="123"/>
      <c r="K6" s="123"/>
      <c r="L6" s="123"/>
      <c r="M6" s="123"/>
      <c r="N6" s="122"/>
      <c r="O6" s="124"/>
      <c r="P6" s="124"/>
      <c r="Q6" s="124"/>
      <c r="R6" s="124"/>
      <c r="S6" s="122"/>
      <c r="T6" s="122"/>
      <c r="U6" s="122"/>
      <c r="V6" s="122"/>
      <c r="W6" s="125"/>
      <c r="X6" s="126"/>
      <c r="Y6" s="126"/>
      <c r="Z6" s="126"/>
      <c r="AA6" s="126"/>
      <c r="AG6" s="109"/>
      <c r="AH6" s="105"/>
      <c r="AI6" s="106"/>
      <c r="AJ6" s="107"/>
      <c r="AK6" s="109"/>
      <c r="AL6" s="109"/>
      <c r="AM6" s="109"/>
      <c r="AN6" s="109"/>
      <c r="AO6" s="109"/>
      <c r="AP6" s="109"/>
      <c r="AQ6" s="109"/>
      <c r="AR6" s="109"/>
      <c r="AS6" s="109"/>
      <c r="AT6" s="109"/>
      <c r="AU6" s="109"/>
      <c r="AV6" s="109"/>
      <c r="AW6" s="109"/>
    </row>
    <row r="7" spans="1:49" s="108" customFormat="1" ht="20.100000000000001" customHeight="1">
      <c r="A7" s="318" t="s">
        <v>687</v>
      </c>
      <c r="B7" s="319"/>
      <c r="C7" s="127">
        <v>6</v>
      </c>
      <c r="D7" s="320" t="str">
        <f>IF(C7=0,"","Device ID:")</f>
        <v>Device ID:</v>
      </c>
      <c r="E7" s="321"/>
      <c r="F7" s="322">
        <v>290034</v>
      </c>
      <c r="G7" s="323"/>
      <c r="H7" s="324"/>
      <c r="I7" s="128" t="str">
        <f>IF(C7=0,"","SPEC")</f>
        <v>SPEC</v>
      </c>
      <c r="J7" s="325" t="s">
        <v>688</v>
      </c>
      <c r="K7" s="326"/>
      <c r="L7" s="327" t="s">
        <v>689</v>
      </c>
      <c r="M7" s="327"/>
      <c r="N7" s="327"/>
      <c r="O7" s="327"/>
      <c r="P7" s="327"/>
      <c r="Q7" s="327"/>
      <c r="R7" s="327"/>
      <c r="S7" s="327"/>
      <c r="T7" s="327"/>
      <c r="U7" s="327"/>
      <c r="V7" s="327"/>
      <c r="W7" s="327"/>
      <c r="X7" s="327"/>
      <c r="Y7" s="327"/>
      <c r="Z7" s="327"/>
      <c r="AA7" s="328"/>
      <c r="AG7" s="109"/>
      <c r="AH7" s="105"/>
      <c r="AI7" s="106"/>
      <c r="AJ7" s="107"/>
      <c r="AK7" s="109"/>
      <c r="AL7" s="109"/>
      <c r="AM7" s="109"/>
      <c r="AN7" s="109"/>
      <c r="AO7" s="109"/>
      <c r="AP7" s="109"/>
      <c r="AQ7" s="109"/>
      <c r="AR7" s="109"/>
      <c r="AS7" s="109"/>
      <c r="AT7" s="109"/>
      <c r="AU7" s="109"/>
      <c r="AV7" s="109"/>
      <c r="AW7" s="109"/>
    </row>
    <row r="8" spans="1:49" s="108" customFormat="1" ht="16.5" customHeight="1">
      <c r="A8" s="331" t="str">
        <f>IF(C7=0,"",VLOOKUP(C7,AH:AJ,3,0))</f>
        <v>નિરીક્ષણની વસ્તુ Inspection Item:
૧.ટેપમાં ક્ષતિ ના હોય અને બરાબર કામ કરવું જોઈએ 
1. No deformation in tape and function normally.
૨. હુકમાં ક્ષતિ ના હોય અને બરાબર કામ કરવું જોઈએ
2. No deformation in hook and function normally.
૩. ટેપનું અંકન ચોખ્ખું અને બરાબર હોવું જોઈએ.
3. Tape reading should be clear and perfect.</v>
      </c>
      <c r="B8" s="332"/>
      <c r="C8" s="332"/>
      <c r="D8" s="332"/>
      <c r="E8" s="332"/>
      <c r="F8" s="332"/>
      <c r="G8" s="332"/>
      <c r="H8" s="332"/>
      <c r="I8" s="332"/>
      <c r="J8" s="332"/>
      <c r="K8" s="333"/>
      <c r="L8" s="129">
        <v>1</v>
      </c>
      <c r="M8" s="130">
        <v>2</v>
      </c>
      <c r="N8" s="130">
        <v>3</v>
      </c>
      <c r="O8" s="130">
        <v>4</v>
      </c>
      <c r="P8" s="130">
        <v>5</v>
      </c>
      <c r="Q8" s="130">
        <v>6</v>
      </c>
      <c r="R8" s="130">
        <v>7</v>
      </c>
      <c r="S8" s="130">
        <v>8</v>
      </c>
      <c r="T8" s="130">
        <v>9</v>
      </c>
      <c r="U8" s="130">
        <v>10</v>
      </c>
      <c r="V8" s="130">
        <v>11</v>
      </c>
      <c r="W8" s="130">
        <v>12</v>
      </c>
      <c r="X8" s="130">
        <v>13</v>
      </c>
      <c r="Y8" s="130">
        <v>14</v>
      </c>
      <c r="Z8" s="130">
        <v>15</v>
      </c>
      <c r="AA8" s="131">
        <v>16</v>
      </c>
      <c r="AG8" s="109"/>
      <c r="AH8" s="105">
        <v>0</v>
      </c>
      <c r="AI8" s="106"/>
      <c r="AJ8" s="107"/>
      <c r="AK8" s="109"/>
      <c r="AL8" s="109"/>
      <c r="AM8" s="109"/>
      <c r="AN8" s="109"/>
      <c r="AO8" s="109"/>
      <c r="AP8" s="109"/>
      <c r="AQ8" s="109"/>
      <c r="AR8" s="109"/>
      <c r="AS8" s="109"/>
      <c r="AT8" s="109"/>
      <c r="AU8" s="109"/>
      <c r="AV8" s="109"/>
      <c r="AW8" s="109"/>
    </row>
    <row r="9" spans="1:49" s="108" customFormat="1" ht="32.1" customHeight="1">
      <c r="A9" s="334"/>
      <c r="B9" s="335"/>
      <c r="C9" s="335"/>
      <c r="D9" s="335"/>
      <c r="E9" s="335"/>
      <c r="F9" s="335"/>
      <c r="G9" s="335"/>
      <c r="H9" s="335"/>
      <c r="I9" s="335"/>
      <c r="J9" s="335"/>
      <c r="K9" s="336"/>
      <c r="L9" s="132"/>
      <c r="M9" s="133"/>
      <c r="N9" s="133"/>
      <c r="O9" s="133"/>
      <c r="P9" s="133"/>
      <c r="Q9" s="133"/>
      <c r="R9" s="133"/>
      <c r="S9" s="133"/>
      <c r="T9" s="133"/>
      <c r="U9" s="133"/>
      <c r="V9" s="133"/>
      <c r="W9" s="133"/>
      <c r="X9" s="133"/>
      <c r="Y9" s="133"/>
      <c r="Z9" s="133"/>
      <c r="AA9" s="134"/>
      <c r="AG9" s="109"/>
      <c r="AH9" s="105">
        <v>1</v>
      </c>
      <c r="AI9" s="107" t="s">
        <v>690</v>
      </c>
      <c r="AJ9" s="107" t="s">
        <v>691</v>
      </c>
      <c r="AK9" s="109"/>
      <c r="AL9" s="109"/>
      <c r="AM9" s="109"/>
      <c r="AN9" s="109"/>
      <c r="AO9" s="109"/>
      <c r="AP9" s="109"/>
      <c r="AQ9" s="109"/>
      <c r="AR9" s="109"/>
      <c r="AS9" s="109"/>
      <c r="AT9" s="109"/>
      <c r="AU9" s="109"/>
      <c r="AV9" s="109"/>
      <c r="AW9" s="109"/>
    </row>
    <row r="10" spans="1:49" s="108" customFormat="1">
      <c r="A10" s="334"/>
      <c r="B10" s="335"/>
      <c r="C10" s="335"/>
      <c r="D10" s="335"/>
      <c r="E10" s="335"/>
      <c r="F10" s="335"/>
      <c r="G10" s="335"/>
      <c r="H10" s="335"/>
      <c r="I10" s="335"/>
      <c r="J10" s="335"/>
      <c r="K10" s="336"/>
      <c r="L10" s="132">
        <v>17</v>
      </c>
      <c r="M10" s="133">
        <v>18</v>
      </c>
      <c r="N10" s="133">
        <v>19</v>
      </c>
      <c r="O10" s="133">
        <v>20</v>
      </c>
      <c r="P10" s="133">
        <v>21</v>
      </c>
      <c r="Q10" s="133">
        <v>22</v>
      </c>
      <c r="R10" s="133">
        <v>23</v>
      </c>
      <c r="S10" s="133">
        <v>24</v>
      </c>
      <c r="T10" s="133">
        <v>25</v>
      </c>
      <c r="U10" s="133">
        <v>26</v>
      </c>
      <c r="V10" s="133">
        <v>27</v>
      </c>
      <c r="W10" s="133">
        <v>28</v>
      </c>
      <c r="X10" s="133">
        <v>29</v>
      </c>
      <c r="Y10" s="133">
        <v>30</v>
      </c>
      <c r="Z10" s="133">
        <v>31</v>
      </c>
      <c r="AA10" s="134"/>
      <c r="AG10" s="109"/>
      <c r="AH10" s="105">
        <v>2</v>
      </c>
      <c r="AI10" s="107" t="s">
        <v>692</v>
      </c>
      <c r="AJ10" s="107" t="s">
        <v>693</v>
      </c>
      <c r="AK10" s="109"/>
      <c r="AL10" s="109"/>
      <c r="AM10" s="109"/>
      <c r="AN10" s="109"/>
      <c r="AO10" s="109"/>
      <c r="AP10" s="109"/>
      <c r="AQ10" s="109"/>
      <c r="AR10" s="109"/>
      <c r="AS10" s="109"/>
      <c r="AT10" s="109"/>
      <c r="AU10" s="109"/>
      <c r="AV10" s="109"/>
      <c r="AW10" s="109"/>
    </row>
    <row r="11" spans="1:49" s="108" customFormat="1" ht="32.1" customHeight="1" thickBot="1">
      <c r="A11" s="337"/>
      <c r="B11" s="338"/>
      <c r="C11" s="338"/>
      <c r="D11" s="338"/>
      <c r="E11" s="338"/>
      <c r="F11" s="338"/>
      <c r="G11" s="338"/>
      <c r="H11" s="338"/>
      <c r="I11" s="338"/>
      <c r="J11" s="338"/>
      <c r="K11" s="339"/>
      <c r="L11" s="135"/>
      <c r="M11" s="136"/>
      <c r="N11" s="136"/>
      <c r="O11" s="136"/>
      <c r="P11" s="136"/>
      <c r="Q11" s="136"/>
      <c r="R11" s="136"/>
      <c r="S11" s="136"/>
      <c r="T11" s="136"/>
      <c r="U11" s="136"/>
      <c r="V11" s="136"/>
      <c r="W11" s="136"/>
      <c r="X11" s="136"/>
      <c r="Y11" s="136"/>
      <c r="Z11" s="136"/>
      <c r="AA11" s="137"/>
      <c r="AG11" s="109"/>
      <c r="AH11" s="105">
        <v>3</v>
      </c>
      <c r="AI11" s="107" t="s">
        <v>694</v>
      </c>
      <c r="AJ11" s="107" t="s">
        <v>695</v>
      </c>
      <c r="AK11" s="109"/>
      <c r="AL11" s="109"/>
      <c r="AM11" s="109"/>
      <c r="AN11" s="109"/>
    </row>
    <row r="12" spans="1:49" s="108" customFormat="1" ht="20.100000000000001" customHeight="1">
      <c r="A12" s="340" t="s">
        <v>696</v>
      </c>
      <c r="B12" s="341"/>
      <c r="C12" s="138">
        <v>6</v>
      </c>
      <c r="D12" s="320" t="str">
        <f>IF(C12=0,"","Device ID:")</f>
        <v>Device ID:</v>
      </c>
      <c r="E12" s="321"/>
      <c r="F12" s="322">
        <v>290012</v>
      </c>
      <c r="G12" s="323"/>
      <c r="H12" s="324"/>
      <c r="I12" s="128" t="str">
        <f>IF(C12=0,"","SPEC")</f>
        <v>SPEC</v>
      </c>
      <c r="J12" s="325" t="s">
        <v>688</v>
      </c>
      <c r="K12" s="326"/>
      <c r="L12" s="329" t="s">
        <v>689</v>
      </c>
      <c r="M12" s="329"/>
      <c r="N12" s="329"/>
      <c r="O12" s="329"/>
      <c r="P12" s="329"/>
      <c r="Q12" s="329"/>
      <c r="R12" s="329"/>
      <c r="S12" s="329"/>
      <c r="T12" s="329"/>
      <c r="U12" s="329"/>
      <c r="V12" s="329"/>
      <c r="W12" s="329"/>
      <c r="X12" s="329"/>
      <c r="Y12" s="329"/>
      <c r="Z12" s="329"/>
      <c r="AA12" s="330"/>
      <c r="AG12" s="109"/>
      <c r="AH12" s="105">
        <v>4</v>
      </c>
      <c r="AI12" s="107" t="s">
        <v>697</v>
      </c>
      <c r="AJ12" s="107" t="s">
        <v>698</v>
      </c>
      <c r="AK12" s="109"/>
      <c r="AL12" s="109"/>
      <c r="AM12" s="109"/>
      <c r="AN12" s="109"/>
    </row>
    <row r="13" spans="1:49" s="108" customFormat="1" ht="16.5" customHeight="1">
      <c r="A13" s="331" t="str">
        <f>IF(C12=0,"",VLOOKUP(C12,AH:AJ,3,0))</f>
        <v>નિરીક્ષણની વસ્તુ Inspection Item:
૧.ટેપમાં ક્ષતિ ના હોય અને બરાબર કામ કરવું જોઈએ 
1. No deformation in tape and function normally.
૨. હુકમાં ક્ષતિ ના હોય અને બરાબર કામ કરવું જોઈએ
2. No deformation in hook and function normally.
૩. ટેપનું અંકન ચોખ્ખું અને બરાબર હોવું જોઈએ.
3. Tape reading should be clear and perfect.</v>
      </c>
      <c r="B13" s="332"/>
      <c r="C13" s="332"/>
      <c r="D13" s="332"/>
      <c r="E13" s="332"/>
      <c r="F13" s="332"/>
      <c r="G13" s="332"/>
      <c r="H13" s="332"/>
      <c r="I13" s="332"/>
      <c r="J13" s="332"/>
      <c r="K13" s="333"/>
      <c r="L13" s="129">
        <v>1</v>
      </c>
      <c r="M13" s="130">
        <v>2</v>
      </c>
      <c r="N13" s="130">
        <v>3</v>
      </c>
      <c r="O13" s="130">
        <v>4</v>
      </c>
      <c r="P13" s="130">
        <v>5</v>
      </c>
      <c r="Q13" s="130">
        <v>6</v>
      </c>
      <c r="R13" s="130">
        <v>7</v>
      </c>
      <c r="S13" s="130">
        <v>8</v>
      </c>
      <c r="T13" s="130">
        <v>9</v>
      </c>
      <c r="U13" s="130">
        <v>10</v>
      </c>
      <c r="V13" s="130">
        <v>11</v>
      </c>
      <c r="W13" s="130">
        <v>12</v>
      </c>
      <c r="X13" s="130">
        <v>13</v>
      </c>
      <c r="Y13" s="130">
        <v>14</v>
      </c>
      <c r="Z13" s="130">
        <v>15</v>
      </c>
      <c r="AA13" s="131">
        <v>16</v>
      </c>
      <c r="AG13" s="109"/>
      <c r="AH13" s="105">
        <v>5</v>
      </c>
      <c r="AI13" s="107" t="s">
        <v>699</v>
      </c>
      <c r="AJ13" s="107" t="s">
        <v>700</v>
      </c>
      <c r="AK13" s="109"/>
      <c r="AL13" s="109"/>
      <c r="AM13" s="109"/>
      <c r="AN13" s="109"/>
    </row>
    <row r="14" spans="1:49" s="108" customFormat="1" ht="32.1" customHeight="1">
      <c r="A14" s="334"/>
      <c r="B14" s="335"/>
      <c r="C14" s="335"/>
      <c r="D14" s="335"/>
      <c r="E14" s="335"/>
      <c r="F14" s="335"/>
      <c r="G14" s="335"/>
      <c r="H14" s="335"/>
      <c r="I14" s="335"/>
      <c r="J14" s="335"/>
      <c r="K14" s="336"/>
      <c r="L14" s="132"/>
      <c r="M14" s="133"/>
      <c r="N14" s="133"/>
      <c r="O14" s="133"/>
      <c r="P14" s="133"/>
      <c r="Q14" s="133"/>
      <c r="R14" s="133"/>
      <c r="S14" s="133"/>
      <c r="T14" s="133"/>
      <c r="U14" s="133"/>
      <c r="V14" s="133"/>
      <c r="W14" s="133"/>
      <c r="X14" s="133"/>
      <c r="Y14" s="133"/>
      <c r="Z14" s="133"/>
      <c r="AA14" s="134"/>
      <c r="AG14" s="109"/>
      <c r="AH14" s="105">
        <v>6</v>
      </c>
      <c r="AI14" s="107" t="s">
        <v>701</v>
      </c>
      <c r="AJ14" s="107" t="s">
        <v>691</v>
      </c>
      <c r="AK14" s="109"/>
      <c r="AL14" s="109"/>
      <c r="AM14" s="109"/>
      <c r="AN14" s="109"/>
    </row>
    <row r="15" spans="1:49" s="108" customFormat="1">
      <c r="A15" s="334"/>
      <c r="B15" s="335"/>
      <c r="C15" s="335"/>
      <c r="D15" s="335"/>
      <c r="E15" s="335"/>
      <c r="F15" s="335"/>
      <c r="G15" s="335"/>
      <c r="H15" s="335"/>
      <c r="I15" s="335"/>
      <c r="J15" s="335"/>
      <c r="K15" s="336"/>
      <c r="L15" s="132">
        <v>17</v>
      </c>
      <c r="M15" s="133">
        <v>18</v>
      </c>
      <c r="N15" s="133">
        <v>19</v>
      </c>
      <c r="O15" s="133">
        <v>20</v>
      </c>
      <c r="P15" s="133">
        <v>21</v>
      </c>
      <c r="Q15" s="133">
        <v>22</v>
      </c>
      <c r="R15" s="133">
        <v>23</v>
      </c>
      <c r="S15" s="133">
        <v>24</v>
      </c>
      <c r="T15" s="133">
        <v>25</v>
      </c>
      <c r="U15" s="133">
        <v>26</v>
      </c>
      <c r="V15" s="133">
        <v>27</v>
      </c>
      <c r="W15" s="133">
        <v>28</v>
      </c>
      <c r="X15" s="133">
        <v>29</v>
      </c>
      <c r="Y15" s="133">
        <v>30</v>
      </c>
      <c r="Z15" s="133">
        <v>31</v>
      </c>
      <c r="AA15" s="134"/>
      <c r="AG15" s="109"/>
      <c r="AH15" s="105">
        <v>7</v>
      </c>
      <c r="AI15" s="107" t="s">
        <v>702</v>
      </c>
      <c r="AJ15" s="107" t="s">
        <v>693</v>
      </c>
      <c r="AK15" s="109"/>
      <c r="AL15" s="109"/>
      <c r="AM15" s="109"/>
      <c r="AN15" s="109"/>
    </row>
    <row r="16" spans="1:49" s="108" customFormat="1" ht="32.1" customHeight="1" thickBot="1">
      <c r="A16" s="337"/>
      <c r="B16" s="338"/>
      <c r="C16" s="338"/>
      <c r="D16" s="338"/>
      <c r="E16" s="338"/>
      <c r="F16" s="338"/>
      <c r="G16" s="338"/>
      <c r="H16" s="338"/>
      <c r="I16" s="338"/>
      <c r="J16" s="338"/>
      <c r="K16" s="339"/>
      <c r="L16" s="135"/>
      <c r="M16" s="136"/>
      <c r="N16" s="136"/>
      <c r="O16" s="136"/>
      <c r="P16" s="136"/>
      <c r="Q16" s="136"/>
      <c r="R16" s="136"/>
      <c r="S16" s="136"/>
      <c r="T16" s="136"/>
      <c r="U16" s="136"/>
      <c r="V16" s="136"/>
      <c r="W16" s="136"/>
      <c r="X16" s="136"/>
      <c r="Y16" s="136"/>
      <c r="Z16" s="136"/>
      <c r="AA16" s="137"/>
      <c r="AG16" s="109"/>
      <c r="AH16" s="105">
        <v>8</v>
      </c>
      <c r="AI16" s="106"/>
      <c r="AJ16" s="107"/>
      <c r="AK16" s="109"/>
      <c r="AL16" s="109"/>
      <c r="AM16" s="109"/>
      <c r="AN16" s="109"/>
    </row>
    <row r="17" spans="1:40" s="108" customFormat="1" ht="20.100000000000001" customHeight="1">
      <c r="A17" s="340" t="s">
        <v>696</v>
      </c>
      <c r="B17" s="341"/>
      <c r="C17" s="138">
        <v>4</v>
      </c>
      <c r="D17" s="320" t="str">
        <f>IF(C17=0,"","Device ID:")</f>
        <v>Device ID:</v>
      </c>
      <c r="E17" s="321"/>
      <c r="F17" s="322">
        <v>50025</v>
      </c>
      <c r="G17" s="323"/>
      <c r="H17" s="324"/>
      <c r="I17" s="128" t="str">
        <f>IF(C17=0,"","SPEC")</f>
        <v>SPEC</v>
      </c>
      <c r="J17" s="325" t="s">
        <v>703</v>
      </c>
      <c r="K17" s="326"/>
      <c r="L17" s="329" t="s">
        <v>689</v>
      </c>
      <c r="M17" s="329"/>
      <c r="N17" s="329"/>
      <c r="O17" s="329"/>
      <c r="P17" s="329"/>
      <c r="Q17" s="329"/>
      <c r="R17" s="329"/>
      <c r="S17" s="329"/>
      <c r="T17" s="329"/>
      <c r="U17" s="329"/>
      <c r="V17" s="329"/>
      <c r="W17" s="329"/>
      <c r="X17" s="329"/>
      <c r="Y17" s="329"/>
      <c r="Z17" s="329"/>
      <c r="AA17" s="330"/>
      <c r="AG17" s="109"/>
      <c r="AH17" s="105"/>
      <c r="AI17" s="106"/>
      <c r="AJ17" s="107"/>
      <c r="AK17" s="109"/>
      <c r="AL17" s="109"/>
      <c r="AM17" s="109"/>
      <c r="AN17" s="109"/>
    </row>
    <row r="18" spans="1:40" s="108" customFormat="1" ht="16.5" customHeight="1">
      <c r="A18" s="331" t="str">
        <f>IF(C17=0,"",VLOOKUP(C17,AH:AJ,3,0))</f>
        <v>નિરીક્ષણની વસ્તુ Inspection Item:
૧.જયારે કલો બંધ હોય ત્યારે શૂન્ય બતાવવું જોઈએ.
1. Detecting claw should be zeroed when completely closed.
૨. વર્નીયર કેલીપર સરળતાથી ફરવું જોઈએ.
2. Vernier Caliper should move smoothly.
૩.કોઈ પણ પાર્ટ છુટ્ટો ના હોવો જોઈએ.
3. No associate parts fall apart.</v>
      </c>
      <c r="B18" s="332"/>
      <c r="C18" s="332"/>
      <c r="D18" s="332"/>
      <c r="E18" s="332"/>
      <c r="F18" s="332"/>
      <c r="G18" s="332"/>
      <c r="H18" s="332"/>
      <c r="I18" s="332"/>
      <c r="J18" s="332"/>
      <c r="K18" s="333"/>
      <c r="L18" s="129">
        <v>1</v>
      </c>
      <c r="M18" s="130">
        <v>2</v>
      </c>
      <c r="N18" s="130">
        <v>3</v>
      </c>
      <c r="O18" s="130">
        <v>4</v>
      </c>
      <c r="P18" s="130">
        <v>5</v>
      </c>
      <c r="Q18" s="130">
        <v>6</v>
      </c>
      <c r="R18" s="130">
        <v>7</v>
      </c>
      <c r="S18" s="130">
        <v>8</v>
      </c>
      <c r="T18" s="130">
        <v>9</v>
      </c>
      <c r="U18" s="130">
        <v>10</v>
      </c>
      <c r="V18" s="130">
        <v>11</v>
      </c>
      <c r="W18" s="130">
        <v>12</v>
      </c>
      <c r="X18" s="130">
        <v>13</v>
      </c>
      <c r="Y18" s="130">
        <v>14</v>
      </c>
      <c r="Z18" s="130">
        <v>15</v>
      </c>
      <c r="AA18" s="131">
        <v>16</v>
      </c>
      <c r="AG18" s="109"/>
      <c r="AH18" s="105"/>
      <c r="AI18" s="106"/>
      <c r="AJ18" s="107"/>
      <c r="AK18" s="109"/>
      <c r="AL18" s="109"/>
      <c r="AM18" s="109"/>
      <c r="AN18" s="109"/>
    </row>
    <row r="19" spans="1:40" s="108" customFormat="1" ht="32.1" customHeight="1">
      <c r="A19" s="334"/>
      <c r="B19" s="335"/>
      <c r="C19" s="335"/>
      <c r="D19" s="335"/>
      <c r="E19" s="335"/>
      <c r="F19" s="335"/>
      <c r="G19" s="335"/>
      <c r="H19" s="335"/>
      <c r="I19" s="335"/>
      <c r="J19" s="335"/>
      <c r="K19" s="336"/>
      <c r="L19" s="132"/>
      <c r="M19" s="133"/>
      <c r="N19" s="133"/>
      <c r="O19" s="133"/>
      <c r="P19" s="133"/>
      <c r="Q19" s="133"/>
      <c r="R19" s="133"/>
      <c r="S19" s="133"/>
      <c r="T19" s="133"/>
      <c r="U19" s="133"/>
      <c r="V19" s="133"/>
      <c r="W19" s="133"/>
      <c r="X19" s="133"/>
      <c r="Y19" s="133"/>
      <c r="Z19" s="133"/>
      <c r="AA19" s="134"/>
      <c r="AG19" s="109"/>
      <c r="AH19" s="105"/>
      <c r="AI19" s="106"/>
      <c r="AJ19" s="107"/>
      <c r="AK19" s="109"/>
      <c r="AL19" s="109"/>
      <c r="AM19" s="109"/>
      <c r="AN19" s="109"/>
    </row>
    <row r="20" spans="1:40" s="108" customFormat="1">
      <c r="A20" s="334"/>
      <c r="B20" s="335"/>
      <c r="C20" s="335"/>
      <c r="D20" s="335"/>
      <c r="E20" s="335"/>
      <c r="F20" s="335"/>
      <c r="G20" s="335"/>
      <c r="H20" s="335"/>
      <c r="I20" s="335"/>
      <c r="J20" s="335"/>
      <c r="K20" s="336"/>
      <c r="L20" s="132">
        <v>17</v>
      </c>
      <c r="M20" s="133">
        <v>18</v>
      </c>
      <c r="N20" s="133">
        <v>19</v>
      </c>
      <c r="O20" s="133">
        <v>20</v>
      </c>
      <c r="P20" s="133">
        <v>21</v>
      </c>
      <c r="Q20" s="133">
        <v>22</v>
      </c>
      <c r="R20" s="133">
        <v>23</v>
      </c>
      <c r="S20" s="133">
        <v>24</v>
      </c>
      <c r="T20" s="133">
        <v>25</v>
      </c>
      <c r="U20" s="133">
        <v>26</v>
      </c>
      <c r="V20" s="133">
        <v>27</v>
      </c>
      <c r="W20" s="133">
        <v>28</v>
      </c>
      <c r="X20" s="133">
        <v>29</v>
      </c>
      <c r="Y20" s="133">
        <v>30</v>
      </c>
      <c r="Z20" s="133">
        <v>31</v>
      </c>
      <c r="AA20" s="134"/>
      <c r="AG20" s="109"/>
      <c r="AH20" s="105"/>
      <c r="AI20" s="106"/>
      <c r="AJ20" s="107"/>
      <c r="AK20" s="109"/>
      <c r="AL20" s="109"/>
      <c r="AM20" s="109"/>
      <c r="AN20" s="109"/>
    </row>
    <row r="21" spans="1:40" s="108" customFormat="1" ht="32.1" customHeight="1" thickBot="1">
      <c r="A21" s="337"/>
      <c r="B21" s="338"/>
      <c r="C21" s="338"/>
      <c r="D21" s="338"/>
      <c r="E21" s="338"/>
      <c r="F21" s="338"/>
      <c r="G21" s="338"/>
      <c r="H21" s="338"/>
      <c r="I21" s="338"/>
      <c r="J21" s="338"/>
      <c r="K21" s="339"/>
      <c r="L21" s="135"/>
      <c r="M21" s="136"/>
      <c r="N21" s="136"/>
      <c r="O21" s="136"/>
      <c r="P21" s="136"/>
      <c r="Q21" s="136"/>
      <c r="R21" s="136"/>
      <c r="S21" s="136"/>
      <c r="T21" s="136"/>
      <c r="U21" s="136"/>
      <c r="V21" s="136"/>
      <c r="W21" s="136"/>
      <c r="X21" s="136"/>
      <c r="Y21" s="136"/>
      <c r="Z21" s="136"/>
      <c r="AA21" s="137"/>
      <c r="AG21" s="109"/>
      <c r="AH21" s="105"/>
      <c r="AI21" s="106"/>
      <c r="AJ21" s="107"/>
      <c r="AK21" s="109"/>
      <c r="AL21" s="109"/>
      <c r="AM21" s="109"/>
      <c r="AN21" s="109"/>
    </row>
    <row r="22" spans="1:40" s="108" customFormat="1" ht="20.100000000000001" customHeight="1">
      <c r="A22" s="340" t="s">
        <v>696</v>
      </c>
      <c r="B22" s="341"/>
      <c r="C22" s="138">
        <v>4</v>
      </c>
      <c r="D22" s="320" t="str">
        <f>IF(C22=0,"","Device ID:")</f>
        <v>Device ID:</v>
      </c>
      <c r="E22" s="321"/>
      <c r="F22" s="322">
        <v>50051</v>
      </c>
      <c r="G22" s="323"/>
      <c r="H22" s="324"/>
      <c r="I22" s="128" t="str">
        <f>IF(C22=0,"","SPEC")</f>
        <v>SPEC</v>
      </c>
      <c r="J22" s="325" t="s">
        <v>703</v>
      </c>
      <c r="K22" s="326"/>
      <c r="L22" s="329" t="s">
        <v>689</v>
      </c>
      <c r="M22" s="329"/>
      <c r="N22" s="329"/>
      <c r="O22" s="329"/>
      <c r="P22" s="329"/>
      <c r="Q22" s="329"/>
      <c r="R22" s="329"/>
      <c r="S22" s="329"/>
      <c r="T22" s="329"/>
      <c r="U22" s="329"/>
      <c r="V22" s="329"/>
      <c r="W22" s="329"/>
      <c r="X22" s="329"/>
      <c r="Y22" s="329"/>
      <c r="Z22" s="329"/>
      <c r="AA22" s="330"/>
      <c r="AG22" s="109"/>
      <c r="AH22" s="105"/>
      <c r="AI22" s="106"/>
      <c r="AJ22" s="107"/>
      <c r="AK22" s="109"/>
      <c r="AL22" s="109"/>
      <c r="AM22" s="109"/>
      <c r="AN22" s="109"/>
    </row>
    <row r="23" spans="1:40" s="108" customFormat="1" ht="16.5" customHeight="1">
      <c r="A23" s="331" t="str">
        <f>IF(C22=0,"",VLOOKUP(C22,AH:AJ,3,0))</f>
        <v>નિરીક્ષણની વસ્તુ Inspection Item:
૧.જયારે કલો બંધ હોય ત્યારે શૂન્ય બતાવવું જોઈએ.
1. Detecting claw should be zeroed when completely closed.
૨. વર્નીયર કેલીપર સરળતાથી ફરવું જોઈએ.
2. Vernier Caliper should move smoothly.
૩.કોઈ પણ પાર્ટ છુટ્ટો ના હોવો જોઈએ.
3. No associate parts fall apart.</v>
      </c>
      <c r="B23" s="332"/>
      <c r="C23" s="332"/>
      <c r="D23" s="332"/>
      <c r="E23" s="332"/>
      <c r="F23" s="332"/>
      <c r="G23" s="332"/>
      <c r="H23" s="332"/>
      <c r="I23" s="332"/>
      <c r="J23" s="332"/>
      <c r="K23" s="333"/>
      <c r="L23" s="129">
        <v>1</v>
      </c>
      <c r="M23" s="130">
        <v>2</v>
      </c>
      <c r="N23" s="130">
        <v>3</v>
      </c>
      <c r="O23" s="130">
        <v>4</v>
      </c>
      <c r="P23" s="130">
        <v>5</v>
      </c>
      <c r="Q23" s="130">
        <v>6</v>
      </c>
      <c r="R23" s="130">
        <v>7</v>
      </c>
      <c r="S23" s="130">
        <v>8</v>
      </c>
      <c r="T23" s="130">
        <v>9</v>
      </c>
      <c r="U23" s="130">
        <v>10</v>
      </c>
      <c r="V23" s="130">
        <v>11</v>
      </c>
      <c r="W23" s="130">
        <v>12</v>
      </c>
      <c r="X23" s="130">
        <v>13</v>
      </c>
      <c r="Y23" s="130">
        <v>14</v>
      </c>
      <c r="Z23" s="130">
        <v>15</v>
      </c>
      <c r="AA23" s="131">
        <v>16</v>
      </c>
      <c r="AG23" s="109"/>
      <c r="AH23" s="105"/>
      <c r="AI23" s="106"/>
      <c r="AJ23" s="107"/>
      <c r="AK23" s="109"/>
      <c r="AL23" s="109"/>
      <c r="AM23" s="109"/>
      <c r="AN23" s="109"/>
    </row>
    <row r="24" spans="1:40" s="108" customFormat="1" ht="32.1" customHeight="1">
      <c r="A24" s="334"/>
      <c r="B24" s="335"/>
      <c r="C24" s="335"/>
      <c r="D24" s="335"/>
      <c r="E24" s="335"/>
      <c r="F24" s="335"/>
      <c r="G24" s="335"/>
      <c r="H24" s="335"/>
      <c r="I24" s="335"/>
      <c r="J24" s="335"/>
      <c r="K24" s="336"/>
      <c r="L24" s="132"/>
      <c r="M24" s="133"/>
      <c r="N24" s="133"/>
      <c r="O24" s="133"/>
      <c r="P24" s="133"/>
      <c r="Q24" s="133"/>
      <c r="R24" s="133"/>
      <c r="S24" s="133"/>
      <c r="T24" s="133"/>
      <c r="U24" s="133"/>
      <c r="V24" s="133"/>
      <c r="W24" s="133"/>
      <c r="X24" s="133"/>
      <c r="Y24" s="133"/>
      <c r="Z24" s="133"/>
      <c r="AA24" s="134"/>
      <c r="AG24" s="109"/>
      <c r="AH24" s="105"/>
      <c r="AI24" s="106"/>
      <c r="AJ24" s="107"/>
      <c r="AK24" s="109"/>
      <c r="AL24" s="109"/>
      <c r="AM24" s="109"/>
      <c r="AN24" s="109"/>
    </row>
    <row r="25" spans="1:40" s="108" customFormat="1">
      <c r="A25" s="334"/>
      <c r="B25" s="335"/>
      <c r="C25" s="335"/>
      <c r="D25" s="335"/>
      <c r="E25" s="335"/>
      <c r="F25" s="335"/>
      <c r="G25" s="335"/>
      <c r="H25" s="335"/>
      <c r="I25" s="335"/>
      <c r="J25" s="335"/>
      <c r="K25" s="336"/>
      <c r="L25" s="132">
        <v>17</v>
      </c>
      <c r="M25" s="133">
        <v>18</v>
      </c>
      <c r="N25" s="133">
        <v>19</v>
      </c>
      <c r="O25" s="133">
        <v>20</v>
      </c>
      <c r="P25" s="133">
        <v>21</v>
      </c>
      <c r="Q25" s="133">
        <v>22</v>
      </c>
      <c r="R25" s="133">
        <v>23</v>
      </c>
      <c r="S25" s="133">
        <v>24</v>
      </c>
      <c r="T25" s="133">
        <v>25</v>
      </c>
      <c r="U25" s="133">
        <v>26</v>
      </c>
      <c r="V25" s="133">
        <v>27</v>
      </c>
      <c r="W25" s="133">
        <v>28</v>
      </c>
      <c r="X25" s="133">
        <v>29</v>
      </c>
      <c r="Y25" s="133">
        <v>30</v>
      </c>
      <c r="Z25" s="133">
        <v>31</v>
      </c>
      <c r="AA25" s="134"/>
      <c r="AG25" s="109"/>
      <c r="AH25" s="105"/>
      <c r="AI25" s="106"/>
      <c r="AJ25" s="107"/>
      <c r="AK25" s="109"/>
      <c r="AL25" s="109"/>
      <c r="AM25" s="109"/>
      <c r="AN25" s="109"/>
    </row>
    <row r="26" spans="1:40" s="108" customFormat="1" ht="32.1" customHeight="1" thickBot="1">
      <c r="A26" s="337"/>
      <c r="B26" s="338"/>
      <c r="C26" s="338"/>
      <c r="D26" s="338"/>
      <c r="E26" s="338"/>
      <c r="F26" s="338"/>
      <c r="G26" s="338"/>
      <c r="H26" s="338"/>
      <c r="I26" s="338"/>
      <c r="J26" s="338"/>
      <c r="K26" s="339"/>
      <c r="L26" s="135"/>
      <c r="M26" s="136"/>
      <c r="N26" s="136"/>
      <c r="O26" s="136"/>
      <c r="P26" s="136"/>
      <c r="Q26" s="136"/>
      <c r="R26" s="136"/>
      <c r="S26" s="136"/>
      <c r="T26" s="136"/>
      <c r="U26" s="136"/>
      <c r="V26" s="136"/>
      <c r="W26" s="136"/>
      <c r="X26" s="136"/>
      <c r="Y26" s="136"/>
      <c r="Z26" s="136"/>
      <c r="AA26" s="137"/>
      <c r="AG26" s="109"/>
      <c r="AH26" s="105"/>
      <c r="AI26" s="106"/>
      <c r="AJ26" s="107"/>
      <c r="AK26" s="109"/>
      <c r="AL26" s="109"/>
      <c r="AM26" s="109"/>
      <c r="AN26" s="109"/>
    </row>
    <row r="27" spans="1:40" s="108" customFormat="1" ht="20.100000000000001" customHeight="1">
      <c r="A27" s="340" t="s">
        <v>696</v>
      </c>
      <c r="B27" s="341"/>
      <c r="C27" s="138">
        <v>0</v>
      </c>
      <c r="D27" s="320" t="str">
        <f>IF(C27=0,"","Device ID:")</f>
        <v/>
      </c>
      <c r="E27" s="321"/>
      <c r="F27" s="322"/>
      <c r="G27" s="323"/>
      <c r="H27" s="324"/>
      <c r="I27" s="128" t="str">
        <f>IF(C27=0,"","SPEC")</f>
        <v/>
      </c>
      <c r="J27" s="325"/>
      <c r="K27" s="326"/>
      <c r="L27" s="329" t="s">
        <v>689</v>
      </c>
      <c r="M27" s="329"/>
      <c r="N27" s="329"/>
      <c r="O27" s="329"/>
      <c r="P27" s="329"/>
      <c r="Q27" s="329"/>
      <c r="R27" s="329"/>
      <c r="S27" s="329"/>
      <c r="T27" s="329"/>
      <c r="U27" s="329"/>
      <c r="V27" s="329"/>
      <c r="W27" s="329"/>
      <c r="X27" s="329"/>
      <c r="Y27" s="329"/>
      <c r="Z27" s="329"/>
      <c r="AA27" s="330"/>
      <c r="AG27" s="109"/>
      <c r="AH27" s="105"/>
      <c r="AI27" s="106"/>
      <c r="AJ27" s="107"/>
      <c r="AK27" s="109"/>
      <c r="AL27" s="109"/>
      <c r="AM27" s="109"/>
      <c r="AN27" s="109"/>
    </row>
    <row r="28" spans="1:40" s="108" customFormat="1">
      <c r="A28" s="331" t="str">
        <f>IF(C27=0,"",VLOOKUP(C27,AH:AJ,3,0))</f>
        <v/>
      </c>
      <c r="B28" s="332"/>
      <c r="C28" s="332"/>
      <c r="D28" s="332"/>
      <c r="E28" s="332"/>
      <c r="F28" s="332"/>
      <c r="G28" s="332"/>
      <c r="H28" s="332"/>
      <c r="I28" s="332"/>
      <c r="J28" s="332"/>
      <c r="K28" s="333"/>
      <c r="L28" s="129">
        <v>1</v>
      </c>
      <c r="M28" s="130">
        <v>2</v>
      </c>
      <c r="N28" s="130">
        <v>3</v>
      </c>
      <c r="O28" s="130">
        <v>4</v>
      </c>
      <c r="P28" s="130">
        <v>5</v>
      </c>
      <c r="Q28" s="130">
        <v>6</v>
      </c>
      <c r="R28" s="130">
        <v>7</v>
      </c>
      <c r="S28" s="130">
        <v>8</v>
      </c>
      <c r="T28" s="130">
        <v>9</v>
      </c>
      <c r="U28" s="130">
        <v>10</v>
      </c>
      <c r="V28" s="130">
        <v>11</v>
      </c>
      <c r="W28" s="130">
        <v>12</v>
      </c>
      <c r="X28" s="130">
        <v>13</v>
      </c>
      <c r="Y28" s="130">
        <v>14</v>
      </c>
      <c r="Z28" s="130">
        <v>15</v>
      </c>
      <c r="AA28" s="131">
        <v>16</v>
      </c>
      <c r="AG28" s="109"/>
      <c r="AH28" s="105"/>
      <c r="AI28" s="106"/>
      <c r="AJ28" s="107"/>
      <c r="AK28" s="109"/>
      <c r="AL28" s="109"/>
      <c r="AM28" s="109"/>
      <c r="AN28" s="109"/>
    </row>
    <row r="29" spans="1:40" s="108" customFormat="1" ht="32.1" customHeight="1">
      <c r="A29" s="334"/>
      <c r="B29" s="335"/>
      <c r="C29" s="335"/>
      <c r="D29" s="335"/>
      <c r="E29" s="335"/>
      <c r="F29" s="335"/>
      <c r="G29" s="335"/>
      <c r="H29" s="335"/>
      <c r="I29" s="335"/>
      <c r="J29" s="335"/>
      <c r="K29" s="336"/>
      <c r="L29" s="132"/>
      <c r="M29" s="133"/>
      <c r="N29" s="133"/>
      <c r="O29" s="133"/>
      <c r="P29" s="133"/>
      <c r="Q29" s="133"/>
      <c r="R29" s="133"/>
      <c r="S29" s="133"/>
      <c r="T29" s="133"/>
      <c r="U29" s="133"/>
      <c r="V29" s="133"/>
      <c r="W29" s="133"/>
      <c r="X29" s="133"/>
      <c r="Y29" s="133"/>
      <c r="Z29" s="133"/>
      <c r="AA29" s="134"/>
      <c r="AG29" s="109"/>
      <c r="AH29" s="105"/>
      <c r="AI29" s="106"/>
      <c r="AJ29" s="107"/>
      <c r="AK29" s="109"/>
      <c r="AL29" s="109"/>
      <c r="AM29" s="109"/>
      <c r="AN29" s="109"/>
    </row>
    <row r="30" spans="1:40" s="108" customFormat="1">
      <c r="A30" s="334"/>
      <c r="B30" s="335"/>
      <c r="C30" s="335"/>
      <c r="D30" s="335"/>
      <c r="E30" s="335"/>
      <c r="F30" s="335"/>
      <c r="G30" s="335"/>
      <c r="H30" s="335"/>
      <c r="I30" s="335"/>
      <c r="J30" s="335"/>
      <c r="K30" s="336"/>
      <c r="L30" s="132">
        <v>17</v>
      </c>
      <c r="M30" s="133">
        <v>18</v>
      </c>
      <c r="N30" s="133">
        <v>19</v>
      </c>
      <c r="O30" s="133">
        <v>20</v>
      </c>
      <c r="P30" s="133">
        <v>21</v>
      </c>
      <c r="Q30" s="133">
        <v>22</v>
      </c>
      <c r="R30" s="133">
        <v>23</v>
      </c>
      <c r="S30" s="133">
        <v>24</v>
      </c>
      <c r="T30" s="133">
        <v>25</v>
      </c>
      <c r="U30" s="133">
        <v>26</v>
      </c>
      <c r="V30" s="133">
        <v>27</v>
      </c>
      <c r="W30" s="133">
        <v>28</v>
      </c>
      <c r="X30" s="133">
        <v>29</v>
      </c>
      <c r="Y30" s="133">
        <v>30</v>
      </c>
      <c r="Z30" s="133">
        <v>31</v>
      </c>
      <c r="AA30" s="134"/>
      <c r="AG30" s="109"/>
      <c r="AH30" s="105"/>
      <c r="AI30" s="106"/>
      <c r="AJ30" s="107"/>
      <c r="AK30" s="109"/>
      <c r="AL30" s="109"/>
      <c r="AM30" s="109"/>
      <c r="AN30" s="109"/>
    </row>
    <row r="31" spans="1:40" s="108" customFormat="1" ht="32.1" customHeight="1" thickBot="1">
      <c r="A31" s="337"/>
      <c r="B31" s="338"/>
      <c r="C31" s="338"/>
      <c r="D31" s="338"/>
      <c r="E31" s="338"/>
      <c r="F31" s="338"/>
      <c r="G31" s="338"/>
      <c r="H31" s="338"/>
      <c r="I31" s="338"/>
      <c r="J31" s="338"/>
      <c r="K31" s="339"/>
      <c r="L31" s="135"/>
      <c r="M31" s="136"/>
      <c r="N31" s="136"/>
      <c r="O31" s="136"/>
      <c r="P31" s="136"/>
      <c r="Q31" s="136"/>
      <c r="R31" s="136"/>
      <c r="S31" s="136"/>
      <c r="T31" s="136"/>
      <c r="U31" s="136"/>
      <c r="V31" s="136"/>
      <c r="W31" s="136"/>
      <c r="X31" s="136"/>
      <c r="Y31" s="136"/>
      <c r="Z31" s="136"/>
      <c r="AA31" s="137"/>
      <c r="AG31" s="109"/>
      <c r="AH31" s="105"/>
      <c r="AI31" s="106"/>
      <c r="AJ31" s="107"/>
      <c r="AK31" s="109"/>
      <c r="AL31" s="109"/>
      <c r="AM31" s="109"/>
      <c r="AN31" s="109"/>
    </row>
    <row r="32" spans="1:40" s="108" customFormat="1" ht="51" customHeight="1">
      <c r="A32" s="334" t="s">
        <v>704</v>
      </c>
      <c r="B32" s="335"/>
      <c r="C32" s="335"/>
      <c r="D32" s="335"/>
      <c r="E32" s="335"/>
      <c r="F32" s="335"/>
      <c r="G32" s="335"/>
      <c r="H32" s="335"/>
      <c r="I32" s="335"/>
      <c r="J32" s="335"/>
      <c r="K32" s="335"/>
      <c r="L32" s="335"/>
      <c r="M32" s="335"/>
      <c r="N32" s="335"/>
      <c r="O32" s="335"/>
      <c r="P32" s="335"/>
      <c r="Q32" s="345"/>
      <c r="R32" s="347" t="s">
        <v>705</v>
      </c>
      <c r="S32" s="348"/>
      <c r="T32" s="349"/>
      <c r="U32" s="349"/>
      <c r="V32" s="349"/>
      <c r="W32" s="349"/>
      <c r="X32" s="349"/>
      <c r="Y32" s="349"/>
      <c r="Z32" s="349"/>
      <c r="AA32" s="350"/>
      <c r="AG32" s="109"/>
      <c r="AH32" s="105"/>
      <c r="AI32" s="106"/>
      <c r="AJ32" s="107"/>
      <c r="AK32" s="109"/>
      <c r="AL32" s="109"/>
      <c r="AM32" s="109"/>
      <c r="AN32" s="109"/>
    </row>
    <row r="33" spans="1:40" s="108" customFormat="1" ht="20.399999999999999" customHeight="1">
      <c r="A33" s="334"/>
      <c r="B33" s="335"/>
      <c r="C33" s="335"/>
      <c r="D33" s="335"/>
      <c r="E33" s="335"/>
      <c r="F33" s="335"/>
      <c r="G33" s="335"/>
      <c r="H33" s="335"/>
      <c r="I33" s="335"/>
      <c r="J33" s="335"/>
      <c r="K33" s="335"/>
      <c r="L33" s="335"/>
      <c r="M33" s="335"/>
      <c r="N33" s="335"/>
      <c r="O33" s="335"/>
      <c r="P33" s="335"/>
      <c r="Q33" s="345"/>
      <c r="R33" s="351" t="s">
        <v>706</v>
      </c>
      <c r="S33" s="353" t="s">
        <v>707</v>
      </c>
      <c r="T33" s="354"/>
      <c r="U33" s="355"/>
      <c r="V33" s="353" t="s">
        <v>708</v>
      </c>
      <c r="W33" s="354"/>
      <c r="X33" s="355"/>
      <c r="Y33" s="353" t="s">
        <v>709</v>
      </c>
      <c r="Z33" s="354"/>
      <c r="AA33" s="356"/>
      <c r="AG33" s="109"/>
      <c r="AH33" s="105"/>
      <c r="AI33" s="106"/>
      <c r="AJ33" s="107"/>
      <c r="AK33" s="109"/>
      <c r="AL33" s="109"/>
      <c r="AM33" s="109"/>
      <c r="AN33" s="109"/>
    </row>
    <row r="34" spans="1:40" s="108" customFormat="1" ht="57.75" customHeight="1" thickBot="1">
      <c r="A34" s="337"/>
      <c r="B34" s="338"/>
      <c r="C34" s="338"/>
      <c r="D34" s="338"/>
      <c r="E34" s="338"/>
      <c r="F34" s="338"/>
      <c r="G34" s="338"/>
      <c r="H34" s="338"/>
      <c r="I34" s="338"/>
      <c r="J34" s="338"/>
      <c r="K34" s="338"/>
      <c r="L34" s="338"/>
      <c r="M34" s="338"/>
      <c r="N34" s="338"/>
      <c r="O34" s="338"/>
      <c r="P34" s="338"/>
      <c r="Q34" s="346"/>
      <c r="R34" s="352"/>
      <c r="S34" s="357"/>
      <c r="T34" s="357"/>
      <c r="U34" s="357"/>
      <c r="V34" s="357"/>
      <c r="W34" s="357"/>
      <c r="X34" s="357"/>
      <c r="Y34" s="342"/>
      <c r="Z34" s="343"/>
      <c r="AA34" s="344"/>
      <c r="AG34" s="109"/>
      <c r="AH34" s="105"/>
      <c r="AI34" s="106"/>
      <c r="AJ34" s="107"/>
      <c r="AK34" s="109"/>
      <c r="AL34" s="109"/>
      <c r="AM34" s="109"/>
      <c r="AN34" s="109"/>
    </row>
  </sheetData>
  <mergeCells count="52">
    <mergeCell ref="Y34:AA34"/>
    <mergeCell ref="A28:K31"/>
    <mergeCell ref="A32:Q34"/>
    <mergeCell ref="R32:S32"/>
    <mergeCell ref="T32:AA32"/>
    <mergeCell ref="R33:R34"/>
    <mergeCell ref="S33:U33"/>
    <mergeCell ref="V33:X33"/>
    <mergeCell ref="Y33:AA33"/>
    <mergeCell ref="S34:U34"/>
    <mergeCell ref="V34:X34"/>
    <mergeCell ref="L27:AA27"/>
    <mergeCell ref="A18:K21"/>
    <mergeCell ref="A22:B22"/>
    <mergeCell ref="D22:E22"/>
    <mergeCell ref="F22:H22"/>
    <mergeCell ref="J22:K22"/>
    <mergeCell ref="L22:AA22"/>
    <mergeCell ref="A23:K26"/>
    <mergeCell ref="A27:B27"/>
    <mergeCell ref="D27:E27"/>
    <mergeCell ref="F27:H27"/>
    <mergeCell ref="J27:K27"/>
    <mergeCell ref="L17:AA17"/>
    <mergeCell ref="A8:K11"/>
    <mergeCell ref="A12:B12"/>
    <mergeCell ref="D12:E12"/>
    <mergeCell ref="F12:H12"/>
    <mergeCell ref="J12:K12"/>
    <mergeCell ref="L12:AA12"/>
    <mergeCell ref="A13:K16"/>
    <mergeCell ref="A17:B17"/>
    <mergeCell ref="D17:E17"/>
    <mergeCell ref="F17:H17"/>
    <mergeCell ref="J17:K17"/>
    <mergeCell ref="A5:F5"/>
    <mergeCell ref="H5:M5"/>
    <mergeCell ref="O5:R5"/>
    <mergeCell ref="T5:V5"/>
    <mergeCell ref="A7:B7"/>
    <mergeCell ref="D7:E7"/>
    <mergeCell ref="F7:H7"/>
    <mergeCell ref="J7:K7"/>
    <mergeCell ref="L7:AA7"/>
    <mergeCell ref="A3:F3"/>
    <mergeCell ref="H3:M3"/>
    <mergeCell ref="Z3:AA3"/>
    <mergeCell ref="A1:AA1"/>
    <mergeCell ref="A2:C2"/>
    <mergeCell ref="D2:L2"/>
    <mergeCell ref="M2:T2"/>
    <mergeCell ref="U2:AA2"/>
  </mergeCells>
  <conditionalFormatting sqref="L7:AA11">
    <cfRule type="expression" dxfId="4" priority="5">
      <formula>$C$7=0</formula>
    </cfRule>
  </conditionalFormatting>
  <conditionalFormatting sqref="L12:AA16">
    <cfRule type="expression" dxfId="3" priority="4">
      <formula>$C$12=0</formula>
    </cfRule>
  </conditionalFormatting>
  <conditionalFormatting sqref="L17:AA21">
    <cfRule type="expression" dxfId="2" priority="3">
      <formula>$C$17=0</formula>
    </cfRule>
  </conditionalFormatting>
  <conditionalFormatting sqref="L22:AA26">
    <cfRule type="expression" dxfId="1" priority="2">
      <formula>$C$22=0</formula>
    </cfRule>
  </conditionalFormatting>
  <conditionalFormatting sqref="L27:AA31">
    <cfRule type="expression" dxfId="0" priority="1">
      <formula>$C$27=0</formula>
    </cfRule>
  </conditionalFormatting>
  <dataValidations count="1">
    <dataValidation type="list" allowBlank="1" showInputMessage="1" showErrorMessage="1" sqref="C7 C12 C17 C22 C27" xr:uid="{00000000-0002-0000-0B00-000000000000}">
      <formula1>$AH$8:$AH$16</formula1>
    </dataValidation>
  </dataValidations>
  <printOptions horizontalCentered="1"/>
  <pageMargins left="0.51181102362204722" right="0.27559055118110237" top="0.31496062992125984" bottom="0.59055118110236227" header="0.27559055118110237" footer="0.23622047244094491"/>
  <pageSetup paperSize="9" scale="92" orientation="portrait" r:id="rId1"/>
  <headerFooter alignWithMargins="0">
    <oddFooter xml:space="preserve">&amp;L&amp;"Arial,Regular"&amp;10Retention Period: 1 Year.
5147_20170630_2&amp;C&amp;"Arial,Regular"&amp;10MAXXIS RUBBER INDIA PVT. LTD.&amp;R&amp;"Arial,Regular"&amp;10A4  NO.5147 </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rgb="FF00B050"/>
  </sheetPr>
  <dimension ref="A1:AS41"/>
  <sheetViews>
    <sheetView view="pageBreakPreview" zoomScaleNormal="100" zoomScaleSheetLayoutView="100" workbookViewId="0">
      <selection activeCell="AH46" sqref="AH46"/>
    </sheetView>
  </sheetViews>
  <sheetFormatPr defaultColWidth="9.109375" defaultRowHeight="15.6"/>
  <cols>
    <col min="1" max="45" width="3.88671875" style="140" customWidth="1"/>
    <col min="46" max="16384" width="9.109375" style="140"/>
  </cols>
  <sheetData>
    <row r="1" spans="1:45" ht="34.5" customHeight="1" thickBot="1">
      <c r="A1" s="419" t="s">
        <v>714</v>
      </c>
      <c r="B1" s="419"/>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c r="AI1" s="419"/>
      <c r="AJ1" s="419"/>
      <c r="AK1" s="419"/>
      <c r="AL1" s="419"/>
      <c r="AM1" s="419"/>
      <c r="AN1" s="419"/>
      <c r="AO1" s="419"/>
      <c r="AP1" s="419"/>
      <c r="AQ1" s="419"/>
      <c r="AR1" s="419"/>
      <c r="AS1" s="419"/>
    </row>
    <row r="2" spans="1:45" s="141" customFormat="1" ht="10.5" customHeight="1">
      <c r="A2" s="420" t="s">
        <v>715</v>
      </c>
      <c r="B2" s="421"/>
      <c r="C2" s="421"/>
      <c r="D2" s="421"/>
      <c r="E2" s="421"/>
      <c r="F2" s="421"/>
      <c r="G2" s="422"/>
      <c r="H2" s="426" t="s">
        <v>716</v>
      </c>
      <c r="I2" s="421"/>
      <c r="J2" s="421"/>
      <c r="K2" s="421"/>
      <c r="L2" s="421"/>
      <c r="M2" s="421"/>
      <c r="N2" s="421"/>
      <c r="O2" s="421"/>
      <c r="P2" s="421"/>
      <c r="Q2" s="421"/>
      <c r="R2" s="422"/>
      <c r="S2" s="426" t="s">
        <v>717</v>
      </c>
      <c r="T2" s="421"/>
      <c r="U2" s="421"/>
      <c r="V2" s="422"/>
      <c r="W2" s="428" t="s">
        <v>718</v>
      </c>
      <c r="X2" s="429"/>
      <c r="Y2" s="429"/>
      <c r="Z2" s="429"/>
      <c r="AA2" s="430"/>
      <c r="AB2" s="434" t="s">
        <v>719</v>
      </c>
      <c r="AC2" s="435"/>
      <c r="AD2" s="435"/>
      <c r="AE2" s="428"/>
      <c r="AF2" s="429"/>
      <c r="AG2" s="429"/>
      <c r="AH2" s="429"/>
      <c r="AI2" s="429"/>
      <c r="AJ2" s="430"/>
      <c r="AK2" s="441" t="s">
        <v>720</v>
      </c>
      <c r="AL2" s="442"/>
      <c r="AM2" s="443"/>
      <c r="AN2" s="441"/>
      <c r="AO2" s="442"/>
      <c r="AP2" s="442"/>
      <c r="AQ2" s="442"/>
      <c r="AR2" s="442"/>
      <c r="AS2" s="450"/>
    </row>
    <row r="3" spans="1:45" s="141" customFormat="1" ht="15.75" customHeight="1">
      <c r="A3" s="423"/>
      <c r="B3" s="424"/>
      <c r="C3" s="424"/>
      <c r="D3" s="424"/>
      <c r="E3" s="424"/>
      <c r="F3" s="424"/>
      <c r="G3" s="425"/>
      <c r="H3" s="427"/>
      <c r="I3" s="424"/>
      <c r="J3" s="424"/>
      <c r="K3" s="424"/>
      <c r="L3" s="424"/>
      <c r="M3" s="424"/>
      <c r="N3" s="424"/>
      <c r="O3" s="424"/>
      <c r="P3" s="424"/>
      <c r="Q3" s="424"/>
      <c r="R3" s="425"/>
      <c r="S3" s="427"/>
      <c r="T3" s="424"/>
      <c r="U3" s="424"/>
      <c r="V3" s="425"/>
      <c r="W3" s="431"/>
      <c r="X3" s="432"/>
      <c r="Y3" s="432"/>
      <c r="Z3" s="432"/>
      <c r="AA3" s="433"/>
      <c r="AB3" s="436"/>
      <c r="AC3" s="437"/>
      <c r="AD3" s="437"/>
      <c r="AE3" s="438"/>
      <c r="AF3" s="439"/>
      <c r="AG3" s="439"/>
      <c r="AH3" s="439"/>
      <c r="AI3" s="439"/>
      <c r="AJ3" s="440"/>
      <c r="AK3" s="444"/>
      <c r="AL3" s="445"/>
      <c r="AM3" s="446"/>
      <c r="AN3" s="444"/>
      <c r="AO3" s="445"/>
      <c r="AP3" s="445"/>
      <c r="AQ3" s="445"/>
      <c r="AR3" s="445"/>
      <c r="AS3" s="451"/>
    </row>
    <row r="4" spans="1:45" s="141" customFormat="1" ht="26.25" customHeight="1">
      <c r="A4" s="453" t="s">
        <v>721</v>
      </c>
      <c r="B4" s="415"/>
      <c r="C4" s="415"/>
      <c r="D4" s="415"/>
      <c r="E4" s="415"/>
      <c r="F4" s="415"/>
      <c r="G4" s="415"/>
      <c r="H4" s="414" t="s">
        <v>722</v>
      </c>
      <c r="I4" s="415"/>
      <c r="J4" s="415"/>
      <c r="K4" s="415"/>
      <c r="L4" s="415"/>
      <c r="M4" s="415"/>
      <c r="N4" s="415"/>
      <c r="O4" s="415"/>
      <c r="P4" s="415"/>
      <c r="Q4" s="415"/>
      <c r="R4" s="415"/>
      <c r="S4" s="414" t="s">
        <v>723</v>
      </c>
      <c r="T4" s="415"/>
      <c r="U4" s="415"/>
      <c r="V4" s="415"/>
      <c r="W4" s="415">
        <v>115</v>
      </c>
      <c r="X4" s="415"/>
      <c r="Y4" s="415"/>
      <c r="Z4" s="415"/>
      <c r="AA4" s="415"/>
      <c r="AB4" s="418"/>
      <c r="AC4" s="418"/>
      <c r="AD4" s="418"/>
      <c r="AE4" s="431"/>
      <c r="AF4" s="432"/>
      <c r="AG4" s="432"/>
      <c r="AH4" s="432"/>
      <c r="AI4" s="432"/>
      <c r="AJ4" s="433"/>
      <c r="AK4" s="447"/>
      <c r="AL4" s="448"/>
      <c r="AM4" s="449"/>
      <c r="AN4" s="447"/>
      <c r="AO4" s="448"/>
      <c r="AP4" s="448"/>
      <c r="AQ4" s="448"/>
      <c r="AR4" s="448"/>
      <c r="AS4" s="452"/>
    </row>
    <row r="5" spans="1:45" s="141" customFormat="1" ht="12.75" customHeight="1">
      <c r="A5" s="416" t="s">
        <v>724</v>
      </c>
      <c r="B5" s="372" t="s">
        <v>725</v>
      </c>
      <c r="C5" s="373"/>
      <c r="D5" s="373"/>
      <c r="E5" s="373"/>
      <c r="F5" s="373"/>
      <c r="G5" s="373"/>
      <c r="H5" s="373"/>
      <c r="I5" s="373"/>
      <c r="J5" s="373"/>
      <c r="K5" s="373"/>
      <c r="L5" s="372" t="s">
        <v>726</v>
      </c>
      <c r="M5" s="373"/>
      <c r="N5" s="373"/>
      <c r="O5" s="373"/>
      <c r="P5" s="373"/>
      <c r="Q5" s="373"/>
      <c r="R5" s="373"/>
      <c r="S5" s="373"/>
      <c r="T5" s="373"/>
      <c r="U5" s="373"/>
      <c r="V5" s="373"/>
      <c r="W5" s="373"/>
      <c r="X5" s="417" t="s">
        <v>727</v>
      </c>
      <c r="Y5" s="418"/>
      <c r="Z5" s="418"/>
      <c r="AA5" s="418"/>
      <c r="AB5" s="418"/>
      <c r="AC5" s="418"/>
      <c r="AD5" s="412" t="s">
        <v>728</v>
      </c>
      <c r="AE5" s="412"/>
      <c r="AF5" s="412"/>
      <c r="AG5" s="412"/>
      <c r="AH5" s="412"/>
      <c r="AI5" s="412"/>
      <c r="AJ5" s="412"/>
      <c r="AK5" s="412"/>
      <c r="AL5" s="412"/>
      <c r="AM5" s="412"/>
      <c r="AN5" s="412"/>
      <c r="AO5" s="412"/>
      <c r="AP5" s="412"/>
      <c r="AQ5" s="412"/>
      <c r="AR5" s="412"/>
      <c r="AS5" s="413"/>
    </row>
    <row r="6" spans="1:45" s="141" customFormat="1" ht="12.75" customHeight="1">
      <c r="A6" s="416"/>
      <c r="B6" s="373"/>
      <c r="C6" s="373"/>
      <c r="D6" s="373"/>
      <c r="E6" s="373"/>
      <c r="F6" s="373"/>
      <c r="G6" s="373"/>
      <c r="H6" s="373"/>
      <c r="I6" s="373"/>
      <c r="J6" s="373"/>
      <c r="K6" s="373"/>
      <c r="L6" s="373"/>
      <c r="M6" s="373"/>
      <c r="N6" s="373"/>
      <c r="O6" s="373"/>
      <c r="P6" s="373"/>
      <c r="Q6" s="373"/>
      <c r="R6" s="373"/>
      <c r="S6" s="373"/>
      <c r="T6" s="373"/>
      <c r="U6" s="373"/>
      <c r="V6" s="373"/>
      <c r="W6" s="373"/>
      <c r="X6" s="418"/>
      <c r="Y6" s="418"/>
      <c r="Z6" s="418"/>
      <c r="AA6" s="418"/>
      <c r="AB6" s="418"/>
      <c r="AC6" s="418"/>
      <c r="AD6" s="142">
        <v>1</v>
      </c>
      <c r="AE6" s="142">
        <v>2</v>
      </c>
      <c r="AF6" s="142">
        <v>3</v>
      </c>
      <c r="AG6" s="142">
        <v>4</v>
      </c>
      <c r="AH6" s="142">
        <v>5</v>
      </c>
      <c r="AI6" s="142">
        <v>6</v>
      </c>
      <c r="AJ6" s="142">
        <v>7</v>
      </c>
      <c r="AK6" s="142">
        <v>8</v>
      </c>
      <c r="AL6" s="142">
        <v>9</v>
      </c>
      <c r="AM6" s="142">
        <v>10</v>
      </c>
      <c r="AN6" s="142">
        <v>11</v>
      </c>
      <c r="AO6" s="142">
        <v>12</v>
      </c>
      <c r="AP6" s="142">
        <v>13</v>
      </c>
      <c r="AQ6" s="142">
        <v>14</v>
      </c>
      <c r="AR6" s="142">
        <v>15</v>
      </c>
      <c r="AS6" s="143">
        <v>16</v>
      </c>
    </row>
    <row r="7" spans="1:45" s="141" customFormat="1" ht="12.75" customHeight="1">
      <c r="A7" s="416"/>
      <c r="B7" s="373"/>
      <c r="C7" s="373"/>
      <c r="D7" s="373"/>
      <c r="E7" s="373"/>
      <c r="F7" s="373"/>
      <c r="G7" s="373"/>
      <c r="H7" s="373"/>
      <c r="I7" s="373"/>
      <c r="J7" s="373"/>
      <c r="K7" s="373"/>
      <c r="L7" s="373"/>
      <c r="M7" s="373"/>
      <c r="N7" s="373"/>
      <c r="O7" s="373"/>
      <c r="P7" s="373"/>
      <c r="Q7" s="373"/>
      <c r="R7" s="373"/>
      <c r="S7" s="373"/>
      <c r="T7" s="373"/>
      <c r="U7" s="373"/>
      <c r="V7" s="373"/>
      <c r="W7" s="373"/>
      <c r="X7" s="418"/>
      <c r="Y7" s="418"/>
      <c r="Z7" s="418"/>
      <c r="AA7" s="418"/>
      <c r="AB7" s="418"/>
      <c r="AC7" s="418"/>
      <c r="AD7" s="144">
        <v>17</v>
      </c>
      <c r="AE7" s="144">
        <v>18</v>
      </c>
      <c r="AF7" s="144">
        <v>19</v>
      </c>
      <c r="AG7" s="144">
        <v>20</v>
      </c>
      <c r="AH7" s="144">
        <v>21</v>
      </c>
      <c r="AI7" s="144">
        <v>22</v>
      </c>
      <c r="AJ7" s="144">
        <v>23</v>
      </c>
      <c r="AK7" s="144">
        <v>24</v>
      </c>
      <c r="AL7" s="144">
        <v>25</v>
      </c>
      <c r="AM7" s="144">
        <v>26</v>
      </c>
      <c r="AN7" s="144">
        <v>27</v>
      </c>
      <c r="AO7" s="144">
        <v>28</v>
      </c>
      <c r="AP7" s="144">
        <v>29</v>
      </c>
      <c r="AQ7" s="144">
        <v>30</v>
      </c>
      <c r="AR7" s="144">
        <v>31</v>
      </c>
      <c r="AS7" s="145"/>
    </row>
    <row r="8" spans="1:45" s="141" customFormat="1" ht="12" customHeight="1">
      <c r="A8" s="404">
        <v>1</v>
      </c>
      <c r="B8" s="380" t="s">
        <v>729</v>
      </c>
      <c r="C8" s="381"/>
      <c r="D8" s="381"/>
      <c r="E8" s="381"/>
      <c r="F8" s="381"/>
      <c r="G8" s="381"/>
      <c r="H8" s="381"/>
      <c r="I8" s="381"/>
      <c r="J8" s="381"/>
      <c r="K8" s="382"/>
      <c r="L8" s="380" t="s">
        <v>730</v>
      </c>
      <c r="M8" s="381"/>
      <c r="N8" s="381"/>
      <c r="O8" s="381"/>
      <c r="P8" s="381"/>
      <c r="Q8" s="381"/>
      <c r="R8" s="381"/>
      <c r="S8" s="381"/>
      <c r="T8" s="381"/>
      <c r="U8" s="381"/>
      <c r="V8" s="381"/>
      <c r="W8" s="382"/>
      <c r="X8" s="398" t="s">
        <v>731</v>
      </c>
      <c r="Y8" s="399"/>
      <c r="Z8" s="399"/>
      <c r="AA8" s="399"/>
      <c r="AB8" s="399"/>
      <c r="AC8" s="400"/>
      <c r="AD8" s="142"/>
      <c r="AE8" s="142"/>
      <c r="AF8" s="142"/>
      <c r="AG8" s="142"/>
      <c r="AH8" s="142"/>
      <c r="AI8" s="142"/>
      <c r="AJ8" s="142"/>
      <c r="AK8" s="142"/>
      <c r="AL8" s="142"/>
      <c r="AM8" s="142"/>
      <c r="AN8" s="142"/>
      <c r="AO8" s="142"/>
      <c r="AP8" s="142"/>
      <c r="AQ8" s="142"/>
      <c r="AR8" s="142"/>
      <c r="AS8" s="143"/>
    </row>
    <row r="9" spans="1:45" s="141" customFormat="1" ht="12" customHeight="1">
      <c r="A9" s="404"/>
      <c r="B9" s="386" t="s">
        <v>732</v>
      </c>
      <c r="C9" s="387"/>
      <c r="D9" s="387"/>
      <c r="E9" s="387"/>
      <c r="F9" s="387"/>
      <c r="G9" s="387"/>
      <c r="H9" s="387"/>
      <c r="I9" s="387"/>
      <c r="J9" s="387"/>
      <c r="K9" s="388"/>
      <c r="L9" s="386" t="s">
        <v>733</v>
      </c>
      <c r="M9" s="387"/>
      <c r="N9" s="387"/>
      <c r="O9" s="387"/>
      <c r="P9" s="387"/>
      <c r="Q9" s="387"/>
      <c r="R9" s="387"/>
      <c r="S9" s="387"/>
      <c r="T9" s="387"/>
      <c r="U9" s="387"/>
      <c r="V9" s="387"/>
      <c r="W9" s="388"/>
      <c r="X9" s="386" t="s">
        <v>734</v>
      </c>
      <c r="Y9" s="387"/>
      <c r="Z9" s="387"/>
      <c r="AA9" s="387"/>
      <c r="AB9" s="387"/>
      <c r="AC9" s="388"/>
      <c r="AD9" s="144"/>
      <c r="AE9" s="144"/>
      <c r="AF9" s="144"/>
      <c r="AG9" s="144"/>
      <c r="AH9" s="144"/>
      <c r="AI9" s="144"/>
      <c r="AJ9" s="144"/>
      <c r="AK9" s="144"/>
      <c r="AL9" s="144"/>
      <c r="AM9" s="144"/>
      <c r="AN9" s="144"/>
      <c r="AO9" s="144"/>
      <c r="AP9" s="144"/>
      <c r="AQ9" s="144"/>
      <c r="AR9" s="144"/>
      <c r="AS9" s="145"/>
    </row>
    <row r="10" spans="1:45" s="141" customFormat="1" ht="12" customHeight="1">
      <c r="A10" s="404">
        <v>2</v>
      </c>
      <c r="B10" s="380" t="s">
        <v>735</v>
      </c>
      <c r="C10" s="381"/>
      <c r="D10" s="381"/>
      <c r="E10" s="381"/>
      <c r="F10" s="381"/>
      <c r="G10" s="381"/>
      <c r="H10" s="381"/>
      <c r="I10" s="381"/>
      <c r="J10" s="381"/>
      <c r="K10" s="382"/>
      <c r="L10" s="380" t="s">
        <v>736</v>
      </c>
      <c r="M10" s="381"/>
      <c r="N10" s="381"/>
      <c r="O10" s="381"/>
      <c r="P10" s="381"/>
      <c r="Q10" s="381"/>
      <c r="R10" s="381"/>
      <c r="S10" s="381"/>
      <c r="T10" s="381"/>
      <c r="U10" s="381"/>
      <c r="V10" s="381"/>
      <c r="W10" s="382"/>
      <c r="X10" s="398" t="s">
        <v>737</v>
      </c>
      <c r="Y10" s="399"/>
      <c r="Z10" s="399"/>
      <c r="AA10" s="399"/>
      <c r="AB10" s="399"/>
      <c r="AC10" s="400"/>
      <c r="AD10" s="142"/>
      <c r="AE10" s="142"/>
      <c r="AF10" s="142"/>
      <c r="AG10" s="142"/>
      <c r="AH10" s="142"/>
      <c r="AI10" s="142"/>
      <c r="AJ10" s="142"/>
      <c r="AK10" s="142"/>
      <c r="AL10" s="142"/>
      <c r="AM10" s="142"/>
      <c r="AN10" s="142"/>
      <c r="AO10" s="142"/>
      <c r="AP10" s="142"/>
      <c r="AQ10" s="142"/>
      <c r="AR10" s="142"/>
      <c r="AS10" s="143"/>
    </row>
    <row r="11" spans="1:45" s="141" customFormat="1" ht="12" customHeight="1">
      <c r="A11" s="404"/>
      <c r="B11" s="386" t="s">
        <v>738</v>
      </c>
      <c r="C11" s="387"/>
      <c r="D11" s="387"/>
      <c r="E11" s="387"/>
      <c r="F11" s="387"/>
      <c r="G11" s="387"/>
      <c r="H11" s="387"/>
      <c r="I11" s="387"/>
      <c r="J11" s="387"/>
      <c r="K11" s="388"/>
      <c r="L11" s="386" t="s">
        <v>739</v>
      </c>
      <c r="M11" s="387"/>
      <c r="N11" s="387"/>
      <c r="O11" s="387"/>
      <c r="P11" s="387"/>
      <c r="Q11" s="387"/>
      <c r="R11" s="387"/>
      <c r="S11" s="387"/>
      <c r="T11" s="387"/>
      <c r="U11" s="387"/>
      <c r="V11" s="387"/>
      <c r="W11" s="388"/>
      <c r="X11" s="386" t="s">
        <v>740</v>
      </c>
      <c r="Y11" s="387"/>
      <c r="Z11" s="387"/>
      <c r="AA11" s="387"/>
      <c r="AB11" s="387"/>
      <c r="AC11" s="388"/>
      <c r="AD11" s="144"/>
      <c r="AE11" s="144"/>
      <c r="AF11" s="144"/>
      <c r="AG11" s="144"/>
      <c r="AH11" s="144"/>
      <c r="AI11" s="144"/>
      <c r="AJ11" s="144"/>
      <c r="AK11" s="144"/>
      <c r="AL11" s="144"/>
      <c r="AM11" s="144"/>
      <c r="AN11" s="144"/>
      <c r="AO11" s="144"/>
      <c r="AP11" s="144"/>
      <c r="AQ11" s="144"/>
      <c r="AR11" s="144"/>
      <c r="AS11" s="145"/>
    </row>
    <row r="12" spans="1:45" s="141" customFormat="1" ht="12" customHeight="1">
      <c r="A12" s="378">
        <v>3</v>
      </c>
      <c r="B12" s="398" t="s">
        <v>741</v>
      </c>
      <c r="C12" s="399"/>
      <c r="D12" s="399"/>
      <c r="E12" s="399"/>
      <c r="F12" s="399"/>
      <c r="G12" s="399"/>
      <c r="H12" s="399"/>
      <c r="I12" s="399"/>
      <c r="J12" s="399"/>
      <c r="K12" s="400"/>
      <c r="L12" s="380" t="s">
        <v>742</v>
      </c>
      <c r="M12" s="381"/>
      <c r="N12" s="381"/>
      <c r="O12" s="381"/>
      <c r="P12" s="381"/>
      <c r="Q12" s="381"/>
      <c r="R12" s="381"/>
      <c r="S12" s="381"/>
      <c r="T12" s="381"/>
      <c r="U12" s="381"/>
      <c r="V12" s="381"/>
      <c r="W12" s="382"/>
      <c r="X12" s="398" t="s">
        <v>743</v>
      </c>
      <c r="Y12" s="399"/>
      <c r="Z12" s="399"/>
      <c r="AA12" s="399"/>
      <c r="AB12" s="399"/>
      <c r="AC12" s="400"/>
      <c r="AD12" s="142"/>
      <c r="AE12" s="142"/>
      <c r="AF12" s="142"/>
      <c r="AG12" s="142"/>
      <c r="AH12" s="142"/>
      <c r="AI12" s="142"/>
      <c r="AJ12" s="142"/>
      <c r="AK12" s="142"/>
      <c r="AL12" s="142"/>
      <c r="AM12" s="142"/>
      <c r="AN12" s="142"/>
      <c r="AO12" s="142"/>
      <c r="AP12" s="142"/>
      <c r="AQ12" s="142"/>
      <c r="AR12" s="142"/>
      <c r="AS12" s="143"/>
    </row>
    <row r="13" spans="1:45" s="141" customFormat="1" ht="12" customHeight="1">
      <c r="A13" s="408"/>
      <c r="B13" s="409"/>
      <c r="C13" s="410"/>
      <c r="D13" s="410"/>
      <c r="E13" s="410"/>
      <c r="F13" s="410"/>
      <c r="G13" s="410"/>
      <c r="H13" s="410"/>
      <c r="I13" s="410"/>
      <c r="J13" s="410"/>
      <c r="K13" s="411"/>
      <c r="L13" s="386" t="s">
        <v>744</v>
      </c>
      <c r="M13" s="387"/>
      <c r="N13" s="387"/>
      <c r="O13" s="387"/>
      <c r="P13" s="387"/>
      <c r="Q13" s="387"/>
      <c r="R13" s="387"/>
      <c r="S13" s="387"/>
      <c r="T13" s="387"/>
      <c r="U13" s="387"/>
      <c r="V13" s="387"/>
      <c r="W13" s="388"/>
      <c r="X13" s="386" t="s">
        <v>745</v>
      </c>
      <c r="Y13" s="387"/>
      <c r="Z13" s="387"/>
      <c r="AA13" s="387"/>
      <c r="AB13" s="387"/>
      <c r="AC13" s="388"/>
      <c r="AD13" s="144"/>
      <c r="AE13" s="144"/>
      <c r="AF13" s="144"/>
      <c r="AG13" s="144"/>
      <c r="AH13" s="144"/>
      <c r="AI13" s="144"/>
      <c r="AJ13" s="144"/>
      <c r="AK13" s="144"/>
      <c r="AL13" s="144"/>
      <c r="AM13" s="144"/>
      <c r="AN13" s="144"/>
      <c r="AO13" s="144"/>
      <c r="AP13" s="144"/>
      <c r="AQ13" s="144"/>
      <c r="AR13" s="144"/>
      <c r="AS13" s="145"/>
    </row>
    <row r="14" spans="1:45" s="141" customFormat="1" ht="12" customHeight="1">
      <c r="A14" s="408"/>
      <c r="B14" s="401" t="s">
        <v>746</v>
      </c>
      <c r="C14" s="402"/>
      <c r="D14" s="402"/>
      <c r="E14" s="402"/>
      <c r="F14" s="402"/>
      <c r="G14" s="402"/>
      <c r="H14" s="402"/>
      <c r="I14" s="402"/>
      <c r="J14" s="402"/>
      <c r="K14" s="403"/>
      <c r="L14" s="380" t="s">
        <v>747</v>
      </c>
      <c r="M14" s="381"/>
      <c r="N14" s="381"/>
      <c r="O14" s="381"/>
      <c r="P14" s="381"/>
      <c r="Q14" s="381"/>
      <c r="R14" s="381"/>
      <c r="S14" s="381"/>
      <c r="T14" s="381"/>
      <c r="U14" s="381"/>
      <c r="V14" s="381"/>
      <c r="W14" s="382"/>
      <c r="X14" s="398" t="s">
        <v>748</v>
      </c>
      <c r="Y14" s="399"/>
      <c r="Z14" s="399"/>
      <c r="AA14" s="399"/>
      <c r="AB14" s="399"/>
      <c r="AC14" s="400"/>
      <c r="AD14" s="142"/>
      <c r="AE14" s="142"/>
      <c r="AF14" s="142"/>
      <c r="AG14" s="142"/>
      <c r="AH14" s="142"/>
      <c r="AI14" s="142"/>
      <c r="AJ14" s="142"/>
      <c r="AK14" s="142"/>
      <c r="AL14" s="142"/>
      <c r="AM14" s="142"/>
      <c r="AN14" s="142"/>
      <c r="AO14" s="142"/>
      <c r="AP14" s="142"/>
      <c r="AQ14" s="142"/>
      <c r="AR14" s="142"/>
      <c r="AS14" s="143"/>
    </row>
    <row r="15" spans="1:45" s="141" customFormat="1" ht="12" customHeight="1">
      <c r="A15" s="379"/>
      <c r="B15" s="386"/>
      <c r="C15" s="387"/>
      <c r="D15" s="387"/>
      <c r="E15" s="387"/>
      <c r="F15" s="387"/>
      <c r="G15" s="387"/>
      <c r="H15" s="387"/>
      <c r="I15" s="387"/>
      <c r="J15" s="387"/>
      <c r="K15" s="388"/>
      <c r="L15" s="386" t="s">
        <v>749</v>
      </c>
      <c r="M15" s="387"/>
      <c r="N15" s="387"/>
      <c r="O15" s="387"/>
      <c r="P15" s="387"/>
      <c r="Q15" s="387"/>
      <c r="R15" s="387"/>
      <c r="S15" s="387"/>
      <c r="T15" s="387"/>
      <c r="U15" s="387"/>
      <c r="V15" s="387"/>
      <c r="W15" s="388"/>
      <c r="X15" s="386" t="s">
        <v>750</v>
      </c>
      <c r="Y15" s="387"/>
      <c r="Z15" s="387"/>
      <c r="AA15" s="387"/>
      <c r="AB15" s="387"/>
      <c r="AC15" s="388"/>
      <c r="AD15" s="144"/>
      <c r="AE15" s="144"/>
      <c r="AF15" s="144"/>
      <c r="AG15" s="144"/>
      <c r="AH15" s="144"/>
      <c r="AI15" s="144"/>
      <c r="AJ15" s="144"/>
      <c r="AK15" s="144"/>
      <c r="AL15" s="144"/>
      <c r="AM15" s="144"/>
      <c r="AN15" s="144"/>
      <c r="AO15" s="144"/>
      <c r="AP15" s="144"/>
      <c r="AQ15" s="144"/>
      <c r="AR15" s="144"/>
      <c r="AS15" s="145"/>
    </row>
    <row r="16" spans="1:45" s="141" customFormat="1" ht="12" customHeight="1">
      <c r="A16" s="404">
        <v>4</v>
      </c>
      <c r="B16" s="380" t="s">
        <v>751</v>
      </c>
      <c r="C16" s="381"/>
      <c r="D16" s="381"/>
      <c r="E16" s="381"/>
      <c r="F16" s="381"/>
      <c r="G16" s="381"/>
      <c r="H16" s="381"/>
      <c r="I16" s="381"/>
      <c r="J16" s="381"/>
      <c r="K16" s="382"/>
      <c r="L16" s="380" t="s">
        <v>752</v>
      </c>
      <c r="M16" s="381"/>
      <c r="N16" s="381"/>
      <c r="O16" s="381"/>
      <c r="P16" s="381"/>
      <c r="Q16" s="381"/>
      <c r="R16" s="381"/>
      <c r="S16" s="381"/>
      <c r="T16" s="381"/>
      <c r="U16" s="381"/>
      <c r="V16" s="381"/>
      <c r="W16" s="382"/>
      <c r="X16" s="398" t="s">
        <v>753</v>
      </c>
      <c r="Y16" s="399"/>
      <c r="Z16" s="399"/>
      <c r="AA16" s="399"/>
      <c r="AB16" s="399"/>
      <c r="AC16" s="400"/>
      <c r="AD16" s="142"/>
      <c r="AE16" s="142"/>
      <c r="AF16" s="142"/>
      <c r="AG16" s="142"/>
      <c r="AH16" s="142"/>
      <c r="AI16" s="142"/>
      <c r="AJ16" s="142"/>
      <c r="AK16" s="142"/>
      <c r="AL16" s="142"/>
      <c r="AM16" s="142"/>
      <c r="AN16" s="142"/>
      <c r="AO16" s="142"/>
      <c r="AP16" s="142"/>
      <c r="AQ16" s="142"/>
      <c r="AR16" s="142"/>
      <c r="AS16" s="143"/>
    </row>
    <row r="17" spans="1:45" s="141" customFormat="1" ht="12" customHeight="1">
      <c r="A17" s="404"/>
      <c r="B17" s="386" t="s">
        <v>754</v>
      </c>
      <c r="C17" s="387"/>
      <c r="D17" s="387"/>
      <c r="E17" s="387"/>
      <c r="F17" s="387"/>
      <c r="G17" s="387"/>
      <c r="H17" s="387"/>
      <c r="I17" s="387"/>
      <c r="J17" s="387"/>
      <c r="K17" s="388"/>
      <c r="L17" s="386" t="s">
        <v>755</v>
      </c>
      <c r="M17" s="387"/>
      <c r="N17" s="387"/>
      <c r="O17" s="387"/>
      <c r="P17" s="387"/>
      <c r="Q17" s="387"/>
      <c r="R17" s="387"/>
      <c r="S17" s="387"/>
      <c r="T17" s="387"/>
      <c r="U17" s="387"/>
      <c r="V17" s="387"/>
      <c r="W17" s="388"/>
      <c r="X17" s="386" t="s">
        <v>756</v>
      </c>
      <c r="Y17" s="387"/>
      <c r="Z17" s="387"/>
      <c r="AA17" s="387"/>
      <c r="AB17" s="387"/>
      <c r="AC17" s="388"/>
      <c r="AD17" s="144"/>
      <c r="AE17" s="144"/>
      <c r="AF17" s="144"/>
      <c r="AG17" s="144"/>
      <c r="AH17" s="144"/>
      <c r="AI17" s="144"/>
      <c r="AJ17" s="144"/>
      <c r="AK17" s="144"/>
      <c r="AL17" s="144"/>
      <c r="AM17" s="144"/>
      <c r="AN17" s="144"/>
      <c r="AO17" s="144"/>
      <c r="AP17" s="144"/>
      <c r="AQ17" s="144"/>
      <c r="AR17" s="144"/>
      <c r="AS17" s="145"/>
    </row>
    <row r="18" spans="1:45" s="141" customFormat="1" ht="12" customHeight="1">
      <c r="A18" s="404">
        <v>5</v>
      </c>
      <c r="B18" s="380" t="s">
        <v>757</v>
      </c>
      <c r="C18" s="381"/>
      <c r="D18" s="381"/>
      <c r="E18" s="381"/>
      <c r="F18" s="381"/>
      <c r="G18" s="381"/>
      <c r="H18" s="381"/>
      <c r="I18" s="381"/>
      <c r="J18" s="381"/>
      <c r="K18" s="382"/>
      <c r="L18" s="380" t="s">
        <v>758</v>
      </c>
      <c r="M18" s="381"/>
      <c r="N18" s="381"/>
      <c r="O18" s="381"/>
      <c r="P18" s="381"/>
      <c r="Q18" s="381"/>
      <c r="R18" s="381"/>
      <c r="S18" s="381"/>
      <c r="T18" s="381"/>
      <c r="U18" s="381"/>
      <c r="V18" s="381"/>
      <c r="W18" s="382"/>
      <c r="X18" s="398" t="s">
        <v>759</v>
      </c>
      <c r="Y18" s="399"/>
      <c r="Z18" s="399"/>
      <c r="AA18" s="399"/>
      <c r="AB18" s="399"/>
      <c r="AC18" s="400"/>
      <c r="AD18" s="142"/>
      <c r="AE18" s="142"/>
      <c r="AF18" s="142"/>
      <c r="AG18" s="142"/>
      <c r="AH18" s="142"/>
      <c r="AI18" s="142"/>
      <c r="AJ18" s="142"/>
      <c r="AK18" s="142"/>
      <c r="AL18" s="142"/>
      <c r="AM18" s="142"/>
      <c r="AN18" s="142"/>
      <c r="AO18" s="142"/>
      <c r="AP18" s="142"/>
      <c r="AQ18" s="142"/>
      <c r="AR18" s="142"/>
      <c r="AS18" s="143"/>
    </row>
    <row r="19" spans="1:45" s="141" customFormat="1" ht="12" customHeight="1">
      <c r="A19" s="404"/>
      <c r="B19" s="386" t="s">
        <v>760</v>
      </c>
      <c r="C19" s="387"/>
      <c r="D19" s="387"/>
      <c r="E19" s="387"/>
      <c r="F19" s="387"/>
      <c r="G19" s="387"/>
      <c r="H19" s="387"/>
      <c r="I19" s="387"/>
      <c r="J19" s="387"/>
      <c r="K19" s="388"/>
      <c r="L19" s="386" t="s">
        <v>761</v>
      </c>
      <c r="M19" s="387"/>
      <c r="N19" s="387"/>
      <c r="O19" s="387"/>
      <c r="P19" s="387"/>
      <c r="Q19" s="387"/>
      <c r="R19" s="387"/>
      <c r="S19" s="387"/>
      <c r="T19" s="387"/>
      <c r="U19" s="387"/>
      <c r="V19" s="387"/>
      <c r="W19" s="388"/>
      <c r="X19" s="386" t="s">
        <v>762</v>
      </c>
      <c r="Y19" s="387"/>
      <c r="Z19" s="387"/>
      <c r="AA19" s="387"/>
      <c r="AB19" s="387"/>
      <c r="AC19" s="388"/>
      <c r="AD19" s="144"/>
      <c r="AE19" s="144"/>
      <c r="AF19" s="144"/>
      <c r="AG19" s="144"/>
      <c r="AH19" s="144"/>
      <c r="AI19" s="144"/>
      <c r="AJ19" s="144"/>
      <c r="AK19" s="144"/>
      <c r="AL19" s="144"/>
      <c r="AM19" s="144"/>
      <c r="AN19" s="144"/>
      <c r="AO19" s="144"/>
      <c r="AP19" s="144"/>
      <c r="AQ19" s="144"/>
      <c r="AR19" s="144"/>
      <c r="AS19" s="145"/>
    </row>
    <row r="20" spans="1:45" s="141" customFormat="1" ht="12" customHeight="1">
      <c r="A20" s="404">
        <v>6</v>
      </c>
      <c r="B20" s="380" t="s">
        <v>763</v>
      </c>
      <c r="C20" s="381"/>
      <c r="D20" s="381"/>
      <c r="E20" s="381"/>
      <c r="F20" s="381"/>
      <c r="G20" s="381"/>
      <c r="H20" s="381"/>
      <c r="I20" s="381"/>
      <c r="J20" s="381"/>
      <c r="K20" s="382"/>
      <c r="L20" s="380" t="s">
        <v>764</v>
      </c>
      <c r="M20" s="381"/>
      <c r="N20" s="381"/>
      <c r="O20" s="381"/>
      <c r="P20" s="381"/>
      <c r="Q20" s="381"/>
      <c r="R20" s="381"/>
      <c r="S20" s="381"/>
      <c r="T20" s="381"/>
      <c r="U20" s="381"/>
      <c r="V20" s="381"/>
      <c r="W20" s="382"/>
      <c r="X20" s="405" t="s">
        <v>765</v>
      </c>
      <c r="Y20" s="406"/>
      <c r="Z20" s="406"/>
      <c r="AA20" s="406"/>
      <c r="AB20" s="406"/>
      <c r="AC20" s="407"/>
      <c r="AD20" s="142"/>
      <c r="AE20" s="142"/>
      <c r="AF20" s="142"/>
      <c r="AG20" s="142"/>
      <c r="AH20" s="142"/>
      <c r="AI20" s="142"/>
      <c r="AJ20" s="142"/>
      <c r="AK20" s="142"/>
      <c r="AL20" s="142"/>
      <c r="AM20" s="142"/>
      <c r="AN20" s="142"/>
      <c r="AO20" s="142"/>
      <c r="AP20" s="142"/>
      <c r="AQ20" s="142"/>
      <c r="AR20" s="142"/>
      <c r="AS20" s="143"/>
    </row>
    <row r="21" spans="1:45" s="141" customFormat="1" ht="12" customHeight="1">
      <c r="A21" s="404"/>
      <c r="B21" s="386" t="s">
        <v>766</v>
      </c>
      <c r="C21" s="387"/>
      <c r="D21" s="387"/>
      <c r="E21" s="387"/>
      <c r="F21" s="387"/>
      <c r="G21" s="387"/>
      <c r="H21" s="387"/>
      <c r="I21" s="387"/>
      <c r="J21" s="387"/>
      <c r="K21" s="388"/>
      <c r="L21" s="386" t="s">
        <v>767</v>
      </c>
      <c r="M21" s="387"/>
      <c r="N21" s="387"/>
      <c r="O21" s="387"/>
      <c r="P21" s="387"/>
      <c r="Q21" s="387"/>
      <c r="R21" s="387"/>
      <c r="S21" s="387"/>
      <c r="T21" s="387"/>
      <c r="U21" s="387"/>
      <c r="V21" s="387"/>
      <c r="W21" s="388"/>
      <c r="X21" s="386" t="s">
        <v>768</v>
      </c>
      <c r="Y21" s="387"/>
      <c r="Z21" s="387"/>
      <c r="AA21" s="387"/>
      <c r="AB21" s="387"/>
      <c r="AC21" s="388"/>
      <c r="AD21" s="144"/>
      <c r="AE21" s="144"/>
      <c r="AF21" s="144"/>
      <c r="AG21" s="144"/>
      <c r="AH21" s="144"/>
      <c r="AI21" s="144"/>
      <c r="AJ21" s="144"/>
      <c r="AK21" s="144"/>
      <c r="AL21" s="144"/>
      <c r="AM21" s="144"/>
      <c r="AN21" s="144"/>
      <c r="AO21" s="144"/>
      <c r="AP21" s="144"/>
      <c r="AQ21" s="144"/>
      <c r="AR21" s="144"/>
      <c r="AS21" s="145"/>
    </row>
    <row r="22" spans="1:45" s="141" customFormat="1" ht="12" customHeight="1">
      <c r="A22" s="404">
        <v>7</v>
      </c>
      <c r="B22" s="380" t="s">
        <v>769</v>
      </c>
      <c r="C22" s="381"/>
      <c r="D22" s="381"/>
      <c r="E22" s="381"/>
      <c r="F22" s="381"/>
      <c r="G22" s="381"/>
      <c r="H22" s="381"/>
      <c r="I22" s="381"/>
      <c r="J22" s="381"/>
      <c r="K22" s="382"/>
      <c r="L22" s="380" t="s">
        <v>764</v>
      </c>
      <c r="M22" s="381"/>
      <c r="N22" s="381"/>
      <c r="O22" s="381"/>
      <c r="P22" s="381"/>
      <c r="Q22" s="381"/>
      <c r="R22" s="381"/>
      <c r="S22" s="381"/>
      <c r="T22" s="381"/>
      <c r="U22" s="381"/>
      <c r="V22" s="381"/>
      <c r="W22" s="382"/>
      <c r="X22" s="405" t="s">
        <v>765</v>
      </c>
      <c r="Y22" s="406"/>
      <c r="Z22" s="406"/>
      <c r="AA22" s="406"/>
      <c r="AB22" s="406"/>
      <c r="AC22" s="407"/>
      <c r="AD22" s="142"/>
      <c r="AE22" s="142"/>
      <c r="AF22" s="142"/>
      <c r="AG22" s="142"/>
      <c r="AH22" s="142"/>
      <c r="AI22" s="142"/>
      <c r="AJ22" s="142"/>
      <c r="AK22" s="142"/>
      <c r="AL22" s="142"/>
      <c r="AM22" s="142"/>
      <c r="AN22" s="142"/>
      <c r="AO22" s="142"/>
      <c r="AP22" s="142"/>
      <c r="AQ22" s="142"/>
      <c r="AR22" s="142"/>
      <c r="AS22" s="143"/>
    </row>
    <row r="23" spans="1:45" s="141" customFormat="1" ht="12" customHeight="1">
      <c r="A23" s="404"/>
      <c r="B23" s="386" t="s">
        <v>770</v>
      </c>
      <c r="C23" s="387"/>
      <c r="D23" s="387"/>
      <c r="E23" s="387"/>
      <c r="F23" s="387"/>
      <c r="G23" s="387"/>
      <c r="H23" s="387"/>
      <c r="I23" s="387"/>
      <c r="J23" s="387"/>
      <c r="K23" s="388"/>
      <c r="L23" s="386" t="s">
        <v>767</v>
      </c>
      <c r="M23" s="387"/>
      <c r="N23" s="387"/>
      <c r="O23" s="387"/>
      <c r="P23" s="387"/>
      <c r="Q23" s="387"/>
      <c r="R23" s="387"/>
      <c r="S23" s="387"/>
      <c r="T23" s="387"/>
      <c r="U23" s="387"/>
      <c r="V23" s="387"/>
      <c r="W23" s="388"/>
      <c r="X23" s="386" t="s">
        <v>768</v>
      </c>
      <c r="Y23" s="387"/>
      <c r="Z23" s="387"/>
      <c r="AA23" s="387"/>
      <c r="AB23" s="387"/>
      <c r="AC23" s="388"/>
      <c r="AD23" s="144"/>
      <c r="AE23" s="144"/>
      <c r="AF23" s="144"/>
      <c r="AG23" s="144"/>
      <c r="AH23" s="144"/>
      <c r="AI23" s="144"/>
      <c r="AJ23" s="144"/>
      <c r="AK23" s="144"/>
      <c r="AL23" s="144"/>
      <c r="AM23" s="144"/>
      <c r="AN23" s="144"/>
      <c r="AO23" s="144"/>
      <c r="AP23" s="144"/>
      <c r="AQ23" s="144"/>
      <c r="AR23" s="144"/>
      <c r="AS23" s="145"/>
    </row>
    <row r="24" spans="1:45" s="141" customFormat="1" ht="12" customHeight="1">
      <c r="A24" s="404">
        <v>8</v>
      </c>
      <c r="B24" s="380" t="s">
        <v>771</v>
      </c>
      <c r="C24" s="381"/>
      <c r="D24" s="381"/>
      <c r="E24" s="381"/>
      <c r="F24" s="381"/>
      <c r="G24" s="381"/>
      <c r="H24" s="381"/>
      <c r="I24" s="381"/>
      <c r="J24" s="381"/>
      <c r="K24" s="382"/>
      <c r="L24" s="380" t="s">
        <v>764</v>
      </c>
      <c r="M24" s="381"/>
      <c r="N24" s="381"/>
      <c r="O24" s="381"/>
      <c r="P24" s="381"/>
      <c r="Q24" s="381"/>
      <c r="R24" s="381"/>
      <c r="S24" s="381"/>
      <c r="T24" s="381"/>
      <c r="U24" s="381"/>
      <c r="V24" s="381"/>
      <c r="W24" s="382"/>
      <c r="X24" s="398" t="s">
        <v>772</v>
      </c>
      <c r="Y24" s="399"/>
      <c r="Z24" s="399"/>
      <c r="AA24" s="399"/>
      <c r="AB24" s="399"/>
      <c r="AC24" s="400"/>
      <c r="AD24" s="142"/>
      <c r="AE24" s="142"/>
      <c r="AF24" s="142"/>
      <c r="AG24" s="142"/>
      <c r="AH24" s="142"/>
      <c r="AI24" s="142"/>
      <c r="AJ24" s="142"/>
      <c r="AK24" s="142"/>
      <c r="AL24" s="142"/>
      <c r="AM24" s="142"/>
      <c r="AN24" s="142"/>
      <c r="AO24" s="142"/>
      <c r="AP24" s="142"/>
      <c r="AQ24" s="142"/>
      <c r="AR24" s="142"/>
      <c r="AS24" s="143"/>
    </row>
    <row r="25" spans="1:45" s="141" customFormat="1" ht="12" customHeight="1">
      <c r="A25" s="404"/>
      <c r="B25" s="386" t="s">
        <v>773</v>
      </c>
      <c r="C25" s="387"/>
      <c r="D25" s="387"/>
      <c r="E25" s="387"/>
      <c r="F25" s="387"/>
      <c r="G25" s="387"/>
      <c r="H25" s="387"/>
      <c r="I25" s="387"/>
      <c r="J25" s="387"/>
      <c r="K25" s="388"/>
      <c r="L25" s="386" t="s">
        <v>767</v>
      </c>
      <c r="M25" s="387"/>
      <c r="N25" s="387"/>
      <c r="O25" s="387"/>
      <c r="P25" s="387"/>
      <c r="Q25" s="387"/>
      <c r="R25" s="387"/>
      <c r="S25" s="387"/>
      <c r="T25" s="387"/>
      <c r="U25" s="387"/>
      <c r="V25" s="387"/>
      <c r="W25" s="388"/>
      <c r="X25" s="386" t="s">
        <v>774</v>
      </c>
      <c r="Y25" s="387"/>
      <c r="Z25" s="387"/>
      <c r="AA25" s="387"/>
      <c r="AB25" s="387"/>
      <c r="AC25" s="388"/>
      <c r="AD25" s="144"/>
      <c r="AE25" s="144"/>
      <c r="AF25" s="144"/>
      <c r="AG25" s="144"/>
      <c r="AH25" s="144"/>
      <c r="AI25" s="144"/>
      <c r="AJ25" s="144"/>
      <c r="AK25" s="144"/>
      <c r="AL25" s="144"/>
      <c r="AM25" s="144"/>
      <c r="AN25" s="144"/>
      <c r="AO25" s="144"/>
      <c r="AP25" s="144"/>
      <c r="AQ25" s="144"/>
      <c r="AR25" s="144"/>
      <c r="AS25" s="145"/>
    </row>
    <row r="26" spans="1:45" s="141" customFormat="1" ht="12" customHeight="1">
      <c r="A26" s="404">
        <v>9</v>
      </c>
      <c r="B26" s="380" t="s">
        <v>775</v>
      </c>
      <c r="C26" s="381"/>
      <c r="D26" s="381"/>
      <c r="E26" s="381"/>
      <c r="F26" s="381"/>
      <c r="G26" s="381"/>
      <c r="H26" s="381"/>
      <c r="I26" s="381"/>
      <c r="J26" s="381"/>
      <c r="K26" s="382"/>
      <c r="L26" s="380" t="s">
        <v>776</v>
      </c>
      <c r="M26" s="381"/>
      <c r="N26" s="381"/>
      <c r="O26" s="381"/>
      <c r="P26" s="381"/>
      <c r="Q26" s="381"/>
      <c r="R26" s="381"/>
      <c r="S26" s="381"/>
      <c r="T26" s="381"/>
      <c r="U26" s="381"/>
      <c r="V26" s="381"/>
      <c r="W26" s="382"/>
      <c r="X26" s="398" t="s">
        <v>753</v>
      </c>
      <c r="Y26" s="399"/>
      <c r="Z26" s="399"/>
      <c r="AA26" s="399"/>
      <c r="AB26" s="399"/>
      <c r="AC26" s="400"/>
      <c r="AD26" s="142"/>
      <c r="AE26" s="142"/>
      <c r="AF26" s="142"/>
      <c r="AG26" s="142"/>
      <c r="AH26" s="142"/>
      <c r="AI26" s="142"/>
      <c r="AJ26" s="142"/>
      <c r="AK26" s="142"/>
      <c r="AL26" s="142"/>
      <c r="AM26" s="142"/>
      <c r="AN26" s="142"/>
      <c r="AO26" s="142"/>
      <c r="AP26" s="142"/>
      <c r="AQ26" s="142"/>
      <c r="AR26" s="142"/>
      <c r="AS26" s="143"/>
    </row>
    <row r="27" spans="1:45" s="141" customFormat="1" ht="12" customHeight="1">
      <c r="A27" s="404"/>
      <c r="B27" s="386" t="s">
        <v>777</v>
      </c>
      <c r="C27" s="387"/>
      <c r="D27" s="387"/>
      <c r="E27" s="387"/>
      <c r="F27" s="387"/>
      <c r="G27" s="387"/>
      <c r="H27" s="387"/>
      <c r="I27" s="387"/>
      <c r="J27" s="387"/>
      <c r="K27" s="388"/>
      <c r="L27" s="386" t="s">
        <v>778</v>
      </c>
      <c r="M27" s="387"/>
      <c r="N27" s="387"/>
      <c r="O27" s="387"/>
      <c r="P27" s="387"/>
      <c r="Q27" s="387"/>
      <c r="R27" s="387"/>
      <c r="S27" s="387"/>
      <c r="T27" s="387"/>
      <c r="U27" s="387"/>
      <c r="V27" s="387"/>
      <c r="W27" s="388"/>
      <c r="X27" s="386" t="s">
        <v>756</v>
      </c>
      <c r="Y27" s="387"/>
      <c r="Z27" s="387"/>
      <c r="AA27" s="387"/>
      <c r="AB27" s="387"/>
      <c r="AC27" s="388"/>
      <c r="AD27" s="144"/>
      <c r="AE27" s="144"/>
      <c r="AF27" s="144"/>
      <c r="AG27" s="144"/>
      <c r="AH27" s="144"/>
      <c r="AI27" s="144"/>
      <c r="AJ27" s="144"/>
      <c r="AK27" s="144"/>
      <c r="AL27" s="144"/>
      <c r="AM27" s="144"/>
      <c r="AN27" s="144"/>
      <c r="AO27" s="144"/>
      <c r="AP27" s="144"/>
      <c r="AQ27" s="144"/>
      <c r="AR27" s="144"/>
      <c r="AS27" s="145"/>
    </row>
    <row r="28" spans="1:45" s="141" customFormat="1" ht="12" customHeight="1">
      <c r="A28" s="378">
        <v>10</v>
      </c>
      <c r="B28" s="380" t="s">
        <v>779</v>
      </c>
      <c r="C28" s="381"/>
      <c r="D28" s="381"/>
      <c r="E28" s="381"/>
      <c r="F28" s="381"/>
      <c r="G28" s="381"/>
      <c r="H28" s="381"/>
      <c r="I28" s="381"/>
      <c r="J28" s="381"/>
      <c r="K28" s="382"/>
      <c r="L28" s="380" t="s">
        <v>780</v>
      </c>
      <c r="M28" s="381"/>
      <c r="N28" s="381"/>
      <c r="O28" s="381"/>
      <c r="P28" s="381"/>
      <c r="Q28" s="381"/>
      <c r="R28" s="381"/>
      <c r="S28" s="381"/>
      <c r="T28" s="381"/>
      <c r="U28" s="381"/>
      <c r="V28" s="381"/>
      <c r="W28" s="382"/>
      <c r="X28" s="398" t="s">
        <v>781</v>
      </c>
      <c r="Y28" s="399"/>
      <c r="Z28" s="399"/>
      <c r="AA28" s="399"/>
      <c r="AB28" s="399"/>
      <c r="AC28" s="400"/>
      <c r="AD28" s="142"/>
      <c r="AE28" s="142"/>
      <c r="AF28" s="142"/>
      <c r="AG28" s="142"/>
      <c r="AH28" s="142"/>
      <c r="AI28" s="142"/>
      <c r="AJ28" s="142"/>
      <c r="AK28" s="142"/>
      <c r="AL28" s="142"/>
      <c r="AM28" s="142"/>
      <c r="AN28" s="142"/>
      <c r="AO28" s="142"/>
      <c r="AP28" s="142"/>
      <c r="AQ28" s="142"/>
      <c r="AR28" s="142"/>
      <c r="AS28" s="143"/>
    </row>
    <row r="29" spans="1:45" s="141" customFormat="1" ht="12" customHeight="1">
      <c r="A29" s="379"/>
      <c r="B29" s="401" t="s">
        <v>782</v>
      </c>
      <c r="C29" s="402"/>
      <c r="D29" s="402"/>
      <c r="E29" s="402"/>
      <c r="F29" s="402"/>
      <c r="G29" s="402"/>
      <c r="H29" s="402"/>
      <c r="I29" s="402"/>
      <c r="J29" s="402"/>
      <c r="K29" s="403"/>
      <c r="L29" s="401" t="s">
        <v>749</v>
      </c>
      <c r="M29" s="402"/>
      <c r="N29" s="402"/>
      <c r="O29" s="402"/>
      <c r="P29" s="402"/>
      <c r="Q29" s="402"/>
      <c r="R29" s="402"/>
      <c r="S29" s="402"/>
      <c r="T29" s="402"/>
      <c r="U29" s="402"/>
      <c r="V29" s="402"/>
      <c r="W29" s="403"/>
      <c r="X29" s="386" t="s">
        <v>783</v>
      </c>
      <c r="Y29" s="387"/>
      <c r="Z29" s="387"/>
      <c r="AA29" s="387"/>
      <c r="AB29" s="387"/>
      <c r="AC29" s="388"/>
      <c r="AD29" s="144"/>
      <c r="AE29" s="144"/>
      <c r="AF29" s="144"/>
      <c r="AG29" s="144"/>
      <c r="AH29" s="144"/>
      <c r="AI29" s="144"/>
      <c r="AJ29" s="144"/>
      <c r="AK29" s="144"/>
      <c r="AL29" s="144"/>
      <c r="AM29" s="144"/>
      <c r="AN29" s="144"/>
      <c r="AO29" s="144"/>
      <c r="AP29" s="144"/>
      <c r="AQ29" s="144"/>
      <c r="AR29" s="144"/>
      <c r="AS29" s="145"/>
    </row>
    <row r="30" spans="1:45" s="141" customFormat="1" ht="12" customHeight="1">
      <c r="A30" s="378">
        <v>11</v>
      </c>
      <c r="B30" s="380" t="s">
        <v>784</v>
      </c>
      <c r="C30" s="381"/>
      <c r="D30" s="381"/>
      <c r="E30" s="381"/>
      <c r="F30" s="381"/>
      <c r="G30" s="381"/>
      <c r="H30" s="381"/>
      <c r="I30" s="381"/>
      <c r="J30" s="381"/>
      <c r="K30" s="382"/>
      <c r="L30" s="383" t="s">
        <v>780</v>
      </c>
      <c r="M30" s="384"/>
      <c r="N30" s="384"/>
      <c r="O30" s="384"/>
      <c r="P30" s="384"/>
      <c r="Q30" s="384"/>
      <c r="R30" s="384"/>
      <c r="S30" s="384"/>
      <c r="T30" s="384"/>
      <c r="U30" s="384"/>
      <c r="V30" s="384"/>
      <c r="W30" s="385"/>
      <c r="X30" s="380" t="s">
        <v>731</v>
      </c>
      <c r="Y30" s="381"/>
      <c r="Z30" s="381"/>
      <c r="AA30" s="381"/>
      <c r="AB30" s="381"/>
      <c r="AC30" s="382"/>
      <c r="AD30" s="142"/>
      <c r="AE30" s="142"/>
      <c r="AF30" s="142"/>
      <c r="AG30" s="142"/>
      <c r="AH30" s="142"/>
      <c r="AI30" s="142"/>
      <c r="AJ30" s="142"/>
      <c r="AK30" s="142"/>
      <c r="AL30" s="142"/>
      <c r="AM30" s="142"/>
      <c r="AN30" s="142"/>
      <c r="AO30" s="142"/>
      <c r="AP30" s="142"/>
      <c r="AQ30" s="142"/>
      <c r="AR30" s="142"/>
      <c r="AS30" s="143"/>
    </row>
    <row r="31" spans="1:45" s="141" customFormat="1" ht="12" customHeight="1">
      <c r="A31" s="379"/>
      <c r="B31" s="386" t="s">
        <v>785</v>
      </c>
      <c r="C31" s="387"/>
      <c r="D31" s="387"/>
      <c r="E31" s="387"/>
      <c r="F31" s="387"/>
      <c r="G31" s="387"/>
      <c r="H31" s="387"/>
      <c r="I31" s="387"/>
      <c r="J31" s="387"/>
      <c r="K31" s="388"/>
      <c r="L31" s="389" t="s">
        <v>786</v>
      </c>
      <c r="M31" s="390"/>
      <c r="N31" s="390"/>
      <c r="O31" s="390"/>
      <c r="P31" s="390"/>
      <c r="Q31" s="390"/>
      <c r="R31" s="390"/>
      <c r="S31" s="390"/>
      <c r="T31" s="390"/>
      <c r="U31" s="390"/>
      <c r="V31" s="390"/>
      <c r="W31" s="391"/>
      <c r="X31" s="395" t="s">
        <v>734</v>
      </c>
      <c r="Y31" s="396"/>
      <c r="Z31" s="396"/>
      <c r="AA31" s="396"/>
      <c r="AB31" s="396"/>
      <c r="AC31" s="397"/>
      <c r="AD31" s="144"/>
      <c r="AE31" s="144"/>
      <c r="AF31" s="144"/>
      <c r="AG31" s="144"/>
      <c r="AH31" s="144"/>
      <c r="AI31" s="144"/>
      <c r="AJ31" s="144"/>
      <c r="AK31" s="144"/>
      <c r="AL31" s="144"/>
      <c r="AM31" s="144"/>
      <c r="AN31" s="144"/>
      <c r="AO31" s="144"/>
      <c r="AP31" s="144"/>
      <c r="AQ31" s="144"/>
      <c r="AR31" s="144"/>
      <c r="AS31" s="145"/>
    </row>
    <row r="32" spans="1:45" s="141" customFormat="1" ht="12" customHeight="1">
      <c r="A32" s="378">
        <v>12</v>
      </c>
      <c r="B32" s="380" t="s">
        <v>787</v>
      </c>
      <c r="C32" s="381"/>
      <c r="D32" s="381"/>
      <c r="E32" s="381"/>
      <c r="F32" s="381"/>
      <c r="G32" s="381"/>
      <c r="H32" s="381"/>
      <c r="I32" s="381"/>
      <c r="J32" s="381"/>
      <c r="K32" s="382"/>
      <c r="L32" s="383" t="s">
        <v>780</v>
      </c>
      <c r="M32" s="384"/>
      <c r="N32" s="384"/>
      <c r="O32" s="384"/>
      <c r="P32" s="384"/>
      <c r="Q32" s="384"/>
      <c r="R32" s="384"/>
      <c r="S32" s="384"/>
      <c r="T32" s="384"/>
      <c r="U32" s="384"/>
      <c r="V32" s="384"/>
      <c r="W32" s="385"/>
      <c r="X32" s="380" t="s">
        <v>731</v>
      </c>
      <c r="Y32" s="381"/>
      <c r="Z32" s="381"/>
      <c r="AA32" s="381"/>
      <c r="AB32" s="381"/>
      <c r="AC32" s="382"/>
      <c r="AD32" s="142"/>
      <c r="AE32" s="142"/>
      <c r="AF32" s="142"/>
      <c r="AG32" s="142"/>
      <c r="AH32" s="142"/>
      <c r="AI32" s="142"/>
      <c r="AJ32" s="142"/>
      <c r="AK32" s="142"/>
      <c r="AL32" s="142"/>
      <c r="AM32" s="142"/>
      <c r="AN32" s="142"/>
      <c r="AO32" s="142"/>
      <c r="AP32" s="142"/>
      <c r="AQ32" s="142"/>
      <c r="AR32" s="142"/>
      <c r="AS32" s="143"/>
    </row>
    <row r="33" spans="1:45" s="141" customFormat="1" ht="12" customHeight="1" thickBot="1">
      <c r="A33" s="379"/>
      <c r="B33" s="386" t="s">
        <v>788</v>
      </c>
      <c r="C33" s="387"/>
      <c r="D33" s="387"/>
      <c r="E33" s="387"/>
      <c r="F33" s="387"/>
      <c r="G33" s="387"/>
      <c r="H33" s="387"/>
      <c r="I33" s="387"/>
      <c r="J33" s="387"/>
      <c r="K33" s="388"/>
      <c r="L33" s="389" t="s">
        <v>786</v>
      </c>
      <c r="M33" s="390"/>
      <c r="N33" s="390"/>
      <c r="O33" s="390"/>
      <c r="P33" s="390"/>
      <c r="Q33" s="390"/>
      <c r="R33" s="390"/>
      <c r="S33" s="390"/>
      <c r="T33" s="390"/>
      <c r="U33" s="390"/>
      <c r="V33" s="390"/>
      <c r="W33" s="391"/>
      <c r="X33" s="392" t="s">
        <v>734</v>
      </c>
      <c r="Y33" s="393"/>
      <c r="Z33" s="393"/>
      <c r="AA33" s="393"/>
      <c r="AB33" s="393"/>
      <c r="AC33" s="394"/>
      <c r="AD33" s="146"/>
      <c r="AE33" s="146"/>
      <c r="AF33" s="146"/>
      <c r="AG33" s="146"/>
      <c r="AH33" s="146"/>
      <c r="AI33" s="146"/>
      <c r="AJ33" s="146"/>
      <c r="AK33" s="146"/>
      <c r="AL33" s="146"/>
      <c r="AM33" s="146"/>
      <c r="AN33" s="146"/>
      <c r="AO33" s="146"/>
      <c r="AP33" s="146"/>
      <c r="AQ33" s="146"/>
      <c r="AR33" s="146"/>
      <c r="AS33" s="147"/>
    </row>
    <row r="34" spans="1:45" s="151" customFormat="1" ht="12" customHeight="1" thickTop="1">
      <c r="A34" s="368" t="s">
        <v>789</v>
      </c>
      <c r="B34" s="369"/>
      <c r="C34" s="369"/>
      <c r="D34" s="369"/>
      <c r="E34" s="369"/>
      <c r="F34" s="369"/>
      <c r="G34" s="369"/>
      <c r="H34" s="369"/>
      <c r="I34" s="369"/>
      <c r="J34" s="369"/>
      <c r="K34" s="369"/>
      <c r="L34" s="369"/>
      <c r="M34" s="369"/>
      <c r="N34" s="370"/>
      <c r="O34" s="148">
        <v>1</v>
      </c>
      <c r="P34" s="148">
        <v>2</v>
      </c>
      <c r="Q34" s="148">
        <v>3</v>
      </c>
      <c r="R34" s="148">
        <v>4</v>
      </c>
      <c r="S34" s="148">
        <v>5</v>
      </c>
      <c r="T34" s="148">
        <v>6</v>
      </c>
      <c r="U34" s="148">
        <v>7</v>
      </c>
      <c r="V34" s="148">
        <v>8</v>
      </c>
      <c r="W34" s="148">
        <v>9</v>
      </c>
      <c r="X34" s="149">
        <v>10</v>
      </c>
      <c r="Y34" s="149">
        <v>11</v>
      </c>
      <c r="Z34" s="149">
        <v>12</v>
      </c>
      <c r="AA34" s="149">
        <v>13</v>
      </c>
      <c r="AB34" s="149">
        <v>14</v>
      </c>
      <c r="AC34" s="149">
        <v>15</v>
      </c>
      <c r="AD34" s="149">
        <v>16</v>
      </c>
      <c r="AE34" s="149">
        <v>17</v>
      </c>
      <c r="AF34" s="149">
        <v>18</v>
      </c>
      <c r="AG34" s="149">
        <v>19</v>
      </c>
      <c r="AH34" s="149">
        <v>20</v>
      </c>
      <c r="AI34" s="149">
        <v>21</v>
      </c>
      <c r="AJ34" s="149">
        <v>22</v>
      </c>
      <c r="AK34" s="149">
        <v>23</v>
      </c>
      <c r="AL34" s="149">
        <v>24</v>
      </c>
      <c r="AM34" s="149">
        <v>25</v>
      </c>
      <c r="AN34" s="149">
        <v>26</v>
      </c>
      <c r="AO34" s="149">
        <v>27</v>
      </c>
      <c r="AP34" s="149">
        <v>28</v>
      </c>
      <c r="AQ34" s="149">
        <v>29</v>
      </c>
      <c r="AR34" s="149">
        <v>30</v>
      </c>
      <c r="AS34" s="150">
        <v>31</v>
      </c>
    </row>
    <row r="35" spans="1:45" ht="34.5" customHeight="1">
      <c r="A35" s="371" t="s">
        <v>790</v>
      </c>
      <c r="B35" s="372"/>
      <c r="C35" s="372"/>
      <c r="D35" s="372"/>
      <c r="E35" s="372"/>
      <c r="F35" s="372"/>
      <c r="G35" s="372"/>
      <c r="H35" s="372"/>
      <c r="I35" s="372"/>
      <c r="J35" s="372"/>
      <c r="K35" s="372"/>
      <c r="L35" s="372"/>
      <c r="M35" s="372"/>
      <c r="N35" s="372"/>
      <c r="O35" s="152"/>
      <c r="P35" s="152"/>
      <c r="Q35" s="152"/>
      <c r="R35" s="152"/>
      <c r="S35" s="152"/>
      <c r="T35" s="152"/>
      <c r="U35" s="152"/>
      <c r="V35" s="152"/>
      <c r="W35" s="152"/>
      <c r="X35" s="152"/>
      <c r="Y35" s="152"/>
      <c r="Z35" s="152"/>
      <c r="AA35" s="152"/>
      <c r="AB35" s="152"/>
      <c r="AC35" s="152"/>
      <c r="AD35" s="153"/>
      <c r="AE35" s="153"/>
      <c r="AF35" s="153"/>
      <c r="AG35" s="153"/>
      <c r="AH35" s="153"/>
      <c r="AI35" s="153"/>
      <c r="AJ35" s="153"/>
      <c r="AK35" s="153"/>
      <c r="AL35" s="153"/>
      <c r="AM35" s="153"/>
      <c r="AN35" s="153"/>
      <c r="AO35" s="153"/>
      <c r="AP35" s="153"/>
      <c r="AQ35" s="153"/>
      <c r="AR35" s="153"/>
      <c r="AS35" s="154"/>
    </row>
    <row r="36" spans="1:45" ht="34.5" customHeight="1">
      <c r="A36" s="371" t="s">
        <v>791</v>
      </c>
      <c r="B36" s="372"/>
      <c r="C36" s="372"/>
      <c r="D36" s="372"/>
      <c r="E36" s="372"/>
      <c r="F36" s="372"/>
      <c r="G36" s="372"/>
      <c r="H36" s="372"/>
      <c r="I36" s="372"/>
      <c r="J36" s="372"/>
      <c r="K36" s="372"/>
      <c r="L36" s="372"/>
      <c r="M36" s="372"/>
      <c r="N36" s="372"/>
      <c r="O36" s="155"/>
      <c r="P36" s="155"/>
      <c r="Q36" s="155"/>
      <c r="R36" s="155"/>
      <c r="S36" s="155"/>
      <c r="T36" s="155"/>
      <c r="U36" s="155"/>
      <c r="V36" s="155"/>
      <c r="W36" s="155"/>
      <c r="X36" s="155"/>
      <c r="Y36" s="198"/>
      <c r="Z36" s="198"/>
      <c r="AA36" s="198"/>
      <c r="AB36" s="198"/>
      <c r="AC36" s="198"/>
      <c r="AD36" s="153"/>
      <c r="AE36" s="153"/>
      <c r="AF36" s="153"/>
      <c r="AG36" s="153"/>
      <c r="AH36" s="153"/>
      <c r="AI36" s="153"/>
      <c r="AJ36" s="153"/>
      <c r="AK36" s="153"/>
      <c r="AL36" s="153"/>
      <c r="AM36" s="153"/>
      <c r="AN36" s="153"/>
      <c r="AO36" s="153"/>
      <c r="AP36" s="153"/>
      <c r="AQ36" s="153"/>
      <c r="AR36" s="153"/>
      <c r="AS36" s="154"/>
    </row>
    <row r="37" spans="1:45" ht="34.5" customHeight="1">
      <c r="A37" s="371" t="s">
        <v>792</v>
      </c>
      <c r="B37" s="373"/>
      <c r="C37" s="373"/>
      <c r="D37" s="373"/>
      <c r="E37" s="373"/>
      <c r="F37" s="373"/>
      <c r="G37" s="373"/>
      <c r="H37" s="373"/>
      <c r="I37" s="373"/>
      <c r="J37" s="373"/>
      <c r="K37" s="373"/>
      <c r="L37" s="373"/>
      <c r="M37" s="373"/>
      <c r="N37" s="373"/>
      <c r="O37" s="155"/>
      <c r="P37" s="155"/>
      <c r="Q37" s="155"/>
      <c r="R37" s="155"/>
      <c r="S37" s="155"/>
      <c r="T37" s="155"/>
      <c r="U37" s="155"/>
      <c r="V37" s="155"/>
      <c r="W37" s="155"/>
      <c r="X37" s="155"/>
      <c r="Y37" s="198"/>
      <c r="Z37" s="198"/>
      <c r="AA37" s="198"/>
      <c r="AB37" s="198"/>
      <c r="AC37" s="198"/>
      <c r="AD37" s="157"/>
      <c r="AE37" s="157"/>
      <c r="AF37" s="157"/>
      <c r="AG37" s="157"/>
      <c r="AH37" s="157"/>
      <c r="AI37" s="157"/>
      <c r="AJ37" s="157"/>
      <c r="AK37" s="157"/>
      <c r="AL37" s="157"/>
      <c r="AM37" s="157"/>
      <c r="AN37" s="157"/>
      <c r="AO37" s="157"/>
      <c r="AP37" s="157"/>
      <c r="AQ37" s="157"/>
      <c r="AR37" s="157"/>
      <c r="AS37" s="158"/>
    </row>
    <row r="38" spans="1:45" s="141" customFormat="1" ht="16.5" customHeight="1">
      <c r="A38" s="374" t="s">
        <v>793</v>
      </c>
      <c r="B38" s="375"/>
      <c r="C38" s="376" t="s">
        <v>794</v>
      </c>
      <c r="D38" s="376"/>
      <c r="E38" s="376"/>
      <c r="F38" s="376"/>
      <c r="G38" s="376"/>
      <c r="H38" s="376"/>
      <c r="I38" s="376"/>
      <c r="J38" s="376"/>
      <c r="K38" s="376"/>
      <c r="L38" s="376"/>
      <c r="M38" s="376"/>
      <c r="N38" s="376"/>
      <c r="O38" s="376"/>
      <c r="P38" s="376"/>
      <c r="Q38" s="376"/>
      <c r="R38" s="376"/>
      <c r="S38" s="376"/>
      <c r="T38" s="376"/>
      <c r="U38" s="376"/>
      <c r="V38" s="376"/>
      <c r="W38" s="376"/>
      <c r="X38" s="376"/>
      <c r="Y38" s="376"/>
      <c r="Z38" s="376"/>
      <c r="AA38" s="376"/>
      <c r="AB38" s="376"/>
      <c r="AC38" s="376"/>
      <c r="AD38" s="376"/>
      <c r="AE38" s="376"/>
      <c r="AF38" s="376"/>
      <c r="AG38" s="376"/>
      <c r="AH38" s="376"/>
      <c r="AI38" s="376"/>
      <c r="AJ38" s="376"/>
      <c r="AK38" s="376"/>
      <c r="AL38" s="376"/>
      <c r="AM38" s="376"/>
      <c r="AN38" s="376"/>
      <c r="AO38" s="376"/>
      <c r="AP38" s="376"/>
      <c r="AQ38" s="376"/>
      <c r="AR38" s="376"/>
      <c r="AS38" s="377"/>
    </row>
    <row r="39" spans="1:45" s="141" customFormat="1" ht="16.5" customHeight="1">
      <c r="A39" s="362" t="s">
        <v>795</v>
      </c>
      <c r="B39" s="363"/>
      <c r="C39" s="364" t="s">
        <v>796</v>
      </c>
      <c r="D39" s="364"/>
      <c r="E39" s="364"/>
      <c r="F39" s="364"/>
      <c r="G39" s="364"/>
      <c r="H39" s="364"/>
      <c r="I39" s="364"/>
      <c r="J39" s="364"/>
      <c r="K39" s="364"/>
      <c r="L39" s="364"/>
      <c r="M39" s="364"/>
      <c r="N39" s="364"/>
      <c r="O39" s="364"/>
      <c r="P39" s="364"/>
      <c r="Q39" s="364"/>
      <c r="R39" s="364"/>
      <c r="S39" s="364"/>
      <c r="T39" s="364"/>
      <c r="U39" s="364"/>
      <c r="V39" s="364"/>
      <c r="W39" s="364"/>
      <c r="X39" s="364"/>
      <c r="Y39" s="364"/>
      <c r="Z39" s="364"/>
      <c r="AA39" s="364"/>
      <c r="AB39" s="364"/>
      <c r="AC39" s="364"/>
      <c r="AD39" s="364"/>
      <c r="AE39" s="364"/>
      <c r="AF39" s="364"/>
      <c r="AG39" s="364"/>
      <c r="AH39" s="364"/>
      <c r="AI39" s="364"/>
      <c r="AJ39" s="364"/>
      <c r="AK39" s="364"/>
      <c r="AL39" s="364"/>
      <c r="AM39" s="364"/>
      <c r="AN39" s="364"/>
      <c r="AO39" s="364"/>
      <c r="AP39" s="364"/>
      <c r="AQ39" s="364"/>
      <c r="AR39" s="364"/>
      <c r="AS39" s="365"/>
    </row>
    <row r="40" spans="1:45" s="141" customFormat="1" ht="16.5" customHeight="1">
      <c r="A40" s="362" t="s">
        <v>797</v>
      </c>
      <c r="B40" s="363"/>
      <c r="C40" s="366" t="s">
        <v>798</v>
      </c>
      <c r="D40" s="366"/>
      <c r="E40" s="366"/>
      <c r="F40" s="366"/>
      <c r="G40" s="159"/>
      <c r="H40" s="366" t="s">
        <v>799</v>
      </c>
      <c r="I40" s="366"/>
      <c r="J40" s="366"/>
      <c r="K40" s="366"/>
      <c r="L40" s="366"/>
      <c r="M40" s="366"/>
      <c r="N40" s="366"/>
      <c r="O40" s="366"/>
      <c r="P40" s="366"/>
      <c r="Q40" s="366"/>
      <c r="R40" s="366"/>
      <c r="S40" s="159"/>
      <c r="T40" s="366" t="s">
        <v>800</v>
      </c>
      <c r="U40" s="366"/>
      <c r="V40" s="366"/>
      <c r="W40" s="366"/>
      <c r="X40" s="366"/>
      <c r="Y40" s="366"/>
      <c r="Z40" s="366"/>
      <c r="AA40" s="366"/>
      <c r="AB40" s="366"/>
      <c r="AC40" s="366"/>
      <c r="AD40" s="366"/>
      <c r="AE40" s="366" t="s">
        <v>801</v>
      </c>
      <c r="AF40" s="366"/>
      <c r="AG40" s="366"/>
      <c r="AH40" s="366"/>
      <c r="AI40" s="366"/>
      <c r="AJ40" s="366"/>
      <c r="AK40" s="366"/>
      <c r="AL40" s="366"/>
      <c r="AM40" s="366"/>
      <c r="AN40" s="366" t="s">
        <v>802</v>
      </c>
      <c r="AO40" s="366"/>
      <c r="AP40" s="366"/>
      <c r="AQ40" s="366"/>
      <c r="AR40" s="366"/>
      <c r="AS40" s="367"/>
    </row>
    <row r="41" spans="1:45" s="141" customFormat="1" ht="16.5" customHeight="1" thickBot="1">
      <c r="A41" s="358" t="s">
        <v>803</v>
      </c>
      <c r="B41" s="359"/>
      <c r="C41" s="360" t="s">
        <v>804</v>
      </c>
      <c r="D41" s="360"/>
      <c r="E41" s="360"/>
      <c r="F41" s="360"/>
      <c r="G41" s="160"/>
      <c r="H41" s="360" t="s">
        <v>805</v>
      </c>
      <c r="I41" s="360"/>
      <c r="J41" s="360"/>
      <c r="K41" s="360"/>
      <c r="L41" s="360"/>
      <c r="M41" s="360"/>
      <c r="N41" s="360"/>
      <c r="O41" s="360"/>
      <c r="P41" s="360"/>
      <c r="Q41" s="360"/>
      <c r="R41" s="360"/>
      <c r="S41" s="160"/>
      <c r="T41" s="360" t="s">
        <v>806</v>
      </c>
      <c r="U41" s="360"/>
      <c r="V41" s="360"/>
      <c r="W41" s="360"/>
      <c r="X41" s="360"/>
      <c r="Y41" s="360"/>
      <c r="Z41" s="360"/>
      <c r="AA41" s="360"/>
      <c r="AB41" s="360"/>
      <c r="AC41" s="360"/>
      <c r="AD41" s="360"/>
      <c r="AE41" s="360" t="s">
        <v>807</v>
      </c>
      <c r="AF41" s="360"/>
      <c r="AG41" s="360"/>
      <c r="AH41" s="360"/>
      <c r="AI41" s="360"/>
      <c r="AJ41" s="360"/>
      <c r="AK41" s="360"/>
      <c r="AL41" s="360"/>
      <c r="AM41" s="360"/>
      <c r="AN41" s="360" t="s">
        <v>808</v>
      </c>
      <c r="AO41" s="360"/>
      <c r="AP41" s="360"/>
      <c r="AQ41" s="360"/>
      <c r="AR41" s="360"/>
      <c r="AS41" s="361"/>
    </row>
  </sheetData>
  <mergeCells count="126">
    <mergeCell ref="H4:R4"/>
    <mergeCell ref="S4:V4"/>
    <mergeCell ref="W4:AA4"/>
    <mergeCell ref="A5:A7"/>
    <mergeCell ref="B5:K7"/>
    <mergeCell ref="L5:W7"/>
    <mergeCell ref="X5:AC7"/>
    <mergeCell ref="A1:AS1"/>
    <mergeCell ref="A2:G3"/>
    <mergeCell ref="H2:R3"/>
    <mergeCell ref="S2:V3"/>
    <mergeCell ref="W2:AA3"/>
    <mergeCell ref="AB2:AD4"/>
    <mergeCell ref="AE2:AJ4"/>
    <mergeCell ref="AK2:AM4"/>
    <mergeCell ref="AN2:AS4"/>
    <mergeCell ref="A4:G4"/>
    <mergeCell ref="L15:W15"/>
    <mergeCell ref="A10:A11"/>
    <mergeCell ref="B10:K10"/>
    <mergeCell ref="L10:W10"/>
    <mergeCell ref="X10:AC10"/>
    <mergeCell ref="B11:K11"/>
    <mergeCell ref="L11:W11"/>
    <mergeCell ref="X11:AC11"/>
    <mergeCell ref="AD5:AS5"/>
    <mergeCell ref="A8:A9"/>
    <mergeCell ref="B8:K8"/>
    <mergeCell ref="L8:W8"/>
    <mergeCell ref="X8:AC8"/>
    <mergeCell ref="B9:K9"/>
    <mergeCell ref="L9:W9"/>
    <mergeCell ref="X9:AC9"/>
    <mergeCell ref="A18:A19"/>
    <mergeCell ref="B18:K18"/>
    <mergeCell ref="L18:W18"/>
    <mergeCell ref="X18:AC18"/>
    <mergeCell ref="B19:K19"/>
    <mergeCell ref="L19:W19"/>
    <mergeCell ref="X19:AC19"/>
    <mergeCell ref="X15:AC15"/>
    <mergeCell ref="A16:A17"/>
    <mergeCell ref="B16:K16"/>
    <mergeCell ref="L16:W16"/>
    <mergeCell ref="X16:AC16"/>
    <mergeCell ref="B17:K17"/>
    <mergeCell ref="L17:W17"/>
    <mergeCell ref="X17:AC17"/>
    <mergeCell ref="A12:A15"/>
    <mergeCell ref="B12:K13"/>
    <mergeCell ref="L12:W12"/>
    <mergeCell ref="X12:AC12"/>
    <mergeCell ref="L13:W13"/>
    <mergeCell ref="X13:AC13"/>
    <mergeCell ref="B14:K15"/>
    <mergeCell ref="L14:W14"/>
    <mergeCell ref="X14:AC14"/>
    <mergeCell ref="A22:A23"/>
    <mergeCell ref="B22:K22"/>
    <mergeCell ref="L22:W22"/>
    <mergeCell ref="X22:AC22"/>
    <mergeCell ref="B23:K23"/>
    <mergeCell ref="L23:W23"/>
    <mergeCell ref="X23:AC23"/>
    <mergeCell ref="A20:A21"/>
    <mergeCell ref="B20:K20"/>
    <mergeCell ref="L20:W20"/>
    <mergeCell ref="X20:AC20"/>
    <mergeCell ref="B21:K21"/>
    <mergeCell ref="L21:W21"/>
    <mergeCell ref="X21:AC21"/>
    <mergeCell ref="A26:A27"/>
    <mergeCell ref="B26:K26"/>
    <mergeCell ref="L26:W26"/>
    <mergeCell ref="X26:AC26"/>
    <mergeCell ref="B27:K27"/>
    <mergeCell ref="L27:W27"/>
    <mergeCell ref="X27:AC27"/>
    <mergeCell ref="A24:A25"/>
    <mergeCell ref="B24:K24"/>
    <mergeCell ref="L24:W24"/>
    <mergeCell ref="X24:AC24"/>
    <mergeCell ref="B25:K25"/>
    <mergeCell ref="L25:W25"/>
    <mergeCell ref="X25:AC25"/>
    <mergeCell ref="A30:A31"/>
    <mergeCell ref="B30:K30"/>
    <mergeCell ref="L30:W30"/>
    <mergeCell ref="X30:AC30"/>
    <mergeCell ref="B31:K31"/>
    <mergeCell ref="L31:W31"/>
    <mergeCell ref="X31:AC31"/>
    <mergeCell ref="A28:A29"/>
    <mergeCell ref="B28:K28"/>
    <mergeCell ref="L28:W28"/>
    <mergeCell ref="X28:AC28"/>
    <mergeCell ref="B29:K29"/>
    <mergeCell ref="L29:W29"/>
    <mergeCell ref="X29:AC29"/>
    <mergeCell ref="A34:N34"/>
    <mergeCell ref="A35:N35"/>
    <mergeCell ref="A36:N36"/>
    <mergeCell ref="A37:N37"/>
    <mergeCell ref="A38:B38"/>
    <mergeCell ref="C38:AS38"/>
    <mergeCell ref="A32:A33"/>
    <mergeCell ref="B32:K32"/>
    <mergeCell ref="L32:W32"/>
    <mergeCell ref="X32:AC32"/>
    <mergeCell ref="B33:K33"/>
    <mergeCell ref="L33:W33"/>
    <mergeCell ref="X33:AC33"/>
    <mergeCell ref="A41:B41"/>
    <mergeCell ref="C41:F41"/>
    <mergeCell ref="H41:R41"/>
    <mergeCell ref="T41:AD41"/>
    <mergeCell ref="AE41:AM41"/>
    <mergeCell ref="AN41:AS41"/>
    <mergeCell ref="A39:B39"/>
    <mergeCell ref="C39:AS39"/>
    <mergeCell ref="A40:B40"/>
    <mergeCell ref="C40:F40"/>
    <mergeCell ref="H40:R40"/>
    <mergeCell ref="T40:AD40"/>
    <mergeCell ref="AE40:AM40"/>
    <mergeCell ref="AN40:AS40"/>
  </mergeCells>
  <printOptions horizontalCentered="1" verticalCentered="1"/>
  <pageMargins left="0" right="0" top="0" bottom="0.51181102362204722" header="0" footer="0"/>
  <pageSetup paperSize="9" scale="85" orientation="landscape" r:id="rId1"/>
  <headerFooter alignWithMargins="0">
    <oddFooter>&amp;L&amp;"Arial,Regular"&amp;10Retention Period: 2 Years.
5015_20190227_2&amp;C&amp;"Arial,Regular"&amp;10MAXXIS RUBBER INDIA PVT. LTD.&amp;R&amp;"Arial,Regular"&amp;10A4 / A3 NO.5015</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5" tint="-0.249977111117893"/>
  </sheetPr>
  <dimension ref="A1:AS41"/>
  <sheetViews>
    <sheetView view="pageBreakPreview" topLeftCell="A4" zoomScaleNormal="100" zoomScaleSheetLayoutView="100" workbookViewId="0">
      <selection activeCell="AH46" sqref="AH46"/>
    </sheetView>
  </sheetViews>
  <sheetFormatPr defaultColWidth="9.109375" defaultRowHeight="15.6"/>
  <cols>
    <col min="1" max="1" width="4" style="140" customWidth="1"/>
    <col min="2" max="45" width="3.5546875" style="140" customWidth="1"/>
    <col min="46" max="16384" width="9.109375" style="140"/>
  </cols>
  <sheetData>
    <row r="1" spans="1:45" s="141" customFormat="1" ht="12.75" customHeight="1">
      <c r="A1" s="461" t="s">
        <v>724</v>
      </c>
      <c r="B1" s="462" t="s">
        <v>725</v>
      </c>
      <c r="C1" s="463"/>
      <c r="D1" s="463"/>
      <c r="E1" s="463"/>
      <c r="F1" s="463"/>
      <c r="G1" s="463"/>
      <c r="H1" s="463"/>
      <c r="I1" s="463"/>
      <c r="J1" s="463"/>
      <c r="K1" s="463"/>
      <c r="L1" s="462" t="s">
        <v>726</v>
      </c>
      <c r="M1" s="463"/>
      <c r="N1" s="463"/>
      <c r="O1" s="463"/>
      <c r="P1" s="463"/>
      <c r="Q1" s="463"/>
      <c r="R1" s="463"/>
      <c r="S1" s="463"/>
      <c r="T1" s="463"/>
      <c r="U1" s="463"/>
      <c r="V1" s="463"/>
      <c r="W1" s="463"/>
      <c r="X1" s="434" t="s">
        <v>809</v>
      </c>
      <c r="Y1" s="435"/>
      <c r="Z1" s="435"/>
      <c r="AA1" s="435"/>
      <c r="AB1" s="435"/>
      <c r="AC1" s="435"/>
      <c r="AD1" s="464" t="s">
        <v>810</v>
      </c>
      <c r="AE1" s="464"/>
      <c r="AF1" s="464"/>
      <c r="AG1" s="464"/>
      <c r="AH1" s="464"/>
      <c r="AI1" s="464"/>
      <c r="AJ1" s="464"/>
      <c r="AK1" s="464"/>
      <c r="AL1" s="464"/>
      <c r="AM1" s="464"/>
      <c r="AN1" s="464"/>
      <c r="AO1" s="464"/>
      <c r="AP1" s="464"/>
      <c r="AQ1" s="464"/>
      <c r="AR1" s="464"/>
      <c r="AS1" s="465"/>
    </row>
    <row r="2" spans="1:45" s="141" customFormat="1" ht="13.8">
      <c r="A2" s="416"/>
      <c r="B2" s="373"/>
      <c r="C2" s="373"/>
      <c r="D2" s="373"/>
      <c r="E2" s="373"/>
      <c r="F2" s="373"/>
      <c r="G2" s="373"/>
      <c r="H2" s="373"/>
      <c r="I2" s="373"/>
      <c r="J2" s="373"/>
      <c r="K2" s="373"/>
      <c r="L2" s="373"/>
      <c r="M2" s="373"/>
      <c r="N2" s="373"/>
      <c r="O2" s="373"/>
      <c r="P2" s="373"/>
      <c r="Q2" s="373"/>
      <c r="R2" s="373"/>
      <c r="S2" s="373"/>
      <c r="T2" s="373"/>
      <c r="U2" s="373"/>
      <c r="V2" s="373"/>
      <c r="W2" s="373"/>
      <c r="X2" s="418"/>
      <c r="Y2" s="418"/>
      <c r="Z2" s="418"/>
      <c r="AA2" s="418"/>
      <c r="AB2" s="418"/>
      <c r="AC2" s="418"/>
      <c r="AD2" s="142">
        <v>1</v>
      </c>
      <c r="AE2" s="142">
        <v>2</v>
      </c>
      <c r="AF2" s="142">
        <v>3</v>
      </c>
      <c r="AG2" s="142">
        <v>4</v>
      </c>
      <c r="AH2" s="142">
        <v>5</v>
      </c>
      <c r="AI2" s="142">
        <v>6</v>
      </c>
      <c r="AJ2" s="142">
        <v>7</v>
      </c>
      <c r="AK2" s="142">
        <v>8</v>
      </c>
      <c r="AL2" s="142">
        <v>9</v>
      </c>
      <c r="AM2" s="142">
        <v>10</v>
      </c>
      <c r="AN2" s="142">
        <v>11</v>
      </c>
      <c r="AO2" s="142">
        <v>12</v>
      </c>
      <c r="AP2" s="142">
        <v>13</v>
      </c>
      <c r="AQ2" s="142">
        <v>14</v>
      </c>
      <c r="AR2" s="142">
        <v>15</v>
      </c>
      <c r="AS2" s="143">
        <v>16</v>
      </c>
    </row>
    <row r="3" spans="1:45" s="141" customFormat="1" ht="13.8">
      <c r="A3" s="416"/>
      <c r="B3" s="373"/>
      <c r="C3" s="373"/>
      <c r="D3" s="373"/>
      <c r="E3" s="373"/>
      <c r="F3" s="373"/>
      <c r="G3" s="373"/>
      <c r="H3" s="373"/>
      <c r="I3" s="373"/>
      <c r="J3" s="373"/>
      <c r="K3" s="373"/>
      <c r="L3" s="373"/>
      <c r="M3" s="373"/>
      <c r="N3" s="373"/>
      <c r="O3" s="373"/>
      <c r="P3" s="373"/>
      <c r="Q3" s="373"/>
      <c r="R3" s="373"/>
      <c r="S3" s="373"/>
      <c r="T3" s="373"/>
      <c r="U3" s="373"/>
      <c r="V3" s="373"/>
      <c r="W3" s="373"/>
      <c r="X3" s="418"/>
      <c r="Y3" s="418"/>
      <c r="Z3" s="418"/>
      <c r="AA3" s="418"/>
      <c r="AB3" s="418"/>
      <c r="AC3" s="418"/>
      <c r="AD3" s="144">
        <v>17</v>
      </c>
      <c r="AE3" s="144">
        <v>18</v>
      </c>
      <c r="AF3" s="144">
        <v>19</v>
      </c>
      <c r="AG3" s="144">
        <v>20</v>
      </c>
      <c r="AH3" s="144">
        <v>21</v>
      </c>
      <c r="AI3" s="144">
        <v>22</v>
      </c>
      <c r="AJ3" s="144">
        <v>23</v>
      </c>
      <c r="AK3" s="144">
        <v>24</v>
      </c>
      <c r="AL3" s="144">
        <v>25</v>
      </c>
      <c r="AM3" s="144">
        <v>26</v>
      </c>
      <c r="AN3" s="144">
        <v>27</v>
      </c>
      <c r="AO3" s="144">
        <v>28</v>
      </c>
      <c r="AP3" s="144">
        <v>29</v>
      </c>
      <c r="AQ3" s="144">
        <v>30</v>
      </c>
      <c r="AR3" s="144">
        <v>31</v>
      </c>
      <c r="AS3" s="145"/>
    </row>
    <row r="4" spans="1:45" s="141" customFormat="1" ht="12" customHeight="1">
      <c r="A4" s="404">
        <v>13</v>
      </c>
      <c r="B4" s="380" t="s">
        <v>811</v>
      </c>
      <c r="C4" s="381"/>
      <c r="D4" s="381"/>
      <c r="E4" s="381"/>
      <c r="F4" s="381"/>
      <c r="G4" s="381"/>
      <c r="H4" s="381"/>
      <c r="I4" s="381"/>
      <c r="J4" s="381"/>
      <c r="K4" s="382"/>
      <c r="L4" s="380" t="s">
        <v>812</v>
      </c>
      <c r="M4" s="381"/>
      <c r="N4" s="381"/>
      <c r="O4" s="381"/>
      <c r="P4" s="381"/>
      <c r="Q4" s="381"/>
      <c r="R4" s="381"/>
      <c r="S4" s="381"/>
      <c r="T4" s="381"/>
      <c r="U4" s="381"/>
      <c r="V4" s="381"/>
      <c r="W4" s="382"/>
      <c r="X4" s="380" t="s">
        <v>813</v>
      </c>
      <c r="Y4" s="381"/>
      <c r="Z4" s="381"/>
      <c r="AA4" s="381"/>
      <c r="AB4" s="381"/>
      <c r="AC4" s="382"/>
      <c r="AD4" s="142"/>
      <c r="AE4" s="142"/>
      <c r="AF4" s="142"/>
      <c r="AG4" s="142"/>
      <c r="AH4" s="142"/>
      <c r="AI4" s="142"/>
      <c r="AJ4" s="142"/>
      <c r="AK4" s="142"/>
      <c r="AL4" s="142"/>
      <c r="AM4" s="142"/>
      <c r="AN4" s="142"/>
      <c r="AO4" s="142"/>
      <c r="AP4" s="142"/>
      <c r="AQ4" s="142"/>
      <c r="AR4" s="142"/>
      <c r="AS4" s="143"/>
    </row>
    <row r="5" spans="1:45" s="141" customFormat="1" ht="12" customHeight="1">
      <c r="A5" s="404"/>
      <c r="B5" s="386" t="s">
        <v>814</v>
      </c>
      <c r="C5" s="387"/>
      <c r="D5" s="387"/>
      <c r="E5" s="387"/>
      <c r="F5" s="387"/>
      <c r="G5" s="387"/>
      <c r="H5" s="387"/>
      <c r="I5" s="387"/>
      <c r="J5" s="387"/>
      <c r="K5" s="388"/>
      <c r="L5" s="386" t="s">
        <v>815</v>
      </c>
      <c r="M5" s="387"/>
      <c r="N5" s="387"/>
      <c r="O5" s="387"/>
      <c r="P5" s="387"/>
      <c r="Q5" s="387"/>
      <c r="R5" s="387"/>
      <c r="S5" s="387"/>
      <c r="T5" s="387"/>
      <c r="U5" s="387"/>
      <c r="V5" s="387"/>
      <c r="W5" s="388"/>
      <c r="X5" s="395" t="s">
        <v>816</v>
      </c>
      <c r="Y5" s="396"/>
      <c r="Z5" s="396"/>
      <c r="AA5" s="396"/>
      <c r="AB5" s="396"/>
      <c r="AC5" s="397"/>
      <c r="AD5" s="144"/>
      <c r="AE5" s="144"/>
      <c r="AF5" s="144"/>
      <c r="AG5" s="144"/>
      <c r="AH5" s="144"/>
      <c r="AI5" s="144"/>
      <c r="AJ5" s="144"/>
      <c r="AK5" s="144"/>
      <c r="AL5" s="144"/>
      <c r="AM5" s="144"/>
      <c r="AN5" s="144"/>
      <c r="AO5" s="144"/>
      <c r="AP5" s="144"/>
      <c r="AQ5" s="144"/>
      <c r="AR5" s="144"/>
      <c r="AS5" s="145"/>
    </row>
    <row r="6" spans="1:45" s="141" customFormat="1" ht="12" customHeight="1">
      <c r="A6" s="404">
        <v>14</v>
      </c>
      <c r="B6" s="380" t="s">
        <v>817</v>
      </c>
      <c r="C6" s="381"/>
      <c r="D6" s="381"/>
      <c r="E6" s="381"/>
      <c r="F6" s="381"/>
      <c r="G6" s="381"/>
      <c r="H6" s="381"/>
      <c r="I6" s="381"/>
      <c r="J6" s="381"/>
      <c r="K6" s="382"/>
      <c r="L6" s="380" t="s">
        <v>780</v>
      </c>
      <c r="M6" s="381"/>
      <c r="N6" s="381"/>
      <c r="O6" s="381"/>
      <c r="P6" s="381"/>
      <c r="Q6" s="381"/>
      <c r="R6" s="381"/>
      <c r="S6" s="381"/>
      <c r="T6" s="381"/>
      <c r="U6" s="381"/>
      <c r="V6" s="381"/>
      <c r="W6" s="382"/>
      <c r="X6" s="380" t="s">
        <v>731</v>
      </c>
      <c r="Y6" s="381"/>
      <c r="Z6" s="381"/>
      <c r="AA6" s="381"/>
      <c r="AB6" s="381"/>
      <c r="AC6" s="382"/>
      <c r="AD6" s="142"/>
      <c r="AE6" s="142"/>
      <c r="AF6" s="142"/>
      <c r="AG6" s="142"/>
      <c r="AH6" s="142"/>
      <c r="AI6" s="142"/>
      <c r="AJ6" s="142"/>
      <c r="AK6" s="142"/>
      <c r="AL6" s="142"/>
      <c r="AM6" s="142"/>
      <c r="AN6" s="142"/>
      <c r="AO6" s="142"/>
      <c r="AP6" s="142"/>
      <c r="AQ6" s="142"/>
      <c r="AR6" s="142"/>
      <c r="AS6" s="143"/>
    </row>
    <row r="7" spans="1:45" s="141" customFormat="1" ht="12" customHeight="1">
      <c r="A7" s="404"/>
      <c r="B7" s="386" t="s">
        <v>818</v>
      </c>
      <c r="C7" s="387"/>
      <c r="D7" s="387"/>
      <c r="E7" s="387"/>
      <c r="F7" s="387"/>
      <c r="G7" s="387"/>
      <c r="H7" s="387"/>
      <c r="I7" s="387"/>
      <c r="J7" s="387"/>
      <c r="K7" s="388"/>
      <c r="L7" s="386" t="s">
        <v>786</v>
      </c>
      <c r="M7" s="387"/>
      <c r="N7" s="387"/>
      <c r="O7" s="387"/>
      <c r="P7" s="387"/>
      <c r="Q7" s="387"/>
      <c r="R7" s="387"/>
      <c r="S7" s="387"/>
      <c r="T7" s="387"/>
      <c r="U7" s="387"/>
      <c r="V7" s="387"/>
      <c r="W7" s="388"/>
      <c r="X7" s="395" t="s">
        <v>734</v>
      </c>
      <c r="Y7" s="396"/>
      <c r="Z7" s="396"/>
      <c r="AA7" s="396"/>
      <c r="AB7" s="396"/>
      <c r="AC7" s="397"/>
      <c r="AD7" s="144"/>
      <c r="AE7" s="144"/>
      <c r="AF7" s="144"/>
      <c r="AG7" s="144"/>
      <c r="AH7" s="144"/>
      <c r="AI7" s="144"/>
      <c r="AJ7" s="144"/>
      <c r="AK7" s="144"/>
      <c r="AL7" s="144"/>
      <c r="AM7" s="144"/>
      <c r="AN7" s="144"/>
      <c r="AO7" s="144"/>
      <c r="AP7" s="144"/>
      <c r="AQ7" s="144"/>
      <c r="AR7" s="144"/>
      <c r="AS7" s="145"/>
    </row>
    <row r="8" spans="1:45" s="141" customFormat="1" ht="12" customHeight="1">
      <c r="A8" s="404">
        <v>15</v>
      </c>
      <c r="B8" s="380" t="s">
        <v>819</v>
      </c>
      <c r="C8" s="381"/>
      <c r="D8" s="381"/>
      <c r="E8" s="381"/>
      <c r="F8" s="381"/>
      <c r="G8" s="381"/>
      <c r="H8" s="381"/>
      <c r="I8" s="381"/>
      <c r="J8" s="381"/>
      <c r="K8" s="382"/>
      <c r="L8" s="380" t="s">
        <v>820</v>
      </c>
      <c r="M8" s="381"/>
      <c r="N8" s="381"/>
      <c r="O8" s="381"/>
      <c r="P8" s="381"/>
      <c r="Q8" s="381"/>
      <c r="R8" s="381"/>
      <c r="S8" s="381"/>
      <c r="T8" s="381"/>
      <c r="U8" s="381"/>
      <c r="V8" s="381"/>
      <c r="W8" s="382"/>
      <c r="X8" s="380" t="s">
        <v>781</v>
      </c>
      <c r="Y8" s="381"/>
      <c r="Z8" s="381"/>
      <c r="AA8" s="381"/>
      <c r="AB8" s="381"/>
      <c r="AC8" s="382"/>
      <c r="AD8" s="142"/>
      <c r="AE8" s="142"/>
      <c r="AF8" s="142"/>
      <c r="AG8" s="142"/>
      <c r="AH8" s="142"/>
      <c r="AI8" s="142"/>
      <c r="AJ8" s="142"/>
      <c r="AK8" s="142"/>
      <c r="AL8" s="142"/>
      <c r="AM8" s="142"/>
      <c r="AN8" s="142"/>
      <c r="AO8" s="142"/>
      <c r="AP8" s="142"/>
      <c r="AQ8" s="142"/>
      <c r="AR8" s="142"/>
      <c r="AS8" s="143"/>
    </row>
    <row r="9" spans="1:45" s="141" customFormat="1" ht="12" customHeight="1">
      <c r="A9" s="404"/>
      <c r="B9" s="386" t="s">
        <v>821</v>
      </c>
      <c r="C9" s="387"/>
      <c r="D9" s="387"/>
      <c r="E9" s="387"/>
      <c r="F9" s="387"/>
      <c r="G9" s="387"/>
      <c r="H9" s="387"/>
      <c r="I9" s="387"/>
      <c r="J9" s="387"/>
      <c r="K9" s="388"/>
      <c r="L9" s="386" t="s">
        <v>733</v>
      </c>
      <c r="M9" s="387"/>
      <c r="N9" s="387"/>
      <c r="O9" s="387"/>
      <c r="P9" s="387"/>
      <c r="Q9" s="387"/>
      <c r="R9" s="387"/>
      <c r="S9" s="387"/>
      <c r="T9" s="387"/>
      <c r="U9" s="387"/>
      <c r="V9" s="387"/>
      <c r="W9" s="388"/>
      <c r="X9" s="395" t="s">
        <v>783</v>
      </c>
      <c r="Y9" s="396"/>
      <c r="Z9" s="396"/>
      <c r="AA9" s="396"/>
      <c r="AB9" s="396"/>
      <c r="AC9" s="397"/>
      <c r="AD9" s="144"/>
      <c r="AE9" s="144"/>
      <c r="AF9" s="144"/>
      <c r="AG9" s="144"/>
      <c r="AH9" s="144"/>
      <c r="AI9" s="144"/>
      <c r="AJ9" s="144"/>
      <c r="AK9" s="144"/>
      <c r="AL9" s="144"/>
      <c r="AM9" s="144"/>
      <c r="AN9" s="144"/>
      <c r="AO9" s="144"/>
      <c r="AP9" s="144"/>
      <c r="AQ9" s="144"/>
      <c r="AR9" s="144"/>
      <c r="AS9" s="145"/>
    </row>
    <row r="10" spans="1:45" s="141" customFormat="1" ht="12" customHeight="1">
      <c r="A10" s="404">
        <v>16</v>
      </c>
      <c r="B10" s="380" t="s">
        <v>822</v>
      </c>
      <c r="C10" s="381"/>
      <c r="D10" s="381"/>
      <c r="E10" s="381"/>
      <c r="F10" s="381"/>
      <c r="G10" s="381"/>
      <c r="H10" s="381"/>
      <c r="I10" s="381"/>
      <c r="J10" s="381"/>
      <c r="K10" s="382"/>
      <c r="L10" s="380" t="s">
        <v>823</v>
      </c>
      <c r="M10" s="381"/>
      <c r="N10" s="381"/>
      <c r="O10" s="381"/>
      <c r="P10" s="381"/>
      <c r="Q10" s="381"/>
      <c r="R10" s="381"/>
      <c r="S10" s="381"/>
      <c r="T10" s="381"/>
      <c r="U10" s="381"/>
      <c r="V10" s="381"/>
      <c r="W10" s="382"/>
      <c r="X10" s="380" t="s">
        <v>753</v>
      </c>
      <c r="Y10" s="381"/>
      <c r="Z10" s="381"/>
      <c r="AA10" s="381"/>
      <c r="AB10" s="381"/>
      <c r="AC10" s="382"/>
      <c r="AD10" s="142"/>
      <c r="AE10" s="142"/>
      <c r="AF10" s="142"/>
      <c r="AG10" s="142"/>
      <c r="AH10" s="142"/>
      <c r="AI10" s="142"/>
      <c r="AJ10" s="142"/>
      <c r="AK10" s="142"/>
      <c r="AL10" s="142"/>
      <c r="AM10" s="142"/>
      <c r="AN10" s="142"/>
      <c r="AO10" s="142"/>
      <c r="AP10" s="142"/>
      <c r="AQ10" s="142"/>
      <c r="AR10" s="142"/>
      <c r="AS10" s="143"/>
    </row>
    <row r="11" spans="1:45" s="141" customFormat="1" ht="12" customHeight="1">
      <c r="A11" s="404"/>
      <c r="B11" s="386" t="s">
        <v>824</v>
      </c>
      <c r="C11" s="387"/>
      <c r="D11" s="387"/>
      <c r="E11" s="387"/>
      <c r="F11" s="387"/>
      <c r="G11" s="387"/>
      <c r="H11" s="387"/>
      <c r="I11" s="387"/>
      <c r="J11" s="387"/>
      <c r="K11" s="388"/>
      <c r="L11" s="386" t="s">
        <v>825</v>
      </c>
      <c r="M11" s="387"/>
      <c r="N11" s="387"/>
      <c r="O11" s="387"/>
      <c r="P11" s="387"/>
      <c r="Q11" s="387"/>
      <c r="R11" s="387"/>
      <c r="S11" s="387"/>
      <c r="T11" s="387"/>
      <c r="U11" s="387"/>
      <c r="V11" s="387"/>
      <c r="W11" s="388"/>
      <c r="X11" s="395" t="s">
        <v>756</v>
      </c>
      <c r="Y11" s="396"/>
      <c r="Z11" s="396"/>
      <c r="AA11" s="396"/>
      <c r="AB11" s="396"/>
      <c r="AC11" s="397"/>
      <c r="AD11" s="144"/>
      <c r="AE11" s="144"/>
      <c r="AF11" s="144"/>
      <c r="AG11" s="144"/>
      <c r="AH11" s="144"/>
      <c r="AI11" s="144"/>
      <c r="AJ11" s="144"/>
      <c r="AK11" s="144"/>
      <c r="AL11" s="144"/>
      <c r="AM11" s="144"/>
      <c r="AN11" s="144"/>
      <c r="AO11" s="144"/>
      <c r="AP11" s="144"/>
      <c r="AQ11" s="144"/>
      <c r="AR11" s="144"/>
      <c r="AS11" s="145"/>
    </row>
    <row r="12" spans="1:45" s="141" customFormat="1" ht="12" customHeight="1">
      <c r="A12" s="404">
        <v>17</v>
      </c>
      <c r="B12" s="398" t="s">
        <v>826</v>
      </c>
      <c r="C12" s="399"/>
      <c r="D12" s="399"/>
      <c r="E12" s="399"/>
      <c r="F12" s="399"/>
      <c r="G12" s="399"/>
      <c r="H12" s="399"/>
      <c r="I12" s="399"/>
      <c r="J12" s="399"/>
      <c r="K12" s="400"/>
      <c r="L12" s="380" t="s">
        <v>780</v>
      </c>
      <c r="M12" s="381"/>
      <c r="N12" s="381"/>
      <c r="O12" s="381"/>
      <c r="P12" s="381"/>
      <c r="Q12" s="381"/>
      <c r="R12" s="381"/>
      <c r="S12" s="381"/>
      <c r="T12" s="381"/>
      <c r="U12" s="381"/>
      <c r="V12" s="381"/>
      <c r="W12" s="382"/>
      <c r="X12" s="380" t="s">
        <v>731</v>
      </c>
      <c r="Y12" s="381"/>
      <c r="Z12" s="381"/>
      <c r="AA12" s="381"/>
      <c r="AB12" s="381"/>
      <c r="AC12" s="382"/>
      <c r="AD12" s="142"/>
      <c r="AE12" s="142"/>
      <c r="AF12" s="142"/>
      <c r="AG12" s="142"/>
      <c r="AH12" s="142"/>
      <c r="AI12" s="142"/>
      <c r="AJ12" s="142"/>
      <c r="AK12" s="142"/>
      <c r="AL12" s="142"/>
      <c r="AM12" s="142"/>
      <c r="AN12" s="142"/>
      <c r="AO12" s="142"/>
      <c r="AP12" s="142"/>
      <c r="AQ12" s="142"/>
      <c r="AR12" s="142"/>
      <c r="AS12" s="143"/>
    </row>
    <row r="13" spans="1:45" s="141" customFormat="1" ht="12" customHeight="1">
      <c r="A13" s="404"/>
      <c r="B13" s="386" t="s">
        <v>827</v>
      </c>
      <c r="C13" s="387"/>
      <c r="D13" s="387"/>
      <c r="E13" s="387"/>
      <c r="F13" s="387"/>
      <c r="G13" s="387"/>
      <c r="H13" s="387"/>
      <c r="I13" s="387"/>
      <c r="J13" s="387"/>
      <c r="K13" s="388"/>
      <c r="L13" s="386" t="s">
        <v>786</v>
      </c>
      <c r="M13" s="387"/>
      <c r="N13" s="387"/>
      <c r="O13" s="387"/>
      <c r="P13" s="387"/>
      <c r="Q13" s="387"/>
      <c r="R13" s="387"/>
      <c r="S13" s="387"/>
      <c r="T13" s="387"/>
      <c r="U13" s="387"/>
      <c r="V13" s="387"/>
      <c r="W13" s="388"/>
      <c r="X13" s="395" t="s">
        <v>734</v>
      </c>
      <c r="Y13" s="396"/>
      <c r="Z13" s="396"/>
      <c r="AA13" s="396"/>
      <c r="AB13" s="396"/>
      <c r="AC13" s="397"/>
      <c r="AD13" s="144"/>
      <c r="AE13" s="144"/>
      <c r="AF13" s="144"/>
      <c r="AG13" s="144"/>
      <c r="AH13" s="144"/>
      <c r="AI13" s="144"/>
      <c r="AJ13" s="144"/>
      <c r="AK13" s="144"/>
      <c r="AL13" s="144"/>
      <c r="AM13" s="144"/>
      <c r="AN13" s="144"/>
      <c r="AO13" s="144"/>
      <c r="AP13" s="144"/>
      <c r="AQ13" s="144"/>
      <c r="AR13" s="144"/>
      <c r="AS13" s="145"/>
    </row>
    <row r="14" spans="1:45" s="141" customFormat="1" ht="12" customHeight="1">
      <c r="A14" s="404">
        <v>18</v>
      </c>
      <c r="B14" s="380" t="s">
        <v>828</v>
      </c>
      <c r="C14" s="381"/>
      <c r="D14" s="381"/>
      <c r="E14" s="381"/>
      <c r="F14" s="381"/>
      <c r="G14" s="381"/>
      <c r="H14" s="381"/>
      <c r="I14" s="381"/>
      <c r="J14" s="381"/>
      <c r="K14" s="382"/>
      <c r="L14" s="380" t="s">
        <v>829</v>
      </c>
      <c r="M14" s="381"/>
      <c r="N14" s="381"/>
      <c r="O14" s="381"/>
      <c r="P14" s="381"/>
      <c r="Q14" s="381"/>
      <c r="R14" s="381"/>
      <c r="S14" s="381"/>
      <c r="T14" s="381"/>
      <c r="U14" s="381"/>
      <c r="V14" s="381"/>
      <c r="W14" s="382"/>
      <c r="X14" s="380" t="s">
        <v>731</v>
      </c>
      <c r="Y14" s="381"/>
      <c r="Z14" s="381"/>
      <c r="AA14" s="381"/>
      <c r="AB14" s="381"/>
      <c r="AC14" s="382"/>
      <c r="AD14" s="142"/>
      <c r="AE14" s="142"/>
      <c r="AF14" s="142"/>
      <c r="AG14" s="142"/>
      <c r="AH14" s="142"/>
      <c r="AI14" s="142"/>
      <c r="AJ14" s="142"/>
      <c r="AK14" s="142"/>
      <c r="AL14" s="142"/>
      <c r="AM14" s="142"/>
      <c r="AN14" s="142"/>
      <c r="AO14" s="142"/>
      <c r="AP14" s="142"/>
      <c r="AQ14" s="142"/>
      <c r="AR14" s="142"/>
      <c r="AS14" s="143"/>
    </row>
    <row r="15" spans="1:45" s="141" customFormat="1" ht="12" customHeight="1">
      <c r="A15" s="404"/>
      <c r="B15" s="386" t="s">
        <v>830</v>
      </c>
      <c r="C15" s="387"/>
      <c r="D15" s="387"/>
      <c r="E15" s="387"/>
      <c r="F15" s="387"/>
      <c r="G15" s="387"/>
      <c r="H15" s="387"/>
      <c r="I15" s="387"/>
      <c r="J15" s="387"/>
      <c r="K15" s="388"/>
      <c r="L15" s="386" t="s">
        <v>831</v>
      </c>
      <c r="M15" s="387"/>
      <c r="N15" s="387"/>
      <c r="O15" s="387"/>
      <c r="P15" s="387"/>
      <c r="Q15" s="387"/>
      <c r="R15" s="387"/>
      <c r="S15" s="387"/>
      <c r="T15" s="387"/>
      <c r="U15" s="387"/>
      <c r="V15" s="387"/>
      <c r="W15" s="388"/>
      <c r="X15" s="395" t="s">
        <v>734</v>
      </c>
      <c r="Y15" s="396"/>
      <c r="Z15" s="396"/>
      <c r="AA15" s="396"/>
      <c r="AB15" s="396"/>
      <c r="AC15" s="397"/>
      <c r="AD15" s="144"/>
      <c r="AE15" s="144"/>
      <c r="AF15" s="144"/>
      <c r="AG15" s="144"/>
      <c r="AH15" s="144"/>
      <c r="AI15" s="144"/>
      <c r="AJ15" s="144"/>
      <c r="AK15" s="144"/>
      <c r="AL15" s="144"/>
      <c r="AM15" s="144"/>
      <c r="AN15" s="144"/>
      <c r="AO15" s="144"/>
      <c r="AP15" s="144"/>
      <c r="AQ15" s="144"/>
      <c r="AR15" s="144"/>
      <c r="AS15" s="145"/>
    </row>
    <row r="16" spans="1:45" s="141" customFormat="1" ht="12" customHeight="1">
      <c r="A16" s="404">
        <v>19</v>
      </c>
      <c r="B16" s="380" t="s">
        <v>832</v>
      </c>
      <c r="C16" s="381"/>
      <c r="D16" s="381"/>
      <c r="E16" s="381"/>
      <c r="F16" s="381"/>
      <c r="G16" s="381"/>
      <c r="H16" s="381"/>
      <c r="I16" s="381"/>
      <c r="J16" s="381"/>
      <c r="K16" s="382"/>
      <c r="L16" s="380" t="s">
        <v>776</v>
      </c>
      <c r="M16" s="381"/>
      <c r="N16" s="381"/>
      <c r="O16" s="381"/>
      <c r="P16" s="381"/>
      <c r="Q16" s="381"/>
      <c r="R16" s="381"/>
      <c r="S16" s="381"/>
      <c r="T16" s="381"/>
      <c r="U16" s="381"/>
      <c r="V16" s="381"/>
      <c r="W16" s="382"/>
      <c r="X16" s="380" t="s">
        <v>753</v>
      </c>
      <c r="Y16" s="381"/>
      <c r="Z16" s="381"/>
      <c r="AA16" s="381"/>
      <c r="AB16" s="381"/>
      <c r="AC16" s="382"/>
      <c r="AD16" s="142"/>
      <c r="AE16" s="142"/>
      <c r="AF16" s="142"/>
      <c r="AG16" s="142"/>
      <c r="AH16" s="142"/>
      <c r="AI16" s="142"/>
      <c r="AJ16" s="142"/>
      <c r="AK16" s="142"/>
      <c r="AL16" s="142"/>
      <c r="AM16" s="142"/>
      <c r="AN16" s="142"/>
      <c r="AO16" s="142"/>
      <c r="AP16" s="142"/>
      <c r="AQ16" s="142"/>
      <c r="AR16" s="142"/>
      <c r="AS16" s="143"/>
    </row>
    <row r="17" spans="1:45" s="141" customFormat="1" ht="12" customHeight="1">
      <c r="A17" s="404"/>
      <c r="B17" s="386" t="s">
        <v>833</v>
      </c>
      <c r="C17" s="387"/>
      <c r="D17" s="387"/>
      <c r="E17" s="387"/>
      <c r="F17" s="387"/>
      <c r="G17" s="387"/>
      <c r="H17" s="387"/>
      <c r="I17" s="387"/>
      <c r="J17" s="387"/>
      <c r="K17" s="388"/>
      <c r="L17" s="386" t="s">
        <v>834</v>
      </c>
      <c r="M17" s="387"/>
      <c r="N17" s="387"/>
      <c r="O17" s="387"/>
      <c r="P17" s="387"/>
      <c r="Q17" s="387"/>
      <c r="R17" s="387"/>
      <c r="S17" s="387"/>
      <c r="T17" s="387"/>
      <c r="U17" s="387"/>
      <c r="V17" s="387"/>
      <c r="W17" s="388"/>
      <c r="X17" s="395" t="s">
        <v>756</v>
      </c>
      <c r="Y17" s="396"/>
      <c r="Z17" s="396"/>
      <c r="AA17" s="396"/>
      <c r="AB17" s="396"/>
      <c r="AC17" s="397"/>
      <c r="AD17" s="144"/>
      <c r="AE17" s="144"/>
      <c r="AF17" s="144"/>
      <c r="AG17" s="144"/>
      <c r="AH17" s="144"/>
      <c r="AI17" s="144"/>
      <c r="AJ17" s="144"/>
      <c r="AK17" s="144"/>
      <c r="AL17" s="144"/>
      <c r="AM17" s="144"/>
      <c r="AN17" s="144"/>
      <c r="AO17" s="144"/>
      <c r="AP17" s="144"/>
      <c r="AQ17" s="144"/>
      <c r="AR17" s="144"/>
      <c r="AS17" s="145"/>
    </row>
    <row r="18" spans="1:45" s="141" customFormat="1" ht="12" customHeight="1">
      <c r="A18" s="404">
        <v>20</v>
      </c>
      <c r="B18" s="380" t="s">
        <v>835</v>
      </c>
      <c r="C18" s="381"/>
      <c r="D18" s="381"/>
      <c r="E18" s="381"/>
      <c r="F18" s="381"/>
      <c r="G18" s="381"/>
      <c r="H18" s="381"/>
      <c r="I18" s="381"/>
      <c r="J18" s="381"/>
      <c r="K18" s="382"/>
      <c r="L18" s="380" t="s">
        <v>823</v>
      </c>
      <c r="M18" s="381"/>
      <c r="N18" s="381"/>
      <c r="O18" s="381"/>
      <c r="P18" s="381"/>
      <c r="Q18" s="381"/>
      <c r="R18" s="381"/>
      <c r="S18" s="381"/>
      <c r="T18" s="381"/>
      <c r="U18" s="381"/>
      <c r="V18" s="381"/>
      <c r="W18" s="382"/>
      <c r="X18" s="380" t="s">
        <v>753</v>
      </c>
      <c r="Y18" s="381"/>
      <c r="Z18" s="381"/>
      <c r="AA18" s="381"/>
      <c r="AB18" s="381"/>
      <c r="AC18" s="382"/>
      <c r="AD18" s="142"/>
      <c r="AE18" s="142"/>
      <c r="AF18" s="142"/>
      <c r="AG18" s="142"/>
      <c r="AH18" s="142"/>
      <c r="AI18" s="142"/>
      <c r="AJ18" s="142"/>
      <c r="AK18" s="142"/>
      <c r="AL18" s="142"/>
      <c r="AM18" s="142"/>
      <c r="AN18" s="142"/>
      <c r="AO18" s="142"/>
      <c r="AP18" s="142"/>
      <c r="AQ18" s="142"/>
      <c r="AR18" s="142"/>
      <c r="AS18" s="143"/>
    </row>
    <row r="19" spans="1:45" s="141" customFormat="1" ht="12" customHeight="1">
      <c r="A19" s="404"/>
      <c r="B19" s="386" t="s">
        <v>836</v>
      </c>
      <c r="C19" s="387"/>
      <c r="D19" s="387"/>
      <c r="E19" s="387"/>
      <c r="F19" s="387"/>
      <c r="G19" s="387"/>
      <c r="H19" s="387"/>
      <c r="I19" s="387"/>
      <c r="J19" s="387"/>
      <c r="K19" s="388"/>
      <c r="L19" s="386" t="s">
        <v>825</v>
      </c>
      <c r="M19" s="387"/>
      <c r="N19" s="387"/>
      <c r="O19" s="387"/>
      <c r="P19" s="387"/>
      <c r="Q19" s="387"/>
      <c r="R19" s="387"/>
      <c r="S19" s="387"/>
      <c r="T19" s="387"/>
      <c r="U19" s="387"/>
      <c r="V19" s="387"/>
      <c r="W19" s="388"/>
      <c r="X19" s="395" t="s">
        <v>756</v>
      </c>
      <c r="Y19" s="396"/>
      <c r="Z19" s="396"/>
      <c r="AA19" s="396"/>
      <c r="AB19" s="396"/>
      <c r="AC19" s="397"/>
      <c r="AD19" s="144"/>
      <c r="AE19" s="144"/>
      <c r="AF19" s="144"/>
      <c r="AG19" s="144"/>
      <c r="AH19" s="144"/>
      <c r="AI19" s="144"/>
      <c r="AJ19" s="144"/>
      <c r="AK19" s="144"/>
      <c r="AL19" s="144"/>
      <c r="AM19" s="144"/>
      <c r="AN19" s="144"/>
      <c r="AO19" s="144"/>
      <c r="AP19" s="144"/>
      <c r="AQ19" s="144"/>
      <c r="AR19" s="144"/>
      <c r="AS19" s="145"/>
    </row>
    <row r="20" spans="1:45" s="141" customFormat="1" ht="12" customHeight="1">
      <c r="A20" s="404">
        <v>21</v>
      </c>
      <c r="B20" s="455" t="s">
        <v>837</v>
      </c>
      <c r="C20" s="456"/>
      <c r="D20" s="456"/>
      <c r="E20" s="456"/>
      <c r="F20" s="456"/>
      <c r="G20" s="456"/>
      <c r="H20" s="456"/>
      <c r="I20" s="456"/>
      <c r="J20" s="456"/>
      <c r="K20" s="457"/>
      <c r="L20" s="380" t="s">
        <v>776</v>
      </c>
      <c r="M20" s="381"/>
      <c r="N20" s="381"/>
      <c r="O20" s="381"/>
      <c r="P20" s="381"/>
      <c r="Q20" s="381"/>
      <c r="R20" s="381"/>
      <c r="S20" s="381"/>
      <c r="T20" s="381"/>
      <c r="U20" s="381"/>
      <c r="V20" s="381"/>
      <c r="W20" s="382"/>
      <c r="X20" s="380" t="s">
        <v>753</v>
      </c>
      <c r="Y20" s="381"/>
      <c r="Z20" s="381"/>
      <c r="AA20" s="381"/>
      <c r="AB20" s="381"/>
      <c r="AC20" s="382"/>
      <c r="AD20" s="142"/>
      <c r="AE20" s="142"/>
      <c r="AF20" s="142"/>
      <c r="AG20" s="142"/>
      <c r="AH20" s="142"/>
      <c r="AI20" s="142"/>
      <c r="AJ20" s="142"/>
      <c r="AK20" s="142"/>
      <c r="AL20" s="142"/>
      <c r="AM20" s="142"/>
      <c r="AN20" s="142"/>
      <c r="AO20" s="142"/>
      <c r="AP20" s="142"/>
      <c r="AQ20" s="142"/>
      <c r="AR20" s="142"/>
      <c r="AS20" s="143"/>
    </row>
    <row r="21" spans="1:45" s="141" customFormat="1" ht="12" customHeight="1">
      <c r="A21" s="404"/>
      <c r="B21" s="458" t="s">
        <v>838</v>
      </c>
      <c r="C21" s="459"/>
      <c r="D21" s="459"/>
      <c r="E21" s="459"/>
      <c r="F21" s="459"/>
      <c r="G21" s="459"/>
      <c r="H21" s="459"/>
      <c r="I21" s="459"/>
      <c r="J21" s="459"/>
      <c r="K21" s="460"/>
      <c r="L21" s="386" t="s">
        <v>834</v>
      </c>
      <c r="M21" s="387"/>
      <c r="N21" s="387"/>
      <c r="O21" s="387"/>
      <c r="P21" s="387"/>
      <c r="Q21" s="387"/>
      <c r="R21" s="387"/>
      <c r="S21" s="387"/>
      <c r="T21" s="387"/>
      <c r="U21" s="387"/>
      <c r="V21" s="387"/>
      <c r="W21" s="388"/>
      <c r="X21" s="395" t="s">
        <v>756</v>
      </c>
      <c r="Y21" s="396"/>
      <c r="Z21" s="396"/>
      <c r="AA21" s="396"/>
      <c r="AB21" s="396"/>
      <c r="AC21" s="397"/>
      <c r="AD21" s="144"/>
      <c r="AE21" s="144"/>
      <c r="AF21" s="144"/>
      <c r="AG21" s="144"/>
      <c r="AH21" s="144"/>
      <c r="AI21" s="144"/>
      <c r="AJ21" s="144"/>
      <c r="AK21" s="144"/>
      <c r="AL21" s="144"/>
      <c r="AM21" s="144"/>
      <c r="AN21" s="144"/>
      <c r="AO21" s="144"/>
      <c r="AP21" s="144"/>
      <c r="AQ21" s="144"/>
      <c r="AR21" s="144"/>
      <c r="AS21" s="145"/>
    </row>
    <row r="22" spans="1:45" s="141" customFormat="1" ht="12" customHeight="1">
      <c r="A22" s="404">
        <v>22</v>
      </c>
      <c r="B22" s="380" t="s">
        <v>839</v>
      </c>
      <c r="C22" s="381"/>
      <c r="D22" s="381"/>
      <c r="E22" s="381"/>
      <c r="F22" s="381"/>
      <c r="G22" s="381"/>
      <c r="H22" s="381"/>
      <c r="I22" s="381"/>
      <c r="J22" s="381"/>
      <c r="K22" s="382"/>
      <c r="L22" s="380" t="s">
        <v>776</v>
      </c>
      <c r="M22" s="381"/>
      <c r="N22" s="381"/>
      <c r="O22" s="381"/>
      <c r="P22" s="381"/>
      <c r="Q22" s="381"/>
      <c r="R22" s="381"/>
      <c r="S22" s="381"/>
      <c r="T22" s="381"/>
      <c r="U22" s="381"/>
      <c r="V22" s="381"/>
      <c r="W22" s="382"/>
      <c r="X22" s="380" t="s">
        <v>753</v>
      </c>
      <c r="Y22" s="381"/>
      <c r="Z22" s="381"/>
      <c r="AA22" s="381"/>
      <c r="AB22" s="381"/>
      <c r="AC22" s="382"/>
      <c r="AD22" s="142"/>
      <c r="AE22" s="142"/>
      <c r="AF22" s="142"/>
      <c r="AG22" s="142"/>
      <c r="AH22" s="142"/>
      <c r="AI22" s="142"/>
      <c r="AJ22" s="142"/>
      <c r="AK22" s="142"/>
      <c r="AL22" s="142"/>
      <c r="AM22" s="142"/>
      <c r="AN22" s="142"/>
      <c r="AO22" s="142"/>
      <c r="AP22" s="142"/>
      <c r="AQ22" s="142"/>
      <c r="AR22" s="142"/>
      <c r="AS22" s="143"/>
    </row>
    <row r="23" spans="1:45" s="141" customFormat="1" ht="12" customHeight="1">
      <c r="A23" s="404"/>
      <c r="B23" s="386" t="s">
        <v>840</v>
      </c>
      <c r="C23" s="387"/>
      <c r="D23" s="387"/>
      <c r="E23" s="387"/>
      <c r="F23" s="387"/>
      <c r="G23" s="387"/>
      <c r="H23" s="387"/>
      <c r="I23" s="387"/>
      <c r="J23" s="387"/>
      <c r="K23" s="388"/>
      <c r="L23" s="386" t="s">
        <v>834</v>
      </c>
      <c r="M23" s="387"/>
      <c r="N23" s="387"/>
      <c r="O23" s="387"/>
      <c r="P23" s="387"/>
      <c r="Q23" s="387"/>
      <c r="R23" s="387"/>
      <c r="S23" s="387"/>
      <c r="T23" s="387"/>
      <c r="U23" s="387"/>
      <c r="V23" s="387"/>
      <c r="W23" s="388"/>
      <c r="X23" s="395" t="s">
        <v>756</v>
      </c>
      <c r="Y23" s="396"/>
      <c r="Z23" s="396"/>
      <c r="AA23" s="396"/>
      <c r="AB23" s="396"/>
      <c r="AC23" s="397"/>
      <c r="AD23" s="144"/>
      <c r="AE23" s="144"/>
      <c r="AF23" s="144"/>
      <c r="AG23" s="144"/>
      <c r="AH23" s="144"/>
      <c r="AI23" s="144"/>
      <c r="AJ23" s="144"/>
      <c r="AK23" s="144"/>
      <c r="AL23" s="144"/>
      <c r="AM23" s="144"/>
      <c r="AN23" s="144"/>
      <c r="AO23" s="144"/>
      <c r="AP23" s="144"/>
      <c r="AQ23" s="144"/>
      <c r="AR23" s="144"/>
      <c r="AS23" s="145"/>
    </row>
    <row r="24" spans="1:45" s="141" customFormat="1" ht="12" customHeight="1">
      <c r="A24" s="404">
        <v>23</v>
      </c>
      <c r="B24" s="380" t="s">
        <v>841</v>
      </c>
      <c r="C24" s="381"/>
      <c r="D24" s="381"/>
      <c r="E24" s="381"/>
      <c r="F24" s="381"/>
      <c r="G24" s="381"/>
      <c r="H24" s="381"/>
      <c r="I24" s="381"/>
      <c r="J24" s="381"/>
      <c r="K24" s="382"/>
      <c r="L24" s="380" t="s">
        <v>829</v>
      </c>
      <c r="M24" s="381"/>
      <c r="N24" s="381"/>
      <c r="O24" s="381"/>
      <c r="P24" s="381"/>
      <c r="Q24" s="381"/>
      <c r="R24" s="381"/>
      <c r="S24" s="381"/>
      <c r="T24" s="381"/>
      <c r="U24" s="381"/>
      <c r="V24" s="381"/>
      <c r="W24" s="382"/>
      <c r="X24" s="380" t="s">
        <v>731</v>
      </c>
      <c r="Y24" s="381"/>
      <c r="Z24" s="381"/>
      <c r="AA24" s="381"/>
      <c r="AB24" s="381"/>
      <c r="AC24" s="382"/>
      <c r="AD24" s="142"/>
      <c r="AE24" s="142"/>
      <c r="AF24" s="142"/>
      <c r="AG24" s="142"/>
      <c r="AH24" s="142"/>
      <c r="AI24" s="142"/>
      <c r="AJ24" s="142"/>
      <c r="AK24" s="142"/>
      <c r="AL24" s="142"/>
      <c r="AM24" s="142"/>
      <c r="AN24" s="142"/>
      <c r="AO24" s="142"/>
      <c r="AP24" s="142"/>
      <c r="AQ24" s="142"/>
      <c r="AR24" s="142"/>
      <c r="AS24" s="143"/>
    </row>
    <row r="25" spans="1:45" s="141" customFormat="1" ht="12" customHeight="1">
      <c r="A25" s="404"/>
      <c r="B25" s="386" t="s">
        <v>842</v>
      </c>
      <c r="C25" s="387"/>
      <c r="D25" s="387"/>
      <c r="E25" s="387"/>
      <c r="F25" s="387"/>
      <c r="G25" s="387"/>
      <c r="H25" s="387"/>
      <c r="I25" s="387"/>
      <c r="J25" s="387"/>
      <c r="K25" s="388"/>
      <c r="L25" s="386" t="s">
        <v>831</v>
      </c>
      <c r="M25" s="387"/>
      <c r="N25" s="387"/>
      <c r="O25" s="387"/>
      <c r="P25" s="387"/>
      <c r="Q25" s="387"/>
      <c r="R25" s="387"/>
      <c r="S25" s="387"/>
      <c r="T25" s="387"/>
      <c r="U25" s="387"/>
      <c r="V25" s="387"/>
      <c r="W25" s="388"/>
      <c r="X25" s="395" t="s">
        <v>734</v>
      </c>
      <c r="Y25" s="396"/>
      <c r="Z25" s="396"/>
      <c r="AA25" s="396"/>
      <c r="AB25" s="396"/>
      <c r="AC25" s="397"/>
      <c r="AD25" s="144"/>
      <c r="AE25" s="144"/>
      <c r="AF25" s="144"/>
      <c r="AG25" s="144"/>
      <c r="AH25" s="144"/>
      <c r="AI25" s="144"/>
      <c r="AJ25" s="144"/>
      <c r="AK25" s="144"/>
      <c r="AL25" s="144"/>
      <c r="AM25" s="144"/>
      <c r="AN25" s="144"/>
      <c r="AO25" s="144"/>
      <c r="AP25" s="144"/>
      <c r="AQ25" s="144"/>
      <c r="AR25" s="144"/>
      <c r="AS25" s="145"/>
    </row>
    <row r="26" spans="1:45" s="141" customFormat="1" ht="12" customHeight="1">
      <c r="A26" s="378">
        <v>24</v>
      </c>
      <c r="B26" s="380" t="s">
        <v>843</v>
      </c>
      <c r="C26" s="381"/>
      <c r="D26" s="381"/>
      <c r="E26" s="381"/>
      <c r="F26" s="381"/>
      <c r="G26" s="381"/>
      <c r="H26" s="381"/>
      <c r="I26" s="381"/>
      <c r="J26" s="381"/>
      <c r="K26" s="382"/>
      <c r="L26" s="380" t="s">
        <v>844</v>
      </c>
      <c r="M26" s="381"/>
      <c r="N26" s="381"/>
      <c r="O26" s="381"/>
      <c r="P26" s="381"/>
      <c r="Q26" s="381"/>
      <c r="R26" s="381"/>
      <c r="S26" s="381"/>
      <c r="T26" s="381"/>
      <c r="U26" s="381"/>
      <c r="V26" s="381"/>
      <c r="W26" s="382"/>
      <c r="X26" s="380" t="s">
        <v>845</v>
      </c>
      <c r="Y26" s="381"/>
      <c r="Z26" s="381"/>
      <c r="AA26" s="381"/>
      <c r="AB26" s="381"/>
      <c r="AC26" s="382"/>
      <c r="AD26" s="142"/>
      <c r="AE26" s="142"/>
      <c r="AF26" s="142"/>
      <c r="AG26" s="142"/>
      <c r="AH26" s="142"/>
      <c r="AI26" s="142"/>
      <c r="AJ26" s="142"/>
      <c r="AK26" s="142"/>
      <c r="AL26" s="142"/>
      <c r="AM26" s="142"/>
      <c r="AN26" s="142"/>
      <c r="AO26" s="142"/>
      <c r="AP26" s="142"/>
      <c r="AQ26" s="142"/>
      <c r="AR26" s="142"/>
      <c r="AS26" s="143"/>
    </row>
    <row r="27" spans="1:45" s="141" customFormat="1" ht="12" customHeight="1">
      <c r="A27" s="408"/>
      <c r="B27" s="386" t="s">
        <v>846</v>
      </c>
      <c r="C27" s="387"/>
      <c r="D27" s="387"/>
      <c r="E27" s="387"/>
      <c r="F27" s="387"/>
      <c r="G27" s="387"/>
      <c r="H27" s="387"/>
      <c r="I27" s="387"/>
      <c r="J27" s="387"/>
      <c r="K27" s="388"/>
      <c r="L27" s="386" t="s">
        <v>847</v>
      </c>
      <c r="M27" s="387"/>
      <c r="N27" s="387"/>
      <c r="O27" s="387"/>
      <c r="P27" s="387"/>
      <c r="Q27" s="387"/>
      <c r="R27" s="387"/>
      <c r="S27" s="387"/>
      <c r="T27" s="387"/>
      <c r="U27" s="387"/>
      <c r="V27" s="387"/>
      <c r="W27" s="388"/>
      <c r="X27" s="395" t="s">
        <v>848</v>
      </c>
      <c r="Y27" s="396"/>
      <c r="Z27" s="396"/>
      <c r="AA27" s="396"/>
      <c r="AB27" s="396"/>
      <c r="AC27" s="397"/>
      <c r="AD27" s="144"/>
      <c r="AE27" s="144"/>
      <c r="AF27" s="144"/>
      <c r="AG27" s="144"/>
      <c r="AH27" s="144"/>
      <c r="AI27" s="144"/>
      <c r="AJ27" s="144"/>
      <c r="AK27" s="144"/>
      <c r="AL27" s="144"/>
      <c r="AM27" s="144"/>
      <c r="AN27" s="144"/>
      <c r="AO27" s="144"/>
      <c r="AP27" s="144"/>
      <c r="AQ27" s="144"/>
      <c r="AR27" s="144"/>
      <c r="AS27" s="145"/>
    </row>
    <row r="28" spans="1:45" s="141" customFormat="1" ht="12" customHeight="1">
      <c r="A28" s="408"/>
      <c r="B28" s="380" t="s">
        <v>849</v>
      </c>
      <c r="C28" s="381"/>
      <c r="D28" s="381"/>
      <c r="E28" s="381"/>
      <c r="F28" s="381"/>
      <c r="G28" s="381"/>
      <c r="H28" s="381"/>
      <c r="I28" s="381"/>
      <c r="J28" s="381"/>
      <c r="K28" s="382"/>
      <c r="L28" s="380" t="s">
        <v>776</v>
      </c>
      <c r="M28" s="381"/>
      <c r="N28" s="381"/>
      <c r="O28" s="381"/>
      <c r="P28" s="381"/>
      <c r="Q28" s="381"/>
      <c r="R28" s="381"/>
      <c r="S28" s="381"/>
      <c r="T28" s="381"/>
      <c r="U28" s="381"/>
      <c r="V28" s="381"/>
      <c r="W28" s="382"/>
      <c r="X28" s="380" t="s">
        <v>753</v>
      </c>
      <c r="Y28" s="381"/>
      <c r="Z28" s="381"/>
      <c r="AA28" s="381"/>
      <c r="AB28" s="381"/>
      <c r="AC28" s="382"/>
      <c r="AD28" s="142"/>
      <c r="AE28" s="142"/>
      <c r="AF28" s="142"/>
      <c r="AG28" s="142"/>
      <c r="AH28" s="142"/>
      <c r="AI28" s="142"/>
      <c r="AJ28" s="142"/>
      <c r="AK28" s="142"/>
      <c r="AL28" s="142"/>
      <c r="AM28" s="142"/>
      <c r="AN28" s="142"/>
      <c r="AO28" s="142"/>
      <c r="AP28" s="142"/>
      <c r="AQ28" s="142"/>
      <c r="AR28" s="142"/>
      <c r="AS28" s="143"/>
    </row>
    <row r="29" spans="1:45" s="141" customFormat="1" ht="12" customHeight="1">
      <c r="A29" s="408"/>
      <c r="B29" s="386" t="s">
        <v>850</v>
      </c>
      <c r="C29" s="387"/>
      <c r="D29" s="387"/>
      <c r="E29" s="387"/>
      <c r="F29" s="387"/>
      <c r="G29" s="387"/>
      <c r="H29" s="387"/>
      <c r="I29" s="387"/>
      <c r="J29" s="387"/>
      <c r="K29" s="388"/>
      <c r="L29" s="386" t="s">
        <v>834</v>
      </c>
      <c r="M29" s="387"/>
      <c r="N29" s="387"/>
      <c r="O29" s="387"/>
      <c r="P29" s="387"/>
      <c r="Q29" s="387"/>
      <c r="R29" s="387"/>
      <c r="S29" s="387"/>
      <c r="T29" s="387"/>
      <c r="U29" s="387"/>
      <c r="V29" s="387"/>
      <c r="W29" s="388"/>
      <c r="X29" s="395" t="s">
        <v>756</v>
      </c>
      <c r="Y29" s="396"/>
      <c r="Z29" s="396"/>
      <c r="AA29" s="396"/>
      <c r="AB29" s="396"/>
      <c r="AC29" s="397"/>
      <c r="AD29" s="144"/>
      <c r="AE29" s="144"/>
      <c r="AF29" s="144"/>
      <c r="AG29" s="144"/>
      <c r="AH29" s="144"/>
      <c r="AI29" s="144"/>
      <c r="AJ29" s="144"/>
      <c r="AK29" s="144"/>
      <c r="AL29" s="144"/>
      <c r="AM29" s="144"/>
      <c r="AN29" s="144"/>
      <c r="AO29" s="144"/>
      <c r="AP29" s="144"/>
      <c r="AQ29" s="144"/>
      <c r="AR29" s="144"/>
      <c r="AS29" s="145"/>
    </row>
    <row r="30" spans="1:45" s="141" customFormat="1" ht="12" customHeight="1">
      <c r="A30" s="408"/>
      <c r="B30" s="380" t="s">
        <v>851</v>
      </c>
      <c r="C30" s="381"/>
      <c r="D30" s="381"/>
      <c r="E30" s="381"/>
      <c r="F30" s="381"/>
      <c r="G30" s="381"/>
      <c r="H30" s="381"/>
      <c r="I30" s="381"/>
      <c r="J30" s="381"/>
      <c r="K30" s="382"/>
      <c r="L30" s="380" t="s">
        <v>852</v>
      </c>
      <c r="M30" s="381"/>
      <c r="N30" s="381"/>
      <c r="O30" s="381"/>
      <c r="P30" s="381"/>
      <c r="Q30" s="381"/>
      <c r="R30" s="381"/>
      <c r="S30" s="381"/>
      <c r="T30" s="381"/>
      <c r="U30" s="381"/>
      <c r="V30" s="381"/>
      <c r="W30" s="382"/>
      <c r="X30" s="380" t="s">
        <v>853</v>
      </c>
      <c r="Y30" s="381"/>
      <c r="Z30" s="381"/>
      <c r="AA30" s="381"/>
      <c r="AB30" s="381"/>
      <c r="AC30" s="382"/>
      <c r="AD30" s="142"/>
      <c r="AE30" s="142"/>
      <c r="AF30" s="142"/>
      <c r="AG30" s="142"/>
      <c r="AH30" s="142"/>
      <c r="AI30" s="142"/>
      <c r="AJ30" s="142"/>
      <c r="AK30" s="142"/>
      <c r="AL30" s="142"/>
      <c r="AM30" s="142"/>
      <c r="AN30" s="142"/>
      <c r="AO30" s="142"/>
      <c r="AP30" s="142"/>
      <c r="AQ30" s="142"/>
      <c r="AR30" s="142"/>
      <c r="AS30" s="143"/>
    </row>
    <row r="31" spans="1:45" s="141" customFormat="1" ht="12" customHeight="1">
      <c r="A31" s="408"/>
      <c r="B31" s="386" t="s">
        <v>854</v>
      </c>
      <c r="C31" s="387"/>
      <c r="D31" s="387"/>
      <c r="E31" s="387"/>
      <c r="F31" s="387"/>
      <c r="G31" s="387"/>
      <c r="H31" s="387"/>
      <c r="I31" s="387"/>
      <c r="J31" s="387"/>
      <c r="K31" s="388"/>
      <c r="L31" s="386" t="s">
        <v>855</v>
      </c>
      <c r="M31" s="387"/>
      <c r="N31" s="387"/>
      <c r="O31" s="387"/>
      <c r="P31" s="387"/>
      <c r="Q31" s="387"/>
      <c r="R31" s="387"/>
      <c r="S31" s="387"/>
      <c r="T31" s="387"/>
      <c r="U31" s="387"/>
      <c r="V31" s="387"/>
      <c r="W31" s="388"/>
      <c r="X31" s="395" t="s">
        <v>856</v>
      </c>
      <c r="Y31" s="396"/>
      <c r="Z31" s="396"/>
      <c r="AA31" s="396"/>
      <c r="AB31" s="396"/>
      <c r="AC31" s="397"/>
      <c r="AD31" s="144"/>
      <c r="AE31" s="144"/>
      <c r="AF31" s="144"/>
      <c r="AG31" s="144"/>
      <c r="AH31" s="144"/>
      <c r="AI31" s="144"/>
      <c r="AJ31" s="144"/>
      <c r="AK31" s="144"/>
      <c r="AL31" s="144"/>
      <c r="AM31" s="144"/>
      <c r="AN31" s="144"/>
      <c r="AO31" s="144"/>
      <c r="AP31" s="144"/>
      <c r="AQ31" s="144"/>
      <c r="AR31" s="144"/>
      <c r="AS31" s="145"/>
    </row>
    <row r="32" spans="1:45" s="141" customFormat="1" ht="12" customHeight="1">
      <c r="A32" s="408"/>
      <c r="B32" s="380" t="s">
        <v>857</v>
      </c>
      <c r="C32" s="381"/>
      <c r="D32" s="381"/>
      <c r="E32" s="381"/>
      <c r="F32" s="381"/>
      <c r="G32" s="381"/>
      <c r="H32" s="381"/>
      <c r="I32" s="381"/>
      <c r="J32" s="381"/>
      <c r="K32" s="382"/>
      <c r="L32" s="380" t="s">
        <v>858</v>
      </c>
      <c r="M32" s="381"/>
      <c r="N32" s="381"/>
      <c r="O32" s="381"/>
      <c r="P32" s="381"/>
      <c r="Q32" s="381"/>
      <c r="R32" s="381"/>
      <c r="S32" s="381"/>
      <c r="T32" s="381"/>
      <c r="U32" s="381"/>
      <c r="V32" s="381"/>
      <c r="W32" s="382"/>
      <c r="X32" s="380" t="s">
        <v>731</v>
      </c>
      <c r="Y32" s="381"/>
      <c r="Z32" s="381"/>
      <c r="AA32" s="381"/>
      <c r="AB32" s="381"/>
      <c r="AC32" s="382"/>
      <c r="AD32" s="142"/>
      <c r="AE32" s="142"/>
      <c r="AF32" s="142"/>
      <c r="AG32" s="142"/>
      <c r="AH32" s="142"/>
      <c r="AI32" s="142"/>
      <c r="AJ32" s="142"/>
      <c r="AK32" s="142"/>
      <c r="AL32" s="142"/>
      <c r="AM32" s="142"/>
      <c r="AN32" s="142"/>
      <c r="AO32" s="142"/>
      <c r="AP32" s="142"/>
      <c r="AQ32" s="142"/>
      <c r="AR32" s="142"/>
      <c r="AS32" s="143"/>
    </row>
    <row r="33" spans="1:45" s="141" customFormat="1" ht="12" customHeight="1" thickBot="1">
      <c r="A33" s="454"/>
      <c r="B33" s="386" t="s">
        <v>859</v>
      </c>
      <c r="C33" s="387"/>
      <c r="D33" s="387"/>
      <c r="E33" s="387"/>
      <c r="F33" s="387"/>
      <c r="G33" s="387"/>
      <c r="H33" s="387"/>
      <c r="I33" s="387"/>
      <c r="J33" s="387"/>
      <c r="K33" s="388"/>
      <c r="L33" s="386" t="s">
        <v>860</v>
      </c>
      <c r="M33" s="387"/>
      <c r="N33" s="387"/>
      <c r="O33" s="387"/>
      <c r="P33" s="387"/>
      <c r="Q33" s="387"/>
      <c r="R33" s="387"/>
      <c r="S33" s="387"/>
      <c r="T33" s="387"/>
      <c r="U33" s="387"/>
      <c r="V33" s="387"/>
      <c r="W33" s="388"/>
      <c r="X33" s="392" t="s">
        <v>734</v>
      </c>
      <c r="Y33" s="393"/>
      <c r="Z33" s="393"/>
      <c r="AA33" s="393"/>
      <c r="AB33" s="393"/>
      <c r="AC33" s="394"/>
      <c r="AD33" s="146"/>
      <c r="AE33" s="146"/>
      <c r="AF33" s="146"/>
      <c r="AG33" s="146"/>
      <c r="AH33" s="146"/>
      <c r="AI33" s="146"/>
      <c r="AJ33" s="146"/>
      <c r="AK33" s="146"/>
      <c r="AL33" s="146"/>
      <c r="AM33" s="146"/>
      <c r="AN33" s="146"/>
      <c r="AO33" s="146"/>
      <c r="AP33" s="146"/>
      <c r="AQ33" s="146"/>
      <c r="AR33" s="146"/>
      <c r="AS33" s="147"/>
    </row>
    <row r="34" spans="1:45" s="151" customFormat="1" ht="12" customHeight="1" thickTop="1">
      <c r="A34" s="368" t="s">
        <v>789</v>
      </c>
      <c r="B34" s="369"/>
      <c r="C34" s="369"/>
      <c r="D34" s="369"/>
      <c r="E34" s="369"/>
      <c r="F34" s="369"/>
      <c r="G34" s="369"/>
      <c r="H34" s="369"/>
      <c r="I34" s="369"/>
      <c r="J34" s="369"/>
      <c r="K34" s="369"/>
      <c r="L34" s="369"/>
      <c r="M34" s="369"/>
      <c r="N34" s="370"/>
      <c r="O34" s="148">
        <v>1</v>
      </c>
      <c r="P34" s="148">
        <v>2</v>
      </c>
      <c r="Q34" s="148">
        <v>3</v>
      </c>
      <c r="R34" s="148">
        <v>4</v>
      </c>
      <c r="S34" s="148">
        <v>5</v>
      </c>
      <c r="T34" s="148">
        <v>6</v>
      </c>
      <c r="U34" s="148">
        <v>7</v>
      </c>
      <c r="V34" s="148">
        <v>8</v>
      </c>
      <c r="W34" s="148">
        <v>9</v>
      </c>
      <c r="X34" s="149">
        <v>10</v>
      </c>
      <c r="Y34" s="149">
        <v>11</v>
      </c>
      <c r="Z34" s="149">
        <v>12</v>
      </c>
      <c r="AA34" s="149">
        <v>13</v>
      </c>
      <c r="AB34" s="149">
        <v>14</v>
      </c>
      <c r="AC34" s="149">
        <v>15</v>
      </c>
      <c r="AD34" s="149">
        <v>16</v>
      </c>
      <c r="AE34" s="149">
        <v>17</v>
      </c>
      <c r="AF34" s="149">
        <v>18</v>
      </c>
      <c r="AG34" s="149">
        <v>19</v>
      </c>
      <c r="AH34" s="149">
        <v>20</v>
      </c>
      <c r="AI34" s="149">
        <v>21</v>
      </c>
      <c r="AJ34" s="149">
        <v>22</v>
      </c>
      <c r="AK34" s="149">
        <v>23</v>
      </c>
      <c r="AL34" s="149">
        <v>24</v>
      </c>
      <c r="AM34" s="149">
        <v>25</v>
      </c>
      <c r="AN34" s="149">
        <v>26</v>
      </c>
      <c r="AO34" s="149">
        <v>27</v>
      </c>
      <c r="AP34" s="149">
        <v>28</v>
      </c>
      <c r="AQ34" s="149">
        <v>29</v>
      </c>
      <c r="AR34" s="149">
        <v>30</v>
      </c>
      <c r="AS34" s="150">
        <v>31</v>
      </c>
    </row>
    <row r="35" spans="1:45" ht="34.5" customHeight="1">
      <c r="A35" s="371" t="s">
        <v>790</v>
      </c>
      <c r="B35" s="372"/>
      <c r="C35" s="372"/>
      <c r="D35" s="372"/>
      <c r="E35" s="372"/>
      <c r="F35" s="372"/>
      <c r="G35" s="372"/>
      <c r="H35" s="372"/>
      <c r="I35" s="372"/>
      <c r="J35" s="372"/>
      <c r="K35" s="372"/>
      <c r="L35" s="372"/>
      <c r="M35" s="372"/>
      <c r="N35" s="372"/>
      <c r="O35" s="152"/>
      <c r="P35" s="152"/>
      <c r="Q35" s="152"/>
      <c r="R35" s="152"/>
      <c r="S35" s="152"/>
      <c r="T35" s="152"/>
      <c r="U35" s="152"/>
      <c r="V35" s="152"/>
      <c r="W35" s="152"/>
      <c r="X35" s="152"/>
      <c r="Y35" s="152"/>
      <c r="Z35" s="152"/>
      <c r="AA35" s="152"/>
      <c r="AB35" s="152"/>
      <c r="AC35" s="152"/>
      <c r="AD35" s="153"/>
      <c r="AE35" s="153"/>
      <c r="AF35" s="153"/>
      <c r="AG35" s="153"/>
      <c r="AH35" s="153"/>
      <c r="AI35" s="153"/>
      <c r="AJ35" s="153"/>
      <c r="AK35" s="153"/>
      <c r="AL35" s="153"/>
      <c r="AM35" s="153"/>
      <c r="AN35" s="153"/>
      <c r="AO35" s="153"/>
      <c r="AP35" s="153"/>
      <c r="AQ35" s="153"/>
      <c r="AR35" s="153"/>
      <c r="AS35" s="154"/>
    </row>
    <row r="36" spans="1:45" ht="34.5" customHeight="1">
      <c r="A36" s="371" t="s">
        <v>791</v>
      </c>
      <c r="B36" s="372"/>
      <c r="C36" s="372"/>
      <c r="D36" s="372"/>
      <c r="E36" s="372"/>
      <c r="F36" s="372"/>
      <c r="G36" s="372"/>
      <c r="H36" s="372"/>
      <c r="I36" s="372"/>
      <c r="J36" s="372"/>
      <c r="K36" s="372"/>
      <c r="L36" s="372"/>
      <c r="M36" s="372"/>
      <c r="N36" s="372"/>
      <c r="O36" s="155"/>
      <c r="P36" s="155"/>
      <c r="Q36" s="155"/>
      <c r="R36" s="155"/>
      <c r="S36" s="155"/>
      <c r="T36" s="155"/>
      <c r="U36" s="155"/>
      <c r="V36" s="155"/>
      <c r="W36" s="155"/>
      <c r="X36" s="155"/>
      <c r="Y36" s="156"/>
      <c r="Z36" s="156"/>
      <c r="AA36" s="156"/>
      <c r="AB36" s="156"/>
      <c r="AC36" s="156"/>
      <c r="AD36" s="153"/>
      <c r="AE36" s="153"/>
      <c r="AF36" s="153"/>
      <c r="AG36" s="153"/>
      <c r="AH36" s="153"/>
      <c r="AI36" s="153"/>
      <c r="AJ36" s="153"/>
      <c r="AK36" s="153"/>
      <c r="AL36" s="153"/>
      <c r="AM36" s="153"/>
      <c r="AN36" s="153"/>
      <c r="AO36" s="153"/>
      <c r="AP36" s="153"/>
      <c r="AQ36" s="153"/>
      <c r="AR36" s="153"/>
      <c r="AS36" s="154"/>
    </row>
    <row r="37" spans="1:45" ht="34.5" customHeight="1">
      <c r="A37" s="371" t="s">
        <v>792</v>
      </c>
      <c r="B37" s="373"/>
      <c r="C37" s="373"/>
      <c r="D37" s="373"/>
      <c r="E37" s="373"/>
      <c r="F37" s="373"/>
      <c r="G37" s="373"/>
      <c r="H37" s="373"/>
      <c r="I37" s="373"/>
      <c r="J37" s="373"/>
      <c r="K37" s="373"/>
      <c r="L37" s="373"/>
      <c r="M37" s="373"/>
      <c r="N37" s="373"/>
      <c r="O37" s="155"/>
      <c r="P37" s="155"/>
      <c r="Q37" s="155"/>
      <c r="R37" s="155"/>
      <c r="S37" s="155"/>
      <c r="T37" s="155"/>
      <c r="U37" s="155"/>
      <c r="V37" s="155"/>
      <c r="W37" s="155"/>
      <c r="X37" s="155"/>
      <c r="Y37" s="156"/>
      <c r="Z37" s="156"/>
      <c r="AA37" s="156"/>
      <c r="AB37" s="156"/>
      <c r="AC37" s="156"/>
      <c r="AD37" s="157"/>
      <c r="AE37" s="157"/>
      <c r="AF37" s="157"/>
      <c r="AG37" s="157"/>
      <c r="AH37" s="157"/>
      <c r="AI37" s="157"/>
      <c r="AJ37" s="157"/>
      <c r="AK37" s="157"/>
      <c r="AL37" s="157"/>
      <c r="AM37" s="157"/>
      <c r="AN37" s="157"/>
      <c r="AO37" s="157"/>
      <c r="AP37" s="157"/>
      <c r="AQ37" s="157"/>
      <c r="AR37" s="157"/>
      <c r="AS37" s="158"/>
    </row>
    <row r="38" spans="1:45" s="141" customFormat="1" ht="16.5" customHeight="1">
      <c r="A38" s="374" t="s">
        <v>793</v>
      </c>
      <c r="B38" s="375"/>
      <c r="C38" s="376" t="s">
        <v>861</v>
      </c>
      <c r="D38" s="376"/>
      <c r="E38" s="376"/>
      <c r="F38" s="376"/>
      <c r="G38" s="376"/>
      <c r="H38" s="376"/>
      <c r="I38" s="376"/>
      <c r="J38" s="376"/>
      <c r="K38" s="376"/>
      <c r="L38" s="376"/>
      <c r="M38" s="376"/>
      <c r="N38" s="376"/>
      <c r="O38" s="376"/>
      <c r="P38" s="376"/>
      <c r="Q38" s="376"/>
      <c r="R38" s="376"/>
      <c r="S38" s="376"/>
      <c r="T38" s="376"/>
      <c r="U38" s="376"/>
      <c r="V38" s="376"/>
      <c r="W38" s="376"/>
      <c r="X38" s="376"/>
      <c r="Y38" s="376"/>
      <c r="Z38" s="376"/>
      <c r="AA38" s="376"/>
      <c r="AB38" s="376"/>
      <c r="AC38" s="376"/>
      <c r="AD38" s="376"/>
      <c r="AE38" s="376"/>
      <c r="AF38" s="376"/>
      <c r="AG38" s="376"/>
      <c r="AH38" s="376"/>
      <c r="AI38" s="376"/>
      <c r="AJ38" s="376"/>
      <c r="AK38" s="376"/>
      <c r="AL38" s="376"/>
      <c r="AM38" s="376"/>
      <c r="AN38" s="376"/>
      <c r="AO38" s="376"/>
      <c r="AP38" s="376"/>
      <c r="AQ38" s="376"/>
      <c r="AR38" s="376"/>
      <c r="AS38" s="377"/>
    </row>
    <row r="39" spans="1:45" s="141" customFormat="1" ht="16.5" customHeight="1">
      <c r="A39" s="362" t="s">
        <v>795</v>
      </c>
      <c r="B39" s="363"/>
      <c r="C39" s="364" t="s">
        <v>862</v>
      </c>
      <c r="D39" s="364"/>
      <c r="E39" s="364"/>
      <c r="F39" s="364"/>
      <c r="G39" s="364"/>
      <c r="H39" s="364"/>
      <c r="I39" s="364"/>
      <c r="J39" s="364"/>
      <c r="K39" s="364"/>
      <c r="L39" s="364"/>
      <c r="M39" s="364"/>
      <c r="N39" s="364"/>
      <c r="O39" s="364"/>
      <c r="P39" s="364"/>
      <c r="Q39" s="364"/>
      <c r="R39" s="364"/>
      <c r="S39" s="364"/>
      <c r="T39" s="364"/>
      <c r="U39" s="364"/>
      <c r="V39" s="364"/>
      <c r="W39" s="364"/>
      <c r="X39" s="364"/>
      <c r="Y39" s="364"/>
      <c r="Z39" s="364"/>
      <c r="AA39" s="364"/>
      <c r="AB39" s="364"/>
      <c r="AC39" s="364"/>
      <c r="AD39" s="364"/>
      <c r="AE39" s="364"/>
      <c r="AF39" s="364"/>
      <c r="AG39" s="364"/>
      <c r="AH39" s="364"/>
      <c r="AI39" s="364"/>
      <c r="AJ39" s="364"/>
      <c r="AK39" s="364"/>
      <c r="AL39" s="364"/>
      <c r="AM39" s="364"/>
      <c r="AN39" s="364"/>
      <c r="AO39" s="364"/>
      <c r="AP39" s="364"/>
      <c r="AQ39" s="364"/>
      <c r="AR39" s="364"/>
      <c r="AS39" s="365"/>
    </row>
    <row r="40" spans="1:45" s="141" customFormat="1" ht="16.5" customHeight="1">
      <c r="A40" s="362" t="s">
        <v>797</v>
      </c>
      <c r="B40" s="363"/>
      <c r="C40" s="366" t="s">
        <v>798</v>
      </c>
      <c r="D40" s="366"/>
      <c r="E40" s="366"/>
      <c r="F40" s="366"/>
      <c r="G40" s="159"/>
      <c r="H40" s="366" t="s">
        <v>799</v>
      </c>
      <c r="I40" s="366"/>
      <c r="J40" s="366"/>
      <c r="K40" s="366"/>
      <c r="L40" s="366"/>
      <c r="M40" s="366"/>
      <c r="N40" s="366"/>
      <c r="O40" s="366"/>
      <c r="P40" s="366"/>
      <c r="Q40" s="366"/>
      <c r="R40" s="366"/>
      <c r="S40" s="159"/>
      <c r="T40" s="366" t="s">
        <v>800</v>
      </c>
      <c r="U40" s="366"/>
      <c r="V40" s="366"/>
      <c r="W40" s="366"/>
      <c r="X40" s="366"/>
      <c r="Y40" s="366"/>
      <c r="Z40" s="366"/>
      <c r="AA40" s="366"/>
      <c r="AB40" s="366"/>
      <c r="AC40" s="366"/>
      <c r="AD40" s="366"/>
      <c r="AE40" s="366" t="s">
        <v>801</v>
      </c>
      <c r="AF40" s="366"/>
      <c r="AG40" s="366"/>
      <c r="AH40" s="366"/>
      <c r="AI40" s="366"/>
      <c r="AJ40" s="366"/>
      <c r="AK40" s="366"/>
      <c r="AL40" s="366"/>
      <c r="AM40" s="366"/>
      <c r="AN40" s="366" t="s">
        <v>802</v>
      </c>
      <c r="AO40" s="366"/>
      <c r="AP40" s="366"/>
      <c r="AQ40" s="366"/>
      <c r="AR40" s="366"/>
      <c r="AS40" s="367"/>
    </row>
    <row r="41" spans="1:45" s="141" customFormat="1" ht="16.5" customHeight="1" thickBot="1">
      <c r="A41" s="358" t="s">
        <v>803</v>
      </c>
      <c r="B41" s="359"/>
      <c r="C41" s="360" t="s">
        <v>804</v>
      </c>
      <c r="D41" s="360"/>
      <c r="E41" s="360"/>
      <c r="F41" s="360"/>
      <c r="G41" s="160"/>
      <c r="H41" s="360" t="s">
        <v>805</v>
      </c>
      <c r="I41" s="360"/>
      <c r="J41" s="360"/>
      <c r="K41" s="360"/>
      <c r="L41" s="360"/>
      <c r="M41" s="360"/>
      <c r="N41" s="360"/>
      <c r="O41" s="360"/>
      <c r="P41" s="360"/>
      <c r="Q41" s="360"/>
      <c r="R41" s="360"/>
      <c r="S41" s="160"/>
      <c r="T41" s="360" t="s">
        <v>806</v>
      </c>
      <c r="U41" s="360"/>
      <c r="V41" s="360"/>
      <c r="W41" s="360"/>
      <c r="X41" s="360"/>
      <c r="Y41" s="360"/>
      <c r="Z41" s="360"/>
      <c r="AA41" s="360"/>
      <c r="AB41" s="360"/>
      <c r="AC41" s="360"/>
      <c r="AD41" s="360"/>
      <c r="AE41" s="360" t="s">
        <v>807</v>
      </c>
      <c r="AF41" s="360"/>
      <c r="AG41" s="360"/>
      <c r="AH41" s="360"/>
      <c r="AI41" s="360"/>
      <c r="AJ41" s="360"/>
      <c r="AK41" s="360"/>
      <c r="AL41" s="360"/>
      <c r="AM41" s="360"/>
      <c r="AN41" s="360" t="s">
        <v>808</v>
      </c>
      <c r="AO41" s="360"/>
      <c r="AP41" s="360"/>
      <c r="AQ41" s="360"/>
      <c r="AR41" s="360"/>
      <c r="AS41" s="361"/>
    </row>
  </sheetData>
  <mergeCells count="127">
    <mergeCell ref="A1:A3"/>
    <mergeCell ref="B1:K3"/>
    <mergeCell ref="L1:W3"/>
    <mergeCell ref="X1:AC3"/>
    <mergeCell ref="AD1:AS1"/>
    <mergeCell ref="A4:A5"/>
    <mergeCell ref="B4:K4"/>
    <mergeCell ref="L4:W4"/>
    <mergeCell ref="X4:AC4"/>
    <mergeCell ref="B5:K5"/>
    <mergeCell ref="A8:A9"/>
    <mergeCell ref="B8:K8"/>
    <mergeCell ref="L8:W8"/>
    <mergeCell ref="X8:AC8"/>
    <mergeCell ref="B9:K9"/>
    <mergeCell ref="L9:W9"/>
    <mergeCell ref="X9:AC9"/>
    <mergeCell ref="L5:W5"/>
    <mergeCell ref="X5:AC5"/>
    <mergeCell ref="A6:A7"/>
    <mergeCell ref="B6:K6"/>
    <mergeCell ref="L6:W6"/>
    <mergeCell ref="X6:AC6"/>
    <mergeCell ref="B7:K7"/>
    <mergeCell ref="L7:W7"/>
    <mergeCell ref="X7:AC7"/>
    <mergeCell ref="A12:A13"/>
    <mergeCell ref="B12:K12"/>
    <mergeCell ref="L12:W12"/>
    <mergeCell ref="X12:AC12"/>
    <mergeCell ref="B13:K13"/>
    <mergeCell ref="L13:W13"/>
    <mergeCell ref="X13:AC13"/>
    <mergeCell ref="A10:A11"/>
    <mergeCell ref="B10:K10"/>
    <mergeCell ref="L10:W10"/>
    <mergeCell ref="X10:AC10"/>
    <mergeCell ref="B11:K11"/>
    <mergeCell ref="L11:W11"/>
    <mergeCell ref="X11:AC11"/>
    <mergeCell ref="A16:A17"/>
    <mergeCell ref="B16:K16"/>
    <mergeCell ref="L16:W16"/>
    <mergeCell ref="X16:AC16"/>
    <mergeCell ref="B17:K17"/>
    <mergeCell ref="L17:W17"/>
    <mergeCell ref="X17:AC17"/>
    <mergeCell ref="A14:A15"/>
    <mergeCell ref="B14:K14"/>
    <mergeCell ref="L14:W14"/>
    <mergeCell ref="X14:AC14"/>
    <mergeCell ref="B15:K15"/>
    <mergeCell ref="L15:W15"/>
    <mergeCell ref="X15:AC15"/>
    <mergeCell ref="A20:A21"/>
    <mergeCell ref="B20:K20"/>
    <mergeCell ref="L20:W20"/>
    <mergeCell ref="X20:AC20"/>
    <mergeCell ref="B21:K21"/>
    <mergeCell ref="L21:W21"/>
    <mergeCell ref="X21:AC21"/>
    <mergeCell ref="A18:A19"/>
    <mergeCell ref="B18:K18"/>
    <mergeCell ref="L18:W18"/>
    <mergeCell ref="X18:AC18"/>
    <mergeCell ref="B19:K19"/>
    <mergeCell ref="L19:W19"/>
    <mergeCell ref="X19:AC19"/>
    <mergeCell ref="A24:A25"/>
    <mergeCell ref="B24:K24"/>
    <mergeCell ref="L24:W24"/>
    <mergeCell ref="X24:AC24"/>
    <mergeCell ref="B25:K25"/>
    <mergeCell ref="L25:W25"/>
    <mergeCell ref="X25:AC25"/>
    <mergeCell ref="A22:A23"/>
    <mergeCell ref="B22:K22"/>
    <mergeCell ref="L22:W22"/>
    <mergeCell ref="X22:AC22"/>
    <mergeCell ref="B23:K23"/>
    <mergeCell ref="L23:W23"/>
    <mergeCell ref="X23:AC23"/>
    <mergeCell ref="B29:K29"/>
    <mergeCell ref="L29:W29"/>
    <mergeCell ref="X29:AC29"/>
    <mergeCell ref="B30:K30"/>
    <mergeCell ref="L30:W30"/>
    <mergeCell ref="X30:AC30"/>
    <mergeCell ref="A26:A33"/>
    <mergeCell ref="B26:K26"/>
    <mergeCell ref="L26:W26"/>
    <mergeCell ref="X26:AC26"/>
    <mergeCell ref="B27:K27"/>
    <mergeCell ref="L27:W27"/>
    <mergeCell ref="X27:AC27"/>
    <mergeCell ref="B28:K28"/>
    <mergeCell ref="L28:W28"/>
    <mergeCell ref="X28:AC28"/>
    <mergeCell ref="B33:K33"/>
    <mergeCell ref="L33:W33"/>
    <mergeCell ref="X33:AC33"/>
    <mergeCell ref="A34:N34"/>
    <mergeCell ref="A35:N35"/>
    <mergeCell ref="A36:N36"/>
    <mergeCell ref="B31:K31"/>
    <mergeCell ref="L31:W31"/>
    <mergeCell ref="X31:AC31"/>
    <mergeCell ref="B32:K32"/>
    <mergeCell ref="L32:W32"/>
    <mergeCell ref="X32:AC32"/>
    <mergeCell ref="AN40:AS40"/>
    <mergeCell ref="A41:B41"/>
    <mergeCell ref="C41:F41"/>
    <mergeCell ref="H41:R41"/>
    <mergeCell ref="T41:AD41"/>
    <mergeCell ref="AE41:AM41"/>
    <mergeCell ref="AN41:AS41"/>
    <mergeCell ref="A37:N37"/>
    <mergeCell ref="A38:B38"/>
    <mergeCell ref="C38:AS38"/>
    <mergeCell ref="A39:B39"/>
    <mergeCell ref="C39:AS39"/>
    <mergeCell ref="A40:B40"/>
    <mergeCell ref="C40:F40"/>
    <mergeCell ref="H40:R40"/>
    <mergeCell ref="T40:AD40"/>
    <mergeCell ref="AE40:AM40"/>
  </mergeCells>
  <printOptions horizontalCentered="1" verticalCentered="1"/>
  <pageMargins left="0" right="0" top="0" bottom="0.51181102362204722" header="0" footer="0"/>
  <pageSetup paperSize="9" scale="90" orientation="landscape" r:id="rId1"/>
  <headerFooter scaleWithDoc="0" alignWithMargins="0">
    <oddFooter>&amp;L&amp;"Arial,Regular"&amp;10Retention Period: 2 Years.
5015_20190227_2&amp;C&amp;"Arial,Regular"&amp;10MAXXIS RUBBER INDIA PVT. LTD.&amp;R&amp;"Arial,Regular"&amp;10A4 / A3 NO.5015</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00B050"/>
  </sheetPr>
  <dimension ref="A1:AW32"/>
  <sheetViews>
    <sheetView view="pageBreakPreview" zoomScaleNormal="100" zoomScaleSheetLayoutView="100" workbookViewId="0">
      <selection activeCell="Q21" sqref="Q21:AC21"/>
    </sheetView>
  </sheetViews>
  <sheetFormatPr defaultColWidth="9.109375" defaultRowHeight="15.6"/>
  <cols>
    <col min="1" max="45" width="3.5546875" style="140" customWidth="1"/>
    <col min="46" max="16384" width="9.109375" style="140"/>
  </cols>
  <sheetData>
    <row r="1" spans="1:49" ht="26.4" thickBot="1">
      <c r="A1" s="548" t="s">
        <v>863</v>
      </c>
      <c r="B1" s="548"/>
      <c r="C1" s="548"/>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548"/>
      <c r="AK1" s="548"/>
      <c r="AL1" s="548"/>
      <c r="AM1" s="548"/>
      <c r="AN1" s="548"/>
      <c r="AO1" s="548"/>
      <c r="AP1" s="548"/>
      <c r="AQ1" s="548"/>
      <c r="AR1" s="548"/>
      <c r="AS1" s="548"/>
      <c r="AU1" s="161"/>
      <c r="AV1" s="162"/>
      <c r="AW1" s="161"/>
    </row>
    <row r="2" spans="1:49" s="141" customFormat="1" ht="26.25" customHeight="1">
      <c r="A2" s="549" t="s">
        <v>864</v>
      </c>
      <c r="B2" s="550"/>
      <c r="C2" s="550"/>
      <c r="D2" s="550"/>
      <c r="E2" s="550"/>
      <c r="F2" s="551" t="s">
        <v>865</v>
      </c>
      <c r="G2" s="552"/>
      <c r="H2" s="552"/>
      <c r="I2" s="552"/>
      <c r="J2" s="552"/>
      <c r="K2" s="552"/>
      <c r="L2" s="552"/>
      <c r="M2" s="552"/>
      <c r="N2" s="552"/>
      <c r="O2" s="552"/>
      <c r="P2" s="552"/>
      <c r="Q2" s="552"/>
      <c r="R2" s="552"/>
      <c r="S2" s="553"/>
      <c r="T2" s="554" t="s">
        <v>866</v>
      </c>
      <c r="U2" s="555"/>
      <c r="V2" s="555"/>
      <c r="W2" s="555"/>
      <c r="X2" s="555"/>
      <c r="Y2" s="556"/>
      <c r="Z2" s="557"/>
      <c r="AA2" s="557"/>
      <c r="AB2" s="163" t="s">
        <v>867</v>
      </c>
      <c r="AC2" s="558"/>
      <c r="AD2" s="559"/>
      <c r="AE2" s="560" t="s">
        <v>868</v>
      </c>
      <c r="AF2" s="561"/>
      <c r="AG2" s="562"/>
      <c r="AH2" s="462"/>
      <c r="AI2" s="462"/>
      <c r="AJ2" s="462"/>
      <c r="AK2" s="566"/>
      <c r="AL2" s="566"/>
      <c r="AM2" s="566"/>
      <c r="AN2" s="434" t="s">
        <v>869</v>
      </c>
      <c r="AO2" s="434"/>
      <c r="AP2" s="434"/>
      <c r="AQ2" s="435"/>
      <c r="AR2" s="435"/>
      <c r="AS2" s="569"/>
      <c r="AU2" s="161"/>
      <c r="AV2" s="162"/>
      <c r="AW2" s="161"/>
    </row>
    <row r="3" spans="1:49" s="141" customFormat="1" ht="26.25" customHeight="1" thickBot="1">
      <c r="A3" s="572" t="s">
        <v>870</v>
      </c>
      <c r="B3" s="573"/>
      <c r="C3" s="573"/>
      <c r="D3" s="573"/>
      <c r="E3" s="573"/>
      <c r="F3" s="574" t="s">
        <v>871</v>
      </c>
      <c r="G3" s="575"/>
      <c r="H3" s="575"/>
      <c r="I3" s="575"/>
      <c r="J3" s="575"/>
      <c r="K3" s="575"/>
      <c r="L3" s="575"/>
      <c r="M3" s="575"/>
      <c r="N3" s="575"/>
      <c r="O3" s="575"/>
      <c r="P3" s="575"/>
      <c r="Q3" s="575"/>
      <c r="R3" s="575"/>
      <c r="S3" s="576"/>
      <c r="T3" s="577" t="s">
        <v>872</v>
      </c>
      <c r="U3" s="578"/>
      <c r="V3" s="578"/>
      <c r="W3" s="578"/>
      <c r="X3" s="578"/>
      <c r="Y3" s="579"/>
      <c r="Z3" s="580"/>
      <c r="AA3" s="580"/>
      <c r="AB3" s="580"/>
      <c r="AC3" s="580"/>
      <c r="AD3" s="580"/>
      <c r="AE3" s="563"/>
      <c r="AF3" s="563"/>
      <c r="AG3" s="564"/>
      <c r="AH3" s="565"/>
      <c r="AI3" s="565"/>
      <c r="AJ3" s="565"/>
      <c r="AK3" s="567"/>
      <c r="AL3" s="567"/>
      <c r="AM3" s="567"/>
      <c r="AN3" s="568"/>
      <c r="AO3" s="568"/>
      <c r="AP3" s="568"/>
      <c r="AQ3" s="570"/>
      <c r="AR3" s="570"/>
      <c r="AS3" s="571"/>
      <c r="AU3" s="161"/>
      <c r="AV3" s="162"/>
      <c r="AW3" s="161"/>
    </row>
    <row r="4" spans="1:49" s="141" customFormat="1" ht="16.5" customHeight="1">
      <c r="A4" s="537" t="s">
        <v>873</v>
      </c>
      <c r="B4" s="538"/>
      <c r="C4" s="538"/>
      <c r="D4" s="538"/>
      <c r="E4" s="539"/>
      <c r="F4" s="543" t="s">
        <v>874</v>
      </c>
      <c r="G4" s="538"/>
      <c r="H4" s="538"/>
      <c r="I4" s="538"/>
      <c r="J4" s="538"/>
      <c r="K4" s="539"/>
      <c r="L4" s="462" t="s">
        <v>875</v>
      </c>
      <c r="M4" s="462"/>
      <c r="N4" s="462"/>
      <c r="O4" s="462"/>
      <c r="P4" s="462"/>
      <c r="Q4" s="463" t="s">
        <v>876</v>
      </c>
      <c r="R4" s="463"/>
      <c r="S4" s="463"/>
      <c r="T4" s="463"/>
      <c r="U4" s="463"/>
      <c r="V4" s="463"/>
      <c r="W4" s="463"/>
      <c r="X4" s="463"/>
      <c r="Y4" s="463"/>
      <c r="Z4" s="463"/>
      <c r="AA4" s="463"/>
      <c r="AB4" s="463"/>
      <c r="AC4" s="463"/>
      <c r="AD4" s="464" t="s">
        <v>810</v>
      </c>
      <c r="AE4" s="464"/>
      <c r="AF4" s="464"/>
      <c r="AG4" s="464"/>
      <c r="AH4" s="464"/>
      <c r="AI4" s="464"/>
      <c r="AJ4" s="464"/>
      <c r="AK4" s="464"/>
      <c r="AL4" s="464"/>
      <c r="AM4" s="464"/>
      <c r="AN4" s="464"/>
      <c r="AO4" s="464"/>
      <c r="AP4" s="464"/>
      <c r="AQ4" s="464"/>
      <c r="AR4" s="464"/>
      <c r="AS4" s="465"/>
      <c r="AU4" s="161"/>
      <c r="AV4" s="162"/>
      <c r="AW4" s="161"/>
    </row>
    <row r="5" spans="1:49" s="141" customFormat="1" ht="14.4">
      <c r="A5" s="540"/>
      <c r="B5" s="541"/>
      <c r="C5" s="541"/>
      <c r="D5" s="541"/>
      <c r="E5" s="542"/>
      <c r="F5" s="544"/>
      <c r="G5" s="545"/>
      <c r="H5" s="545"/>
      <c r="I5" s="545"/>
      <c r="J5" s="545"/>
      <c r="K5" s="546"/>
      <c r="L5" s="372"/>
      <c r="M5" s="372"/>
      <c r="N5" s="372"/>
      <c r="O5" s="372"/>
      <c r="P5" s="372"/>
      <c r="Q5" s="373"/>
      <c r="R5" s="373"/>
      <c r="S5" s="373"/>
      <c r="T5" s="373"/>
      <c r="U5" s="373"/>
      <c r="V5" s="373"/>
      <c r="W5" s="373"/>
      <c r="X5" s="373"/>
      <c r="Y5" s="373"/>
      <c r="Z5" s="373"/>
      <c r="AA5" s="373"/>
      <c r="AB5" s="373"/>
      <c r="AC5" s="373"/>
      <c r="AD5" s="142">
        <v>1</v>
      </c>
      <c r="AE5" s="142">
        <v>2</v>
      </c>
      <c r="AF5" s="142">
        <v>3</v>
      </c>
      <c r="AG5" s="142">
        <v>4</v>
      </c>
      <c r="AH5" s="142">
        <v>5</v>
      </c>
      <c r="AI5" s="142">
        <v>6</v>
      </c>
      <c r="AJ5" s="142">
        <v>7</v>
      </c>
      <c r="AK5" s="142">
        <v>8</v>
      </c>
      <c r="AL5" s="142">
        <v>9</v>
      </c>
      <c r="AM5" s="142">
        <v>10</v>
      </c>
      <c r="AN5" s="142">
        <v>11</v>
      </c>
      <c r="AO5" s="142">
        <v>12</v>
      </c>
      <c r="AP5" s="142">
        <v>13</v>
      </c>
      <c r="AQ5" s="142">
        <v>14</v>
      </c>
      <c r="AR5" s="142">
        <v>15</v>
      </c>
      <c r="AS5" s="143">
        <v>16</v>
      </c>
      <c r="AU5" s="161"/>
      <c r="AV5" s="162"/>
      <c r="AW5" s="161"/>
    </row>
    <row r="6" spans="1:49" s="141" customFormat="1" ht="14.4">
      <c r="A6" s="164" t="s">
        <v>877</v>
      </c>
      <c r="B6" s="165" t="s">
        <v>878</v>
      </c>
      <c r="C6" s="165" t="s">
        <v>879</v>
      </c>
      <c r="D6" s="165" t="s">
        <v>880</v>
      </c>
      <c r="E6" s="165" t="s">
        <v>881</v>
      </c>
      <c r="F6" s="547"/>
      <c r="G6" s="541"/>
      <c r="H6" s="541"/>
      <c r="I6" s="541"/>
      <c r="J6" s="541"/>
      <c r="K6" s="542"/>
      <c r="L6" s="372"/>
      <c r="M6" s="372"/>
      <c r="N6" s="372"/>
      <c r="O6" s="372"/>
      <c r="P6" s="372"/>
      <c r="Q6" s="373"/>
      <c r="R6" s="373"/>
      <c r="S6" s="373"/>
      <c r="T6" s="373"/>
      <c r="U6" s="373"/>
      <c r="V6" s="373"/>
      <c r="W6" s="373"/>
      <c r="X6" s="373"/>
      <c r="Y6" s="373"/>
      <c r="Z6" s="373"/>
      <c r="AA6" s="373"/>
      <c r="AB6" s="373"/>
      <c r="AC6" s="373"/>
      <c r="AD6" s="144">
        <v>17</v>
      </c>
      <c r="AE6" s="144">
        <v>18</v>
      </c>
      <c r="AF6" s="144">
        <v>19</v>
      </c>
      <c r="AG6" s="144">
        <v>20</v>
      </c>
      <c r="AH6" s="144">
        <v>21</v>
      </c>
      <c r="AI6" s="144">
        <v>22</v>
      </c>
      <c r="AJ6" s="144">
        <v>23</v>
      </c>
      <c r="AK6" s="144">
        <v>24</v>
      </c>
      <c r="AL6" s="144">
        <v>25</v>
      </c>
      <c r="AM6" s="144">
        <v>26</v>
      </c>
      <c r="AN6" s="144">
        <v>27</v>
      </c>
      <c r="AO6" s="144">
        <v>28</v>
      </c>
      <c r="AP6" s="144">
        <v>29</v>
      </c>
      <c r="AQ6" s="144">
        <v>30</v>
      </c>
      <c r="AR6" s="144">
        <v>31</v>
      </c>
      <c r="AS6" s="145"/>
      <c r="AU6" s="161"/>
      <c r="AV6" s="162"/>
      <c r="AW6" s="161"/>
    </row>
    <row r="7" spans="1:49" s="141" customFormat="1" ht="14.1" customHeight="1">
      <c r="A7" s="536" t="s">
        <v>882</v>
      </c>
      <c r="B7" s="466"/>
      <c r="C7" s="466"/>
      <c r="D7" s="466"/>
      <c r="E7" s="466"/>
      <c r="F7" s="527" t="s">
        <v>883</v>
      </c>
      <c r="G7" s="528"/>
      <c r="H7" s="528"/>
      <c r="I7" s="528"/>
      <c r="J7" s="528"/>
      <c r="K7" s="529"/>
      <c r="L7" s="482" t="s">
        <v>884</v>
      </c>
      <c r="M7" s="483"/>
      <c r="N7" s="483"/>
      <c r="O7" s="483"/>
      <c r="P7" s="484"/>
      <c r="Q7" s="482" t="s">
        <v>885</v>
      </c>
      <c r="R7" s="483"/>
      <c r="S7" s="483"/>
      <c r="T7" s="483"/>
      <c r="U7" s="483"/>
      <c r="V7" s="483"/>
      <c r="W7" s="483"/>
      <c r="X7" s="483"/>
      <c r="Y7" s="483"/>
      <c r="Z7" s="483"/>
      <c r="AA7" s="483"/>
      <c r="AB7" s="483"/>
      <c r="AC7" s="484"/>
      <c r="AD7" s="142"/>
      <c r="AE7" s="142"/>
      <c r="AF7" s="142"/>
      <c r="AG7" s="142"/>
      <c r="AH7" s="142"/>
      <c r="AI7" s="142"/>
      <c r="AJ7" s="142"/>
      <c r="AK7" s="142"/>
      <c r="AL7" s="142"/>
      <c r="AM7" s="142"/>
      <c r="AN7" s="142"/>
      <c r="AO7" s="142"/>
      <c r="AP7" s="142"/>
      <c r="AQ7" s="142"/>
      <c r="AR7" s="142"/>
      <c r="AS7" s="143"/>
      <c r="AU7" s="161"/>
      <c r="AV7" s="162"/>
      <c r="AW7" s="161"/>
    </row>
    <row r="8" spans="1:49" s="141" customFormat="1" ht="14.1" customHeight="1">
      <c r="A8" s="536"/>
      <c r="B8" s="498"/>
      <c r="C8" s="498"/>
      <c r="D8" s="498"/>
      <c r="E8" s="498"/>
      <c r="F8" s="521" t="s">
        <v>886</v>
      </c>
      <c r="G8" s="522"/>
      <c r="H8" s="522"/>
      <c r="I8" s="522"/>
      <c r="J8" s="522"/>
      <c r="K8" s="523"/>
      <c r="L8" s="509" t="s">
        <v>887</v>
      </c>
      <c r="M8" s="510"/>
      <c r="N8" s="510"/>
      <c r="O8" s="510"/>
      <c r="P8" s="511"/>
      <c r="Q8" s="509" t="s">
        <v>888</v>
      </c>
      <c r="R8" s="510"/>
      <c r="S8" s="510"/>
      <c r="T8" s="510"/>
      <c r="U8" s="510"/>
      <c r="V8" s="510"/>
      <c r="W8" s="510"/>
      <c r="X8" s="510"/>
      <c r="Y8" s="510"/>
      <c r="Z8" s="510"/>
      <c r="AA8" s="510"/>
      <c r="AB8" s="510"/>
      <c r="AC8" s="511"/>
      <c r="AD8" s="144"/>
      <c r="AE8" s="144"/>
      <c r="AF8" s="144"/>
      <c r="AG8" s="144"/>
      <c r="AH8" s="144"/>
      <c r="AI8" s="144"/>
      <c r="AJ8" s="144"/>
      <c r="AK8" s="144"/>
      <c r="AL8" s="144"/>
      <c r="AM8" s="144"/>
      <c r="AN8" s="144"/>
      <c r="AO8" s="144"/>
      <c r="AP8" s="144"/>
      <c r="AQ8" s="144"/>
      <c r="AR8" s="144"/>
      <c r="AS8" s="145"/>
      <c r="AU8" s="161"/>
      <c r="AV8" s="162"/>
      <c r="AW8" s="161"/>
    </row>
    <row r="9" spans="1:49" s="141" customFormat="1" ht="14.1" customHeight="1">
      <c r="A9" s="536" t="s">
        <v>882</v>
      </c>
      <c r="B9" s="466"/>
      <c r="C9" s="466"/>
      <c r="D9" s="466"/>
      <c r="E9" s="466"/>
      <c r="F9" s="527" t="s">
        <v>889</v>
      </c>
      <c r="G9" s="528"/>
      <c r="H9" s="528"/>
      <c r="I9" s="528"/>
      <c r="J9" s="528"/>
      <c r="K9" s="529"/>
      <c r="L9" s="482" t="s">
        <v>890</v>
      </c>
      <c r="M9" s="483"/>
      <c r="N9" s="483"/>
      <c r="O9" s="483"/>
      <c r="P9" s="484"/>
      <c r="Q9" s="482" t="s">
        <v>891</v>
      </c>
      <c r="R9" s="483"/>
      <c r="S9" s="483"/>
      <c r="T9" s="483"/>
      <c r="U9" s="483"/>
      <c r="V9" s="483"/>
      <c r="W9" s="483"/>
      <c r="X9" s="483"/>
      <c r="Y9" s="483"/>
      <c r="Z9" s="483"/>
      <c r="AA9" s="483"/>
      <c r="AB9" s="483"/>
      <c r="AC9" s="484"/>
      <c r="AD9" s="142"/>
      <c r="AE9" s="142"/>
      <c r="AF9" s="142"/>
      <c r="AG9" s="142"/>
      <c r="AH9" s="142"/>
      <c r="AI9" s="142"/>
      <c r="AJ9" s="142"/>
      <c r="AK9" s="142"/>
      <c r="AL9" s="142"/>
      <c r="AM9" s="142"/>
      <c r="AN9" s="142"/>
      <c r="AO9" s="142"/>
      <c r="AP9" s="142"/>
      <c r="AQ9" s="142"/>
      <c r="AR9" s="142"/>
      <c r="AS9" s="143"/>
      <c r="AU9" s="161"/>
      <c r="AV9" s="162"/>
      <c r="AW9" s="161"/>
    </row>
    <row r="10" spans="1:49" s="141" customFormat="1" ht="14.1" customHeight="1">
      <c r="A10" s="536"/>
      <c r="B10" s="498"/>
      <c r="C10" s="498"/>
      <c r="D10" s="498"/>
      <c r="E10" s="498"/>
      <c r="F10" s="524" t="s">
        <v>892</v>
      </c>
      <c r="G10" s="525"/>
      <c r="H10" s="525"/>
      <c r="I10" s="525"/>
      <c r="J10" s="525"/>
      <c r="K10" s="526"/>
      <c r="L10" s="509" t="s">
        <v>893</v>
      </c>
      <c r="M10" s="510"/>
      <c r="N10" s="510"/>
      <c r="O10" s="510"/>
      <c r="P10" s="511"/>
      <c r="Q10" s="509" t="s">
        <v>894</v>
      </c>
      <c r="R10" s="510"/>
      <c r="S10" s="510"/>
      <c r="T10" s="510"/>
      <c r="U10" s="510"/>
      <c r="V10" s="510"/>
      <c r="W10" s="510"/>
      <c r="X10" s="510"/>
      <c r="Y10" s="510"/>
      <c r="Z10" s="510"/>
      <c r="AA10" s="510"/>
      <c r="AB10" s="510"/>
      <c r="AC10" s="511"/>
      <c r="AD10" s="144"/>
      <c r="AE10" s="144"/>
      <c r="AF10" s="144"/>
      <c r="AG10" s="144"/>
      <c r="AH10" s="144"/>
      <c r="AI10" s="144"/>
      <c r="AJ10" s="144"/>
      <c r="AK10" s="144"/>
      <c r="AL10" s="144"/>
      <c r="AM10" s="144"/>
      <c r="AN10" s="144"/>
      <c r="AO10" s="144"/>
      <c r="AP10" s="144"/>
      <c r="AQ10" s="144"/>
      <c r="AR10" s="144"/>
      <c r="AS10" s="145"/>
      <c r="AU10" s="161"/>
      <c r="AV10" s="161"/>
      <c r="AW10" s="161"/>
    </row>
    <row r="11" spans="1:49" s="141" customFormat="1" ht="14.1" customHeight="1">
      <c r="A11" s="536" t="s">
        <v>882</v>
      </c>
      <c r="B11" s="466"/>
      <c r="C11" s="466"/>
      <c r="D11" s="466"/>
      <c r="E11" s="466"/>
      <c r="F11" s="527" t="s">
        <v>895</v>
      </c>
      <c r="G11" s="528"/>
      <c r="H11" s="528"/>
      <c r="I11" s="528"/>
      <c r="J11" s="528"/>
      <c r="K11" s="529"/>
      <c r="L11" s="530" t="s">
        <v>896</v>
      </c>
      <c r="M11" s="531"/>
      <c r="N11" s="531"/>
      <c r="O11" s="531"/>
      <c r="P11" s="532"/>
      <c r="Q11" s="482" t="s">
        <v>897</v>
      </c>
      <c r="R11" s="483"/>
      <c r="S11" s="483"/>
      <c r="T11" s="483"/>
      <c r="U11" s="483"/>
      <c r="V11" s="483"/>
      <c r="W11" s="483"/>
      <c r="X11" s="483"/>
      <c r="Y11" s="483"/>
      <c r="Z11" s="483"/>
      <c r="AA11" s="483"/>
      <c r="AB11" s="483"/>
      <c r="AC11" s="484"/>
      <c r="AD11" s="142"/>
      <c r="AE11" s="142"/>
      <c r="AF11" s="142"/>
      <c r="AG11" s="142"/>
      <c r="AH11" s="142"/>
      <c r="AI11" s="142"/>
      <c r="AJ11" s="142"/>
      <c r="AK11" s="142"/>
      <c r="AL11" s="142"/>
      <c r="AM11" s="142"/>
      <c r="AN11" s="142"/>
      <c r="AO11" s="142"/>
      <c r="AP11" s="142"/>
      <c r="AQ11" s="142"/>
      <c r="AR11" s="142"/>
      <c r="AS11" s="143"/>
      <c r="AU11" s="161"/>
      <c r="AV11" s="161"/>
      <c r="AW11" s="161"/>
    </row>
    <row r="12" spans="1:49" s="141" customFormat="1" ht="14.1" customHeight="1">
      <c r="A12" s="536"/>
      <c r="B12" s="498"/>
      <c r="C12" s="498"/>
      <c r="D12" s="498"/>
      <c r="E12" s="498"/>
      <c r="F12" s="524" t="s">
        <v>898</v>
      </c>
      <c r="G12" s="525"/>
      <c r="H12" s="525"/>
      <c r="I12" s="525"/>
      <c r="J12" s="525"/>
      <c r="K12" s="526"/>
      <c r="L12" s="533" t="s">
        <v>899</v>
      </c>
      <c r="M12" s="534"/>
      <c r="N12" s="534"/>
      <c r="O12" s="534"/>
      <c r="P12" s="535"/>
      <c r="Q12" s="509" t="s">
        <v>900</v>
      </c>
      <c r="R12" s="510"/>
      <c r="S12" s="510"/>
      <c r="T12" s="510"/>
      <c r="U12" s="510"/>
      <c r="V12" s="510"/>
      <c r="W12" s="510"/>
      <c r="X12" s="510"/>
      <c r="Y12" s="510"/>
      <c r="Z12" s="510"/>
      <c r="AA12" s="510"/>
      <c r="AB12" s="510"/>
      <c r="AC12" s="511"/>
      <c r="AD12" s="144"/>
      <c r="AE12" s="144"/>
      <c r="AF12" s="144"/>
      <c r="AG12" s="144"/>
      <c r="AH12" s="144"/>
      <c r="AI12" s="144"/>
      <c r="AJ12" s="144"/>
      <c r="AK12" s="144"/>
      <c r="AL12" s="144"/>
      <c r="AM12" s="144"/>
      <c r="AN12" s="144"/>
      <c r="AO12" s="144"/>
      <c r="AP12" s="144"/>
      <c r="AQ12" s="144"/>
      <c r="AR12" s="144"/>
      <c r="AS12" s="145"/>
      <c r="AU12" s="161"/>
      <c r="AV12" s="161"/>
      <c r="AW12" s="161"/>
    </row>
    <row r="13" spans="1:49" s="141" customFormat="1" ht="14.1" customHeight="1">
      <c r="A13" s="378"/>
      <c r="B13" s="468" t="s">
        <v>882</v>
      </c>
      <c r="C13" s="466"/>
      <c r="D13" s="466"/>
      <c r="E13" s="466"/>
      <c r="F13" s="500" t="s">
        <v>901</v>
      </c>
      <c r="G13" s="501"/>
      <c r="H13" s="501"/>
      <c r="I13" s="501"/>
      <c r="J13" s="501"/>
      <c r="K13" s="502"/>
      <c r="L13" s="482" t="s">
        <v>902</v>
      </c>
      <c r="M13" s="483"/>
      <c r="N13" s="483"/>
      <c r="O13" s="483"/>
      <c r="P13" s="484"/>
      <c r="Q13" s="482" t="s">
        <v>903</v>
      </c>
      <c r="R13" s="483"/>
      <c r="S13" s="483"/>
      <c r="T13" s="483"/>
      <c r="U13" s="483"/>
      <c r="V13" s="483"/>
      <c r="W13" s="483"/>
      <c r="X13" s="483"/>
      <c r="Y13" s="483"/>
      <c r="Z13" s="483"/>
      <c r="AA13" s="483"/>
      <c r="AB13" s="483"/>
      <c r="AC13" s="484"/>
      <c r="AD13" s="142"/>
      <c r="AE13" s="142"/>
      <c r="AF13" s="142"/>
      <c r="AG13" s="142"/>
      <c r="AH13" s="142"/>
      <c r="AI13" s="142"/>
      <c r="AJ13" s="142"/>
      <c r="AK13" s="142"/>
      <c r="AL13" s="142"/>
      <c r="AM13" s="142"/>
      <c r="AN13" s="142"/>
      <c r="AO13" s="142"/>
      <c r="AP13" s="142"/>
      <c r="AQ13" s="142"/>
      <c r="AR13" s="142"/>
      <c r="AS13" s="143"/>
    </row>
    <row r="14" spans="1:49" s="141" customFormat="1" ht="14.1" customHeight="1">
      <c r="A14" s="379"/>
      <c r="B14" s="499"/>
      <c r="C14" s="498"/>
      <c r="D14" s="498"/>
      <c r="E14" s="498"/>
      <c r="F14" s="503"/>
      <c r="G14" s="504"/>
      <c r="H14" s="504"/>
      <c r="I14" s="504"/>
      <c r="J14" s="504"/>
      <c r="K14" s="505"/>
      <c r="L14" s="506" t="s">
        <v>904</v>
      </c>
      <c r="M14" s="507"/>
      <c r="N14" s="507"/>
      <c r="O14" s="507"/>
      <c r="P14" s="508"/>
      <c r="Q14" s="509" t="s">
        <v>905</v>
      </c>
      <c r="R14" s="510"/>
      <c r="S14" s="510"/>
      <c r="T14" s="510"/>
      <c r="U14" s="510"/>
      <c r="V14" s="510"/>
      <c r="W14" s="510"/>
      <c r="X14" s="510"/>
      <c r="Y14" s="510"/>
      <c r="Z14" s="510"/>
      <c r="AA14" s="510"/>
      <c r="AB14" s="510"/>
      <c r="AC14" s="511"/>
      <c r="AD14" s="144"/>
      <c r="AE14" s="144"/>
      <c r="AF14" s="144"/>
      <c r="AG14" s="144"/>
      <c r="AH14" s="144"/>
      <c r="AI14" s="144"/>
      <c r="AJ14" s="144"/>
      <c r="AK14" s="144"/>
      <c r="AL14" s="144"/>
      <c r="AM14" s="144"/>
      <c r="AN14" s="144"/>
      <c r="AO14" s="144"/>
      <c r="AP14" s="144"/>
      <c r="AQ14" s="144"/>
      <c r="AR14" s="144"/>
      <c r="AS14" s="145"/>
    </row>
    <row r="15" spans="1:49" s="141" customFormat="1" ht="14.1" customHeight="1">
      <c r="A15" s="378"/>
      <c r="B15" s="468" t="s">
        <v>882</v>
      </c>
      <c r="C15" s="466"/>
      <c r="D15" s="466"/>
      <c r="E15" s="466"/>
      <c r="F15" s="503"/>
      <c r="G15" s="504"/>
      <c r="H15" s="504"/>
      <c r="I15" s="504"/>
      <c r="J15" s="504"/>
      <c r="K15" s="505"/>
      <c r="L15" s="482" t="s">
        <v>906</v>
      </c>
      <c r="M15" s="483"/>
      <c r="N15" s="483"/>
      <c r="O15" s="483"/>
      <c r="P15" s="484"/>
      <c r="Q15" s="482" t="s">
        <v>907</v>
      </c>
      <c r="R15" s="483"/>
      <c r="S15" s="483"/>
      <c r="T15" s="483"/>
      <c r="U15" s="483"/>
      <c r="V15" s="483"/>
      <c r="W15" s="483"/>
      <c r="X15" s="483"/>
      <c r="Y15" s="483"/>
      <c r="Z15" s="483"/>
      <c r="AA15" s="483"/>
      <c r="AB15" s="483"/>
      <c r="AC15" s="484"/>
      <c r="AD15" s="142"/>
      <c r="AE15" s="142"/>
      <c r="AF15" s="142"/>
      <c r="AG15" s="142"/>
      <c r="AH15" s="142"/>
      <c r="AI15" s="142"/>
      <c r="AJ15" s="142"/>
      <c r="AK15" s="142"/>
      <c r="AL15" s="142"/>
      <c r="AM15" s="142"/>
      <c r="AN15" s="142"/>
      <c r="AO15" s="142"/>
      <c r="AP15" s="142"/>
      <c r="AQ15" s="142"/>
      <c r="AR15" s="142"/>
      <c r="AS15" s="143"/>
    </row>
    <row r="16" spans="1:49" s="141" customFormat="1" ht="14.1" customHeight="1">
      <c r="A16" s="379"/>
      <c r="B16" s="499"/>
      <c r="C16" s="498"/>
      <c r="D16" s="498"/>
      <c r="E16" s="498"/>
      <c r="F16" s="503"/>
      <c r="G16" s="504"/>
      <c r="H16" s="504"/>
      <c r="I16" s="504"/>
      <c r="J16" s="504"/>
      <c r="K16" s="505"/>
      <c r="L16" s="506" t="s">
        <v>908</v>
      </c>
      <c r="M16" s="507"/>
      <c r="N16" s="507"/>
      <c r="O16" s="507"/>
      <c r="P16" s="508"/>
      <c r="Q16" s="509" t="s">
        <v>909</v>
      </c>
      <c r="R16" s="510"/>
      <c r="S16" s="510"/>
      <c r="T16" s="510"/>
      <c r="U16" s="510"/>
      <c r="V16" s="510"/>
      <c r="W16" s="510"/>
      <c r="X16" s="510"/>
      <c r="Y16" s="510"/>
      <c r="Z16" s="510"/>
      <c r="AA16" s="510"/>
      <c r="AB16" s="510"/>
      <c r="AC16" s="511"/>
      <c r="AD16" s="144"/>
      <c r="AE16" s="144"/>
      <c r="AF16" s="144"/>
      <c r="AG16" s="144"/>
      <c r="AH16" s="144"/>
      <c r="AI16" s="144"/>
      <c r="AJ16" s="144"/>
      <c r="AK16" s="144"/>
      <c r="AL16" s="144"/>
      <c r="AM16" s="144"/>
      <c r="AN16" s="144"/>
      <c r="AO16" s="144"/>
      <c r="AP16" s="144"/>
      <c r="AQ16" s="144"/>
      <c r="AR16" s="144"/>
      <c r="AS16" s="145"/>
    </row>
    <row r="17" spans="1:45" s="141" customFormat="1" ht="14.1" customHeight="1">
      <c r="A17" s="378"/>
      <c r="B17" s="468" t="s">
        <v>882</v>
      </c>
      <c r="C17" s="466"/>
      <c r="D17" s="466"/>
      <c r="E17" s="466"/>
      <c r="F17" s="521" t="s">
        <v>910</v>
      </c>
      <c r="G17" s="522"/>
      <c r="H17" s="522"/>
      <c r="I17" s="522"/>
      <c r="J17" s="522"/>
      <c r="K17" s="523"/>
      <c r="L17" s="482" t="s">
        <v>911</v>
      </c>
      <c r="M17" s="483"/>
      <c r="N17" s="483"/>
      <c r="O17" s="483"/>
      <c r="P17" s="484"/>
      <c r="Q17" s="482" t="s">
        <v>912</v>
      </c>
      <c r="R17" s="483"/>
      <c r="S17" s="483"/>
      <c r="T17" s="483"/>
      <c r="U17" s="483"/>
      <c r="V17" s="483"/>
      <c r="W17" s="483"/>
      <c r="X17" s="483"/>
      <c r="Y17" s="483"/>
      <c r="Z17" s="483"/>
      <c r="AA17" s="483"/>
      <c r="AB17" s="483"/>
      <c r="AC17" s="484"/>
      <c r="AD17" s="142"/>
      <c r="AE17" s="142"/>
      <c r="AF17" s="142"/>
      <c r="AG17" s="142"/>
      <c r="AH17" s="142"/>
      <c r="AI17" s="142"/>
      <c r="AJ17" s="142"/>
      <c r="AK17" s="142"/>
      <c r="AL17" s="142"/>
      <c r="AM17" s="142"/>
      <c r="AN17" s="142"/>
      <c r="AO17" s="142"/>
      <c r="AP17" s="142"/>
      <c r="AQ17" s="142"/>
      <c r="AR17" s="142"/>
      <c r="AS17" s="143"/>
    </row>
    <row r="18" spans="1:45" s="141" customFormat="1" ht="14.1" customHeight="1">
      <c r="A18" s="379"/>
      <c r="B18" s="499"/>
      <c r="C18" s="498"/>
      <c r="D18" s="498"/>
      <c r="E18" s="498"/>
      <c r="F18" s="524"/>
      <c r="G18" s="525"/>
      <c r="H18" s="525"/>
      <c r="I18" s="525"/>
      <c r="J18" s="525"/>
      <c r="K18" s="526"/>
      <c r="L18" s="506" t="s">
        <v>913</v>
      </c>
      <c r="M18" s="507"/>
      <c r="N18" s="507"/>
      <c r="O18" s="507"/>
      <c r="P18" s="508"/>
      <c r="Q18" s="509" t="s">
        <v>914</v>
      </c>
      <c r="R18" s="510"/>
      <c r="S18" s="510"/>
      <c r="T18" s="510"/>
      <c r="U18" s="510"/>
      <c r="V18" s="510"/>
      <c r="W18" s="510"/>
      <c r="X18" s="510"/>
      <c r="Y18" s="510"/>
      <c r="Z18" s="510"/>
      <c r="AA18" s="510"/>
      <c r="AB18" s="510"/>
      <c r="AC18" s="511"/>
      <c r="AD18" s="144"/>
      <c r="AE18" s="144"/>
      <c r="AF18" s="144"/>
      <c r="AG18" s="144"/>
      <c r="AH18" s="144"/>
      <c r="AI18" s="144"/>
      <c r="AJ18" s="144"/>
      <c r="AK18" s="144"/>
      <c r="AL18" s="144"/>
      <c r="AM18" s="144"/>
      <c r="AN18" s="144"/>
      <c r="AO18" s="144"/>
      <c r="AP18" s="144"/>
      <c r="AQ18" s="144"/>
      <c r="AR18" s="144"/>
      <c r="AS18" s="145"/>
    </row>
    <row r="19" spans="1:45" s="141" customFormat="1" ht="14.1" customHeight="1">
      <c r="A19" s="378"/>
      <c r="B19" s="468" t="s">
        <v>882</v>
      </c>
      <c r="C19" s="466"/>
      <c r="D19" s="466"/>
      <c r="E19" s="466"/>
      <c r="F19" s="500" t="s">
        <v>915</v>
      </c>
      <c r="G19" s="501"/>
      <c r="H19" s="501"/>
      <c r="I19" s="501"/>
      <c r="J19" s="501"/>
      <c r="K19" s="502"/>
      <c r="L19" s="485" t="s">
        <v>916</v>
      </c>
      <c r="M19" s="486"/>
      <c r="N19" s="486"/>
      <c r="O19" s="486"/>
      <c r="P19" s="487"/>
      <c r="Q19" s="482" t="s">
        <v>917</v>
      </c>
      <c r="R19" s="483"/>
      <c r="S19" s="483"/>
      <c r="T19" s="483"/>
      <c r="U19" s="483"/>
      <c r="V19" s="483"/>
      <c r="W19" s="483"/>
      <c r="X19" s="483"/>
      <c r="Y19" s="483"/>
      <c r="Z19" s="483"/>
      <c r="AA19" s="483"/>
      <c r="AB19" s="483"/>
      <c r="AC19" s="484"/>
      <c r="AD19" s="142"/>
      <c r="AE19" s="142"/>
      <c r="AF19" s="142"/>
      <c r="AG19" s="142"/>
      <c r="AH19" s="142"/>
      <c r="AI19" s="142"/>
      <c r="AJ19" s="142"/>
      <c r="AK19" s="142"/>
      <c r="AL19" s="142"/>
      <c r="AM19" s="142"/>
      <c r="AN19" s="142"/>
      <c r="AO19" s="142"/>
      <c r="AP19" s="142"/>
      <c r="AQ19" s="142"/>
      <c r="AR19" s="142"/>
      <c r="AS19" s="143"/>
    </row>
    <row r="20" spans="1:45" s="141" customFormat="1" ht="14.1" customHeight="1">
      <c r="A20" s="379"/>
      <c r="B20" s="499"/>
      <c r="C20" s="498"/>
      <c r="D20" s="498"/>
      <c r="E20" s="498"/>
      <c r="F20" s="503"/>
      <c r="G20" s="504"/>
      <c r="H20" s="504"/>
      <c r="I20" s="504"/>
      <c r="J20" s="504"/>
      <c r="K20" s="505"/>
      <c r="L20" s="518" t="s">
        <v>918</v>
      </c>
      <c r="M20" s="519"/>
      <c r="N20" s="519"/>
      <c r="O20" s="519"/>
      <c r="P20" s="520"/>
      <c r="Q20" s="509" t="s">
        <v>919</v>
      </c>
      <c r="R20" s="510"/>
      <c r="S20" s="510"/>
      <c r="T20" s="510"/>
      <c r="U20" s="510"/>
      <c r="V20" s="510"/>
      <c r="W20" s="510"/>
      <c r="X20" s="510"/>
      <c r="Y20" s="510"/>
      <c r="Z20" s="510"/>
      <c r="AA20" s="510"/>
      <c r="AB20" s="510"/>
      <c r="AC20" s="511"/>
      <c r="AD20" s="144"/>
      <c r="AE20" s="144"/>
      <c r="AF20" s="144"/>
      <c r="AG20" s="144"/>
      <c r="AH20" s="144"/>
      <c r="AI20" s="144"/>
      <c r="AJ20" s="144"/>
      <c r="AK20" s="144"/>
      <c r="AL20" s="144"/>
      <c r="AM20" s="144"/>
      <c r="AN20" s="144"/>
      <c r="AO20" s="144"/>
      <c r="AP20" s="144"/>
      <c r="AQ20" s="144"/>
      <c r="AR20" s="144"/>
      <c r="AS20" s="145"/>
    </row>
    <row r="21" spans="1:45" s="141" customFormat="1" ht="14.1" customHeight="1">
      <c r="A21" s="378"/>
      <c r="B21" s="468" t="s">
        <v>882</v>
      </c>
      <c r="C21" s="466"/>
      <c r="D21" s="466"/>
      <c r="E21" s="466"/>
      <c r="F21" s="512" t="s">
        <v>920</v>
      </c>
      <c r="G21" s="513"/>
      <c r="H21" s="513"/>
      <c r="I21" s="513"/>
      <c r="J21" s="513"/>
      <c r="K21" s="514"/>
      <c r="L21" s="485" t="s">
        <v>921</v>
      </c>
      <c r="M21" s="486"/>
      <c r="N21" s="486"/>
      <c r="O21" s="486"/>
      <c r="P21" s="487"/>
      <c r="Q21" s="482" t="s">
        <v>922</v>
      </c>
      <c r="R21" s="483"/>
      <c r="S21" s="483"/>
      <c r="T21" s="483"/>
      <c r="U21" s="483"/>
      <c r="V21" s="483"/>
      <c r="W21" s="483"/>
      <c r="X21" s="483"/>
      <c r="Y21" s="483"/>
      <c r="Z21" s="483"/>
      <c r="AA21" s="483"/>
      <c r="AB21" s="483"/>
      <c r="AC21" s="484"/>
      <c r="AD21" s="142"/>
      <c r="AE21" s="142"/>
      <c r="AF21" s="142"/>
      <c r="AG21" s="142"/>
      <c r="AH21" s="142"/>
      <c r="AI21" s="142"/>
      <c r="AJ21" s="142"/>
      <c r="AK21" s="142"/>
      <c r="AL21" s="142"/>
      <c r="AM21" s="142"/>
      <c r="AN21" s="142"/>
      <c r="AO21" s="142"/>
      <c r="AP21" s="142"/>
      <c r="AQ21" s="142"/>
      <c r="AR21" s="142"/>
      <c r="AS21" s="143"/>
    </row>
    <row r="22" spans="1:45" s="141" customFormat="1" ht="14.1" customHeight="1">
      <c r="A22" s="379"/>
      <c r="B22" s="499"/>
      <c r="C22" s="498"/>
      <c r="D22" s="498"/>
      <c r="E22" s="498"/>
      <c r="F22" s="515"/>
      <c r="G22" s="516"/>
      <c r="H22" s="516"/>
      <c r="I22" s="516"/>
      <c r="J22" s="516"/>
      <c r="K22" s="517"/>
      <c r="L22" s="506" t="s">
        <v>923</v>
      </c>
      <c r="M22" s="507"/>
      <c r="N22" s="507"/>
      <c r="O22" s="507"/>
      <c r="P22" s="508"/>
      <c r="Q22" s="509" t="s">
        <v>924</v>
      </c>
      <c r="R22" s="510"/>
      <c r="S22" s="510"/>
      <c r="T22" s="510"/>
      <c r="U22" s="510"/>
      <c r="V22" s="510"/>
      <c r="W22" s="510"/>
      <c r="X22" s="510"/>
      <c r="Y22" s="510"/>
      <c r="Z22" s="510"/>
      <c r="AA22" s="510"/>
      <c r="AB22" s="510"/>
      <c r="AC22" s="511"/>
      <c r="AD22" s="144"/>
      <c r="AE22" s="144"/>
      <c r="AF22" s="144"/>
      <c r="AG22" s="144"/>
      <c r="AH22" s="144"/>
      <c r="AI22" s="144"/>
      <c r="AJ22" s="144"/>
      <c r="AK22" s="144"/>
      <c r="AL22" s="144"/>
      <c r="AM22" s="144"/>
      <c r="AN22" s="144"/>
      <c r="AO22" s="144"/>
      <c r="AP22" s="144"/>
      <c r="AQ22" s="144"/>
      <c r="AR22" s="144"/>
      <c r="AS22" s="145"/>
    </row>
    <row r="23" spans="1:45" s="141" customFormat="1" ht="14.1" customHeight="1">
      <c r="A23" s="378"/>
      <c r="B23" s="466"/>
      <c r="C23" s="468" t="s">
        <v>882</v>
      </c>
      <c r="D23" s="466"/>
      <c r="E23" s="466"/>
      <c r="F23" s="500" t="s">
        <v>925</v>
      </c>
      <c r="G23" s="501"/>
      <c r="H23" s="501"/>
      <c r="I23" s="501"/>
      <c r="J23" s="501"/>
      <c r="K23" s="502"/>
      <c r="L23" s="482" t="s">
        <v>926</v>
      </c>
      <c r="M23" s="483"/>
      <c r="N23" s="483"/>
      <c r="O23" s="483"/>
      <c r="P23" s="484"/>
      <c r="Q23" s="485" t="s">
        <v>927</v>
      </c>
      <c r="R23" s="486"/>
      <c r="S23" s="486"/>
      <c r="T23" s="486"/>
      <c r="U23" s="486"/>
      <c r="V23" s="486"/>
      <c r="W23" s="486"/>
      <c r="X23" s="486"/>
      <c r="Y23" s="486"/>
      <c r="Z23" s="486"/>
      <c r="AA23" s="486"/>
      <c r="AB23" s="486"/>
      <c r="AC23" s="487"/>
      <c r="AD23" s="142"/>
      <c r="AE23" s="142"/>
      <c r="AF23" s="142"/>
      <c r="AG23" s="142"/>
      <c r="AH23" s="142"/>
      <c r="AI23" s="142"/>
      <c r="AJ23" s="142"/>
      <c r="AK23" s="142"/>
      <c r="AL23" s="142"/>
      <c r="AM23" s="142"/>
      <c r="AN23" s="142"/>
      <c r="AO23" s="142"/>
      <c r="AP23" s="142"/>
      <c r="AQ23" s="142"/>
      <c r="AR23" s="142"/>
      <c r="AS23" s="143"/>
    </row>
    <row r="24" spans="1:45" s="141" customFormat="1" ht="14.1" customHeight="1">
      <c r="A24" s="379"/>
      <c r="B24" s="498"/>
      <c r="C24" s="499"/>
      <c r="D24" s="498"/>
      <c r="E24" s="498"/>
      <c r="F24" s="503"/>
      <c r="G24" s="504"/>
      <c r="H24" s="504"/>
      <c r="I24" s="504"/>
      <c r="J24" s="504"/>
      <c r="K24" s="505"/>
      <c r="L24" s="506" t="s">
        <v>928</v>
      </c>
      <c r="M24" s="507"/>
      <c r="N24" s="507"/>
      <c r="O24" s="507"/>
      <c r="P24" s="508"/>
      <c r="Q24" s="509" t="s">
        <v>929</v>
      </c>
      <c r="R24" s="510"/>
      <c r="S24" s="510"/>
      <c r="T24" s="510"/>
      <c r="U24" s="510"/>
      <c r="V24" s="510"/>
      <c r="W24" s="510"/>
      <c r="X24" s="510"/>
      <c r="Y24" s="510"/>
      <c r="Z24" s="510"/>
      <c r="AA24" s="510"/>
      <c r="AB24" s="510"/>
      <c r="AC24" s="511"/>
      <c r="AD24" s="144"/>
      <c r="AE24" s="144"/>
      <c r="AF24" s="144"/>
      <c r="AG24" s="144"/>
      <c r="AH24" s="144"/>
      <c r="AI24" s="144"/>
      <c r="AJ24" s="144"/>
      <c r="AK24" s="144"/>
      <c r="AL24" s="144"/>
      <c r="AM24" s="144"/>
      <c r="AN24" s="144"/>
      <c r="AO24" s="144"/>
      <c r="AP24" s="144"/>
      <c r="AQ24" s="144"/>
      <c r="AR24" s="144"/>
      <c r="AS24" s="145"/>
    </row>
    <row r="25" spans="1:45" s="141" customFormat="1" ht="14.1" customHeight="1">
      <c r="A25" s="378"/>
      <c r="B25" s="466"/>
      <c r="C25" s="468" t="s">
        <v>882</v>
      </c>
      <c r="D25" s="466"/>
      <c r="E25" s="466"/>
      <c r="F25" s="470" t="s">
        <v>930</v>
      </c>
      <c r="G25" s="471"/>
      <c r="H25" s="471"/>
      <c r="I25" s="471"/>
      <c r="J25" s="471"/>
      <c r="K25" s="472"/>
      <c r="L25" s="482" t="s">
        <v>931</v>
      </c>
      <c r="M25" s="483"/>
      <c r="N25" s="483"/>
      <c r="O25" s="483"/>
      <c r="P25" s="484"/>
      <c r="Q25" s="485" t="s">
        <v>932</v>
      </c>
      <c r="R25" s="486"/>
      <c r="S25" s="486"/>
      <c r="T25" s="486"/>
      <c r="U25" s="486"/>
      <c r="V25" s="486"/>
      <c r="W25" s="486"/>
      <c r="X25" s="486"/>
      <c r="Y25" s="486"/>
      <c r="Z25" s="486"/>
      <c r="AA25" s="486"/>
      <c r="AB25" s="486"/>
      <c r="AC25" s="487"/>
      <c r="AD25" s="142"/>
      <c r="AE25" s="142"/>
      <c r="AF25" s="142"/>
      <c r="AG25" s="142"/>
      <c r="AH25" s="142"/>
      <c r="AI25" s="142"/>
      <c r="AJ25" s="142"/>
      <c r="AK25" s="142"/>
      <c r="AL25" s="142"/>
      <c r="AM25" s="142"/>
      <c r="AN25" s="142"/>
      <c r="AO25" s="142"/>
      <c r="AP25" s="142"/>
      <c r="AQ25" s="142"/>
      <c r="AR25" s="142"/>
      <c r="AS25" s="143"/>
    </row>
    <row r="26" spans="1:45" s="141" customFormat="1" ht="14.1" customHeight="1" thickBot="1">
      <c r="A26" s="454"/>
      <c r="B26" s="467"/>
      <c r="C26" s="469"/>
      <c r="D26" s="467"/>
      <c r="E26" s="467"/>
      <c r="F26" s="473"/>
      <c r="G26" s="474"/>
      <c r="H26" s="474"/>
      <c r="I26" s="474"/>
      <c r="J26" s="474"/>
      <c r="K26" s="475"/>
      <c r="L26" s="488" t="s">
        <v>933</v>
      </c>
      <c r="M26" s="489"/>
      <c r="N26" s="489"/>
      <c r="O26" s="489"/>
      <c r="P26" s="490"/>
      <c r="Q26" s="491" t="s">
        <v>929</v>
      </c>
      <c r="R26" s="492"/>
      <c r="S26" s="492"/>
      <c r="T26" s="492"/>
      <c r="U26" s="492"/>
      <c r="V26" s="492"/>
      <c r="W26" s="492"/>
      <c r="X26" s="492"/>
      <c r="Y26" s="492"/>
      <c r="Z26" s="492"/>
      <c r="AA26" s="492"/>
      <c r="AB26" s="492"/>
      <c r="AC26" s="493"/>
      <c r="AD26" s="146"/>
      <c r="AE26" s="146"/>
      <c r="AF26" s="146"/>
      <c r="AG26" s="146"/>
      <c r="AH26" s="146"/>
      <c r="AI26" s="146"/>
      <c r="AJ26" s="146"/>
      <c r="AK26" s="146"/>
      <c r="AL26" s="146"/>
      <c r="AM26" s="146"/>
      <c r="AN26" s="146"/>
      <c r="AO26" s="146"/>
      <c r="AP26" s="146"/>
      <c r="AQ26" s="146"/>
      <c r="AR26" s="146"/>
      <c r="AS26" s="147"/>
    </row>
    <row r="27" spans="1:45" s="151" customFormat="1" ht="12" customHeight="1" thickTop="1">
      <c r="A27" s="494" t="s">
        <v>789</v>
      </c>
      <c r="B27" s="495"/>
      <c r="C27" s="495"/>
      <c r="D27" s="495"/>
      <c r="E27" s="495"/>
      <c r="F27" s="495"/>
      <c r="G27" s="495"/>
      <c r="H27" s="495"/>
      <c r="I27" s="495"/>
      <c r="J27" s="495"/>
      <c r="K27" s="495"/>
      <c r="L27" s="495"/>
      <c r="M27" s="495"/>
      <c r="N27" s="496"/>
      <c r="O27" s="149">
        <v>1</v>
      </c>
      <c r="P27" s="149">
        <v>2</v>
      </c>
      <c r="Q27" s="149">
        <v>3</v>
      </c>
      <c r="R27" s="149">
        <v>4</v>
      </c>
      <c r="S27" s="149">
        <v>5</v>
      </c>
      <c r="T27" s="149">
        <v>6</v>
      </c>
      <c r="U27" s="149">
        <v>7</v>
      </c>
      <c r="V27" s="149">
        <v>8</v>
      </c>
      <c r="W27" s="149">
        <v>9</v>
      </c>
      <c r="X27" s="149">
        <v>10</v>
      </c>
      <c r="Y27" s="149">
        <v>11</v>
      </c>
      <c r="Z27" s="149">
        <v>12</v>
      </c>
      <c r="AA27" s="149">
        <v>13</v>
      </c>
      <c r="AB27" s="149">
        <v>14</v>
      </c>
      <c r="AC27" s="149">
        <v>15</v>
      </c>
      <c r="AD27" s="149">
        <v>16</v>
      </c>
      <c r="AE27" s="149">
        <v>17</v>
      </c>
      <c r="AF27" s="149">
        <v>18</v>
      </c>
      <c r="AG27" s="149">
        <v>19</v>
      </c>
      <c r="AH27" s="149">
        <v>20</v>
      </c>
      <c r="AI27" s="149">
        <v>21</v>
      </c>
      <c r="AJ27" s="149">
        <v>22</v>
      </c>
      <c r="AK27" s="149">
        <v>23</v>
      </c>
      <c r="AL27" s="149">
        <v>24</v>
      </c>
      <c r="AM27" s="149">
        <v>25</v>
      </c>
      <c r="AN27" s="149">
        <v>26</v>
      </c>
      <c r="AO27" s="149">
        <v>27</v>
      </c>
      <c r="AP27" s="149">
        <v>28</v>
      </c>
      <c r="AQ27" s="149">
        <v>29</v>
      </c>
      <c r="AR27" s="149">
        <v>30</v>
      </c>
      <c r="AS27" s="150">
        <v>31</v>
      </c>
    </row>
    <row r="28" spans="1:45" ht="34.5" customHeight="1">
      <c r="A28" s="497" t="s">
        <v>934</v>
      </c>
      <c r="B28" s="372"/>
      <c r="C28" s="372"/>
      <c r="D28" s="372"/>
      <c r="E28" s="372"/>
      <c r="F28" s="372"/>
      <c r="G28" s="372"/>
      <c r="H28" s="372"/>
      <c r="I28" s="372"/>
      <c r="J28" s="372"/>
      <c r="K28" s="372"/>
      <c r="L28" s="372"/>
      <c r="M28" s="372"/>
      <c r="N28" s="372"/>
      <c r="O28" s="152"/>
      <c r="P28" s="152"/>
      <c r="Q28" s="152"/>
      <c r="R28" s="152"/>
      <c r="S28" s="152"/>
      <c r="T28" s="152"/>
      <c r="U28" s="152"/>
      <c r="V28" s="152"/>
      <c r="W28" s="152"/>
      <c r="X28" s="152"/>
      <c r="Y28" s="152"/>
      <c r="Z28" s="152"/>
      <c r="AA28" s="152"/>
      <c r="AB28" s="152"/>
      <c r="AC28" s="152"/>
      <c r="AD28" s="153"/>
      <c r="AE28" s="153"/>
      <c r="AF28" s="153"/>
      <c r="AG28" s="153"/>
      <c r="AH28" s="153"/>
      <c r="AI28" s="153"/>
      <c r="AJ28" s="153"/>
      <c r="AK28" s="153"/>
      <c r="AL28" s="153"/>
      <c r="AM28" s="153"/>
      <c r="AN28" s="153"/>
      <c r="AO28" s="153"/>
      <c r="AP28" s="153"/>
      <c r="AQ28" s="153"/>
      <c r="AR28" s="153"/>
      <c r="AS28" s="154"/>
    </row>
    <row r="29" spans="1:45" ht="34.5" customHeight="1">
      <c r="A29" s="371" t="s">
        <v>935</v>
      </c>
      <c r="B29" s="372"/>
      <c r="C29" s="372"/>
      <c r="D29" s="372"/>
      <c r="E29" s="372"/>
      <c r="F29" s="372"/>
      <c r="G29" s="372"/>
      <c r="H29" s="372"/>
      <c r="I29" s="372"/>
      <c r="J29" s="372"/>
      <c r="K29" s="372"/>
      <c r="L29" s="372"/>
      <c r="M29" s="372"/>
      <c r="N29" s="372"/>
      <c r="O29" s="155"/>
      <c r="P29" s="155"/>
      <c r="Q29" s="155"/>
      <c r="R29" s="155"/>
      <c r="S29" s="155"/>
      <c r="T29" s="155"/>
      <c r="U29" s="155"/>
      <c r="V29" s="155"/>
      <c r="W29" s="155"/>
      <c r="X29" s="155"/>
      <c r="Y29" s="156"/>
      <c r="Z29" s="156"/>
      <c r="AA29" s="156"/>
      <c r="AB29" s="156"/>
      <c r="AC29" s="156"/>
      <c r="AD29" s="153"/>
      <c r="AE29" s="153"/>
      <c r="AF29" s="153"/>
      <c r="AG29" s="153"/>
      <c r="AH29" s="153"/>
      <c r="AI29" s="153"/>
      <c r="AJ29" s="153"/>
      <c r="AK29" s="153"/>
      <c r="AL29" s="153"/>
      <c r="AM29" s="153"/>
      <c r="AN29" s="153"/>
      <c r="AO29" s="153"/>
      <c r="AP29" s="153"/>
      <c r="AQ29" s="153"/>
      <c r="AR29" s="153"/>
      <c r="AS29" s="154"/>
    </row>
    <row r="30" spans="1:45" ht="34.5" customHeight="1">
      <c r="A30" s="371" t="s">
        <v>792</v>
      </c>
      <c r="B30" s="373"/>
      <c r="C30" s="373"/>
      <c r="D30" s="373"/>
      <c r="E30" s="373"/>
      <c r="F30" s="373"/>
      <c r="G30" s="373"/>
      <c r="H30" s="373"/>
      <c r="I30" s="373"/>
      <c r="J30" s="373"/>
      <c r="K30" s="373"/>
      <c r="L30" s="373"/>
      <c r="M30" s="373"/>
      <c r="N30" s="373"/>
      <c r="O30" s="155"/>
      <c r="P30" s="155"/>
      <c r="Q30" s="155"/>
      <c r="R30" s="155"/>
      <c r="S30" s="155"/>
      <c r="T30" s="155"/>
      <c r="U30" s="155"/>
      <c r="V30" s="155"/>
      <c r="W30" s="155"/>
      <c r="X30" s="155"/>
      <c r="Y30" s="156"/>
      <c r="Z30" s="156"/>
      <c r="AA30" s="156"/>
      <c r="AB30" s="156"/>
      <c r="AC30" s="156"/>
      <c r="AD30" s="157"/>
      <c r="AE30" s="157"/>
      <c r="AF30" s="157"/>
      <c r="AG30" s="157"/>
      <c r="AH30" s="157"/>
      <c r="AI30" s="157"/>
      <c r="AJ30" s="157"/>
      <c r="AK30" s="157"/>
      <c r="AL30" s="157"/>
      <c r="AM30" s="157"/>
      <c r="AN30" s="157"/>
      <c r="AO30" s="157"/>
      <c r="AP30" s="157"/>
      <c r="AQ30" s="157"/>
      <c r="AR30" s="157"/>
      <c r="AS30" s="158"/>
    </row>
    <row r="31" spans="1:45" s="141" customFormat="1" ht="12.75" customHeight="1">
      <c r="A31" s="476" t="s">
        <v>936</v>
      </c>
      <c r="B31" s="477"/>
      <c r="C31" s="477"/>
      <c r="D31" s="477"/>
      <c r="E31" s="477"/>
      <c r="F31" s="477"/>
      <c r="G31" s="477"/>
      <c r="H31" s="477"/>
      <c r="I31" s="477"/>
      <c r="J31" s="477"/>
      <c r="K31" s="477"/>
      <c r="L31" s="477"/>
      <c r="M31" s="477"/>
      <c r="N31" s="477"/>
      <c r="O31" s="477"/>
      <c r="P31" s="477"/>
      <c r="Q31" s="477"/>
      <c r="R31" s="477"/>
      <c r="S31" s="477"/>
      <c r="T31" s="477"/>
      <c r="U31" s="477"/>
      <c r="V31" s="477"/>
      <c r="W31" s="477"/>
      <c r="X31" s="477"/>
      <c r="Y31" s="477"/>
      <c r="Z31" s="477"/>
      <c r="AA31" s="477"/>
      <c r="AB31" s="477"/>
      <c r="AC31" s="477"/>
      <c r="AD31" s="477"/>
      <c r="AE31" s="477"/>
      <c r="AF31" s="477"/>
      <c r="AG31" s="477"/>
      <c r="AH31" s="477"/>
      <c r="AI31" s="477"/>
      <c r="AJ31" s="477"/>
      <c r="AK31" s="477"/>
      <c r="AL31" s="477"/>
      <c r="AM31" s="477"/>
      <c r="AN31" s="477"/>
      <c r="AO31" s="477"/>
      <c r="AP31" s="477"/>
      <c r="AQ31" s="477"/>
      <c r="AR31" s="477"/>
      <c r="AS31" s="478"/>
    </row>
    <row r="32" spans="1:45" s="141" customFormat="1" ht="38.25" customHeight="1" thickBot="1">
      <c r="A32" s="479"/>
      <c r="B32" s="480"/>
      <c r="C32" s="480"/>
      <c r="D32" s="480"/>
      <c r="E32" s="480"/>
      <c r="F32" s="480"/>
      <c r="G32" s="480"/>
      <c r="H32" s="480"/>
      <c r="I32" s="480"/>
      <c r="J32" s="480"/>
      <c r="K32" s="480"/>
      <c r="L32" s="480"/>
      <c r="M32" s="480"/>
      <c r="N32" s="480"/>
      <c r="O32" s="480"/>
      <c r="P32" s="480"/>
      <c r="Q32" s="480"/>
      <c r="R32" s="480"/>
      <c r="S32" s="480"/>
      <c r="T32" s="480"/>
      <c r="U32" s="480"/>
      <c r="V32" s="480"/>
      <c r="W32" s="480"/>
      <c r="X32" s="480"/>
      <c r="Y32" s="480"/>
      <c r="Z32" s="480"/>
      <c r="AA32" s="480"/>
      <c r="AB32" s="480"/>
      <c r="AC32" s="480"/>
      <c r="AD32" s="480"/>
      <c r="AE32" s="480"/>
      <c r="AF32" s="480"/>
      <c r="AG32" s="480"/>
      <c r="AH32" s="480"/>
      <c r="AI32" s="480"/>
      <c r="AJ32" s="480"/>
      <c r="AK32" s="480"/>
      <c r="AL32" s="480"/>
      <c r="AM32" s="480"/>
      <c r="AN32" s="480"/>
      <c r="AO32" s="480"/>
      <c r="AP32" s="480"/>
      <c r="AQ32" s="480"/>
      <c r="AR32" s="480"/>
      <c r="AS32" s="481"/>
    </row>
  </sheetData>
  <dataConsolidate/>
  <mergeCells count="127">
    <mergeCell ref="A1:AS1"/>
    <mergeCell ref="A2:E2"/>
    <mergeCell ref="F2:S2"/>
    <mergeCell ref="T2:Y2"/>
    <mergeCell ref="Z2:AA2"/>
    <mergeCell ref="AC2:AD2"/>
    <mergeCell ref="AE2:AG3"/>
    <mergeCell ref="AH2:AJ3"/>
    <mergeCell ref="AK2:AM3"/>
    <mergeCell ref="AN2:AP3"/>
    <mergeCell ref="AQ2:AS3"/>
    <mergeCell ref="A3:E3"/>
    <mergeCell ref="F3:S3"/>
    <mergeCell ref="T3:Y3"/>
    <mergeCell ref="Z3:AD3"/>
    <mergeCell ref="A4:E5"/>
    <mergeCell ref="F4:K6"/>
    <mergeCell ref="L4:P6"/>
    <mergeCell ref="Q4:AC6"/>
    <mergeCell ref="AD4:AS4"/>
    <mergeCell ref="A9:A10"/>
    <mergeCell ref="B9:B10"/>
    <mergeCell ref="C9:C10"/>
    <mergeCell ref="D9:D10"/>
    <mergeCell ref="E9:E10"/>
    <mergeCell ref="A7:A8"/>
    <mergeCell ref="B7:B8"/>
    <mergeCell ref="C7:C8"/>
    <mergeCell ref="D7:D8"/>
    <mergeCell ref="E7:E8"/>
    <mergeCell ref="F9:K9"/>
    <mergeCell ref="L9:P9"/>
    <mergeCell ref="Q9:AC9"/>
    <mergeCell ref="F10:K10"/>
    <mergeCell ref="L10:P10"/>
    <mergeCell ref="Q10:AC10"/>
    <mergeCell ref="L7:P7"/>
    <mergeCell ref="Q7:AC7"/>
    <mergeCell ref="F8:K8"/>
    <mergeCell ref="L8:P8"/>
    <mergeCell ref="Q8:AC8"/>
    <mergeCell ref="F7:K7"/>
    <mergeCell ref="L11:P11"/>
    <mergeCell ref="Q11:AC11"/>
    <mergeCell ref="F12:K12"/>
    <mergeCell ref="L12:P12"/>
    <mergeCell ref="Q12:AC12"/>
    <mergeCell ref="A13:A14"/>
    <mergeCell ref="B13:B14"/>
    <mergeCell ref="C13:C14"/>
    <mergeCell ref="D13:D14"/>
    <mergeCell ref="E13:E14"/>
    <mergeCell ref="A11:A12"/>
    <mergeCell ref="B11:B12"/>
    <mergeCell ref="C11:C12"/>
    <mergeCell ref="D11:D12"/>
    <mergeCell ref="E11:E12"/>
    <mergeCell ref="F11:K11"/>
    <mergeCell ref="L15:P15"/>
    <mergeCell ref="Q15:AC15"/>
    <mergeCell ref="L16:P16"/>
    <mergeCell ref="Q16:AC16"/>
    <mergeCell ref="A17:A18"/>
    <mergeCell ref="B17:B18"/>
    <mergeCell ref="C17:C18"/>
    <mergeCell ref="D17:D18"/>
    <mergeCell ref="E17:E18"/>
    <mergeCell ref="F17:K18"/>
    <mergeCell ref="F13:K16"/>
    <mergeCell ref="L13:P13"/>
    <mergeCell ref="Q13:AC13"/>
    <mergeCell ref="L14:P14"/>
    <mergeCell ref="Q14:AC14"/>
    <mergeCell ref="A15:A16"/>
    <mergeCell ref="B15:B16"/>
    <mergeCell ref="C15:C16"/>
    <mergeCell ref="D15:D16"/>
    <mergeCell ref="E15:E16"/>
    <mergeCell ref="L17:P17"/>
    <mergeCell ref="Q17:AC17"/>
    <mergeCell ref="L18:P18"/>
    <mergeCell ref="Q18:AC18"/>
    <mergeCell ref="A19:A20"/>
    <mergeCell ref="B19:B20"/>
    <mergeCell ref="C19:C20"/>
    <mergeCell ref="D19:D20"/>
    <mergeCell ref="E19:E20"/>
    <mergeCell ref="F19:K20"/>
    <mergeCell ref="L19:P19"/>
    <mergeCell ref="Q19:AC19"/>
    <mergeCell ref="L20:P20"/>
    <mergeCell ref="Q20:AC20"/>
    <mergeCell ref="A21:A22"/>
    <mergeCell ref="B21:B22"/>
    <mergeCell ref="C21:C22"/>
    <mergeCell ref="D21:D22"/>
    <mergeCell ref="E21:E22"/>
    <mergeCell ref="F21:K22"/>
    <mergeCell ref="L21:P21"/>
    <mergeCell ref="Q21:AC21"/>
    <mergeCell ref="L22:P22"/>
    <mergeCell ref="Q22:AC22"/>
    <mergeCell ref="A23:A24"/>
    <mergeCell ref="B23:B24"/>
    <mergeCell ref="C23:C24"/>
    <mergeCell ref="D23:D24"/>
    <mergeCell ref="E23:E24"/>
    <mergeCell ref="F23:K24"/>
    <mergeCell ref="L23:P23"/>
    <mergeCell ref="Q23:AC23"/>
    <mergeCell ref="L24:P24"/>
    <mergeCell ref="Q24:AC24"/>
    <mergeCell ref="A25:A26"/>
    <mergeCell ref="B25:B26"/>
    <mergeCell ref="C25:C26"/>
    <mergeCell ref="D25:D26"/>
    <mergeCell ref="E25:E26"/>
    <mergeCell ref="F25:K26"/>
    <mergeCell ref="A29:N29"/>
    <mergeCell ref="A30:N30"/>
    <mergeCell ref="A31:AS32"/>
    <mergeCell ref="L25:P25"/>
    <mergeCell ref="Q25:AC25"/>
    <mergeCell ref="L26:P26"/>
    <mergeCell ref="Q26:AC26"/>
    <mergeCell ref="A27:N27"/>
    <mergeCell ref="A28:N28"/>
  </mergeCells>
  <dataValidations count="4">
    <dataValidation type="list" allowBlank="1" showInputMessage="1" showErrorMessage="1" sqref="F3:S3" xr:uid="{00000000-0002-0000-0E00-000000000000}">
      <formula1>$AU$13:$AU$17</formula1>
    </dataValidation>
    <dataValidation type="list" allowBlank="1" showInputMessage="1" showErrorMessage="1" sqref="Z3:AD3" xr:uid="{00000000-0002-0000-0E00-000001000000}">
      <formula1>$AW$1:$AW$5</formula1>
    </dataValidation>
    <dataValidation type="list" allowBlank="1" showInputMessage="1" showErrorMessage="1" sqref="AC2:AD2" xr:uid="{00000000-0002-0000-0E00-000002000000}">
      <formula1>$AU$6:$AU$8</formula1>
    </dataValidation>
    <dataValidation type="list" allowBlank="1" showInputMessage="1" showErrorMessage="1" sqref="Z2:AA2" xr:uid="{00000000-0002-0000-0E00-000003000000}">
      <formula1>$AV$1:$AV$12</formula1>
    </dataValidation>
  </dataValidations>
  <printOptions horizontalCentered="1" verticalCentered="1"/>
  <pageMargins left="0" right="0" top="0" bottom="0.39370078740157483" header="0" footer="0.11811023622047245"/>
  <pageSetup paperSize="9" scale="86" fitToHeight="0" orientation="landscape" r:id="rId1"/>
  <headerFooter alignWithMargins="0">
    <oddFooter>&amp;L&amp;"Arial,Regular"&amp;10Retention Period: 1 Years.
5700_20161205_1&amp;C&amp;"Arial,Regular"&amp;10MAXXIS RUBBER INDIA PVT. LTD.&amp;R&amp;"Arial,Regular"&amp;10A4 NO.5700</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00B050"/>
  </sheetPr>
  <dimension ref="A1:AS37"/>
  <sheetViews>
    <sheetView view="pageBreakPreview" zoomScaleNormal="100" zoomScaleSheetLayoutView="100" workbookViewId="0">
      <selection activeCell="L22" sqref="L22:P23"/>
    </sheetView>
  </sheetViews>
  <sheetFormatPr defaultColWidth="9.109375" defaultRowHeight="15.6"/>
  <cols>
    <col min="1" max="45" width="3.5546875" style="140" customWidth="1"/>
    <col min="46" max="16384" width="9.109375" style="140"/>
  </cols>
  <sheetData>
    <row r="1" spans="1:45" s="141" customFormat="1" ht="12.75" customHeight="1">
      <c r="A1" s="537" t="s">
        <v>873</v>
      </c>
      <c r="B1" s="538"/>
      <c r="C1" s="538"/>
      <c r="D1" s="538"/>
      <c r="E1" s="539"/>
      <c r="F1" s="543" t="s">
        <v>937</v>
      </c>
      <c r="G1" s="538"/>
      <c r="H1" s="538"/>
      <c r="I1" s="538"/>
      <c r="J1" s="538"/>
      <c r="K1" s="539"/>
      <c r="L1" s="462" t="s">
        <v>875</v>
      </c>
      <c r="M1" s="462"/>
      <c r="N1" s="462"/>
      <c r="O1" s="462"/>
      <c r="P1" s="462"/>
      <c r="Q1" s="463" t="s">
        <v>938</v>
      </c>
      <c r="R1" s="463"/>
      <c r="S1" s="463"/>
      <c r="T1" s="463"/>
      <c r="U1" s="463"/>
      <c r="V1" s="463"/>
      <c r="W1" s="463"/>
      <c r="X1" s="463"/>
      <c r="Y1" s="463"/>
      <c r="Z1" s="463"/>
      <c r="AA1" s="463"/>
      <c r="AB1" s="463"/>
      <c r="AC1" s="463"/>
      <c r="AD1" s="464" t="s">
        <v>810</v>
      </c>
      <c r="AE1" s="464"/>
      <c r="AF1" s="464"/>
      <c r="AG1" s="464"/>
      <c r="AH1" s="464"/>
      <c r="AI1" s="464"/>
      <c r="AJ1" s="464"/>
      <c r="AK1" s="464"/>
      <c r="AL1" s="464"/>
      <c r="AM1" s="464"/>
      <c r="AN1" s="464"/>
      <c r="AO1" s="464"/>
      <c r="AP1" s="464"/>
      <c r="AQ1" s="464"/>
      <c r="AR1" s="464"/>
      <c r="AS1" s="465"/>
    </row>
    <row r="2" spans="1:45" s="141" customFormat="1" ht="13.8">
      <c r="A2" s="540"/>
      <c r="B2" s="541"/>
      <c r="C2" s="541"/>
      <c r="D2" s="541"/>
      <c r="E2" s="542"/>
      <c r="F2" s="544"/>
      <c r="G2" s="545"/>
      <c r="H2" s="545"/>
      <c r="I2" s="545"/>
      <c r="J2" s="545"/>
      <c r="K2" s="546"/>
      <c r="L2" s="372"/>
      <c r="M2" s="372"/>
      <c r="N2" s="372"/>
      <c r="O2" s="372"/>
      <c r="P2" s="372"/>
      <c r="Q2" s="373"/>
      <c r="R2" s="373"/>
      <c r="S2" s="373"/>
      <c r="T2" s="373"/>
      <c r="U2" s="373"/>
      <c r="V2" s="373"/>
      <c r="W2" s="373"/>
      <c r="X2" s="373"/>
      <c r="Y2" s="373"/>
      <c r="Z2" s="373"/>
      <c r="AA2" s="373"/>
      <c r="AB2" s="373"/>
      <c r="AC2" s="373"/>
      <c r="AD2" s="142">
        <v>1</v>
      </c>
      <c r="AE2" s="142">
        <v>2</v>
      </c>
      <c r="AF2" s="142">
        <v>3</v>
      </c>
      <c r="AG2" s="142">
        <v>4</v>
      </c>
      <c r="AH2" s="142">
        <v>5</v>
      </c>
      <c r="AI2" s="142">
        <v>6</v>
      </c>
      <c r="AJ2" s="142">
        <v>7</v>
      </c>
      <c r="AK2" s="142">
        <v>8</v>
      </c>
      <c r="AL2" s="142">
        <v>9</v>
      </c>
      <c r="AM2" s="142">
        <v>10</v>
      </c>
      <c r="AN2" s="142">
        <v>11</v>
      </c>
      <c r="AO2" s="142">
        <v>12</v>
      </c>
      <c r="AP2" s="142">
        <v>13</v>
      </c>
      <c r="AQ2" s="142">
        <v>14</v>
      </c>
      <c r="AR2" s="142">
        <v>15</v>
      </c>
      <c r="AS2" s="143">
        <v>16</v>
      </c>
    </row>
    <row r="3" spans="1:45" s="141" customFormat="1" ht="13.8">
      <c r="A3" s="164" t="s">
        <v>877</v>
      </c>
      <c r="B3" s="165" t="s">
        <v>878</v>
      </c>
      <c r="C3" s="165" t="s">
        <v>879</v>
      </c>
      <c r="D3" s="165" t="s">
        <v>880</v>
      </c>
      <c r="E3" s="165" t="s">
        <v>881</v>
      </c>
      <c r="F3" s="547"/>
      <c r="G3" s="541"/>
      <c r="H3" s="541"/>
      <c r="I3" s="541"/>
      <c r="J3" s="541"/>
      <c r="K3" s="542"/>
      <c r="L3" s="372"/>
      <c r="M3" s="372"/>
      <c r="N3" s="372"/>
      <c r="O3" s="372"/>
      <c r="P3" s="372"/>
      <c r="Q3" s="373"/>
      <c r="R3" s="373"/>
      <c r="S3" s="373"/>
      <c r="T3" s="373"/>
      <c r="U3" s="373"/>
      <c r="V3" s="373"/>
      <c r="W3" s="373"/>
      <c r="X3" s="373"/>
      <c r="Y3" s="373"/>
      <c r="Z3" s="373"/>
      <c r="AA3" s="373"/>
      <c r="AB3" s="373"/>
      <c r="AC3" s="373"/>
      <c r="AD3" s="144">
        <v>17</v>
      </c>
      <c r="AE3" s="144">
        <v>18</v>
      </c>
      <c r="AF3" s="144">
        <v>19</v>
      </c>
      <c r="AG3" s="144">
        <v>20</v>
      </c>
      <c r="AH3" s="144">
        <v>21</v>
      </c>
      <c r="AI3" s="144">
        <v>22</v>
      </c>
      <c r="AJ3" s="144">
        <v>23</v>
      </c>
      <c r="AK3" s="144">
        <v>24</v>
      </c>
      <c r="AL3" s="144">
        <v>25</v>
      </c>
      <c r="AM3" s="144">
        <v>26</v>
      </c>
      <c r="AN3" s="144">
        <v>27</v>
      </c>
      <c r="AO3" s="144">
        <v>28</v>
      </c>
      <c r="AP3" s="144">
        <v>29</v>
      </c>
      <c r="AQ3" s="144">
        <v>30</v>
      </c>
      <c r="AR3" s="144">
        <v>31</v>
      </c>
      <c r="AS3" s="145"/>
    </row>
    <row r="4" spans="1:45" s="141" customFormat="1" ht="12" customHeight="1">
      <c r="A4" s="404"/>
      <c r="B4" s="589"/>
      <c r="C4" s="468" t="s">
        <v>882</v>
      </c>
      <c r="D4" s="589"/>
      <c r="E4" s="589"/>
      <c r="F4" s="500" t="s">
        <v>925</v>
      </c>
      <c r="G4" s="501"/>
      <c r="H4" s="501"/>
      <c r="I4" s="501"/>
      <c r="J4" s="501"/>
      <c r="K4" s="502"/>
      <c r="L4" s="482" t="s">
        <v>939</v>
      </c>
      <c r="M4" s="483"/>
      <c r="N4" s="483"/>
      <c r="O4" s="483"/>
      <c r="P4" s="484"/>
      <c r="Q4" s="482" t="s">
        <v>885</v>
      </c>
      <c r="R4" s="483"/>
      <c r="S4" s="483"/>
      <c r="T4" s="483"/>
      <c r="U4" s="483"/>
      <c r="V4" s="483"/>
      <c r="W4" s="483"/>
      <c r="X4" s="483"/>
      <c r="Y4" s="483"/>
      <c r="Z4" s="483"/>
      <c r="AA4" s="483"/>
      <c r="AB4" s="483"/>
      <c r="AC4" s="484"/>
      <c r="AD4" s="142"/>
      <c r="AE4" s="142"/>
      <c r="AF4" s="142"/>
      <c r="AG4" s="142"/>
      <c r="AH4" s="142"/>
      <c r="AI4" s="142"/>
      <c r="AJ4" s="142"/>
      <c r="AK4" s="142"/>
      <c r="AL4" s="142"/>
      <c r="AM4" s="142"/>
      <c r="AN4" s="142"/>
      <c r="AO4" s="142"/>
      <c r="AP4" s="142"/>
      <c r="AQ4" s="142"/>
      <c r="AR4" s="142"/>
      <c r="AS4" s="143"/>
    </row>
    <row r="5" spans="1:45" s="141" customFormat="1" ht="12" customHeight="1">
      <c r="A5" s="404"/>
      <c r="B5" s="589"/>
      <c r="C5" s="499"/>
      <c r="D5" s="589"/>
      <c r="E5" s="589"/>
      <c r="F5" s="503"/>
      <c r="G5" s="504"/>
      <c r="H5" s="504"/>
      <c r="I5" s="504"/>
      <c r="J5" s="504"/>
      <c r="K5" s="505"/>
      <c r="L5" s="509" t="s">
        <v>887</v>
      </c>
      <c r="M5" s="510"/>
      <c r="N5" s="510"/>
      <c r="O5" s="510"/>
      <c r="P5" s="511"/>
      <c r="Q5" s="614" t="s">
        <v>940</v>
      </c>
      <c r="R5" s="615"/>
      <c r="S5" s="615"/>
      <c r="T5" s="615"/>
      <c r="U5" s="615"/>
      <c r="V5" s="615"/>
      <c r="W5" s="615"/>
      <c r="X5" s="615"/>
      <c r="Y5" s="615"/>
      <c r="Z5" s="615"/>
      <c r="AA5" s="615"/>
      <c r="AB5" s="615"/>
      <c r="AC5" s="616"/>
      <c r="AD5" s="144"/>
      <c r="AE5" s="144"/>
      <c r="AF5" s="144"/>
      <c r="AG5" s="144"/>
      <c r="AH5" s="144"/>
      <c r="AI5" s="144"/>
      <c r="AJ5" s="144"/>
      <c r="AK5" s="144"/>
      <c r="AL5" s="144"/>
      <c r="AM5" s="144"/>
      <c r="AN5" s="144"/>
      <c r="AO5" s="144"/>
      <c r="AP5" s="144"/>
      <c r="AQ5" s="144"/>
      <c r="AR5" s="144"/>
      <c r="AS5" s="145"/>
    </row>
    <row r="6" spans="1:45" s="141" customFormat="1" ht="12" customHeight="1">
      <c r="A6" s="404"/>
      <c r="B6" s="589"/>
      <c r="C6" s="468" t="s">
        <v>882</v>
      </c>
      <c r="D6" s="589"/>
      <c r="E6" s="589"/>
      <c r="F6" s="470" t="s">
        <v>930</v>
      </c>
      <c r="G6" s="471"/>
      <c r="H6" s="471"/>
      <c r="I6" s="471"/>
      <c r="J6" s="471"/>
      <c r="K6" s="472"/>
      <c r="L6" s="482" t="s">
        <v>941</v>
      </c>
      <c r="M6" s="483"/>
      <c r="N6" s="483"/>
      <c r="O6" s="483"/>
      <c r="P6" s="484"/>
      <c r="Q6" s="482" t="s">
        <v>942</v>
      </c>
      <c r="R6" s="483"/>
      <c r="S6" s="483"/>
      <c r="T6" s="483"/>
      <c r="U6" s="483"/>
      <c r="V6" s="483"/>
      <c r="W6" s="483"/>
      <c r="X6" s="483"/>
      <c r="Y6" s="483"/>
      <c r="Z6" s="483"/>
      <c r="AA6" s="483"/>
      <c r="AB6" s="483"/>
      <c r="AC6" s="484"/>
      <c r="AD6" s="142"/>
      <c r="AE6" s="142"/>
      <c r="AF6" s="142"/>
      <c r="AG6" s="142"/>
      <c r="AH6" s="142"/>
      <c r="AI6" s="142"/>
      <c r="AJ6" s="142"/>
      <c r="AK6" s="142"/>
      <c r="AL6" s="142"/>
      <c r="AM6" s="142"/>
      <c r="AN6" s="142"/>
      <c r="AO6" s="142"/>
      <c r="AP6" s="142"/>
      <c r="AQ6" s="142"/>
      <c r="AR6" s="142"/>
      <c r="AS6" s="143"/>
    </row>
    <row r="7" spans="1:45" s="141" customFormat="1" ht="12" customHeight="1">
      <c r="A7" s="404"/>
      <c r="B7" s="589"/>
      <c r="C7" s="499"/>
      <c r="D7" s="589"/>
      <c r="E7" s="589"/>
      <c r="F7" s="611"/>
      <c r="G7" s="612"/>
      <c r="H7" s="612"/>
      <c r="I7" s="612"/>
      <c r="J7" s="612"/>
      <c r="K7" s="613"/>
      <c r="L7" s="506" t="s">
        <v>943</v>
      </c>
      <c r="M7" s="507"/>
      <c r="N7" s="507"/>
      <c r="O7" s="507"/>
      <c r="P7" s="508"/>
      <c r="Q7" s="614" t="s">
        <v>944</v>
      </c>
      <c r="R7" s="615"/>
      <c r="S7" s="615"/>
      <c r="T7" s="615"/>
      <c r="U7" s="615"/>
      <c r="V7" s="615"/>
      <c r="W7" s="615"/>
      <c r="X7" s="615"/>
      <c r="Y7" s="615"/>
      <c r="Z7" s="615"/>
      <c r="AA7" s="615"/>
      <c r="AB7" s="615"/>
      <c r="AC7" s="616"/>
      <c r="AD7" s="144"/>
      <c r="AE7" s="144"/>
      <c r="AF7" s="144"/>
      <c r="AG7" s="144"/>
      <c r="AH7" s="144"/>
      <c r="AI7" s="144"/>
      <c r="AJ7" s="144"/>
      <c r="AK7" s="144"/>
      <c r="AL7" s="144"/>
      <c r="AM7" s="144"/>
      <c r="AN7" s="144"/>
      <c r="AO7" s="144"/>
      <c r="AP7" s="144"/>
      <c r="AQ7" s="144"/>
      <c r="AR7" s="144"/>
      <c r="AS7" s="145"/>
    </row>
    <row r="8" spans="1:45" s="141" customFormat="1" ht="12" customHeight="1">
      <c r="A8" s="404"/>
      <c r="B8" s="466"/>
      <c r="C8" s="589"/>
      <c r="D8" s="589"/>
      <c r="E8" s="589"/>
      <c r="F8" s="597"/>
      <c r="G8" s="597"/>
      <c r="H8" s="597"/>
      <c r="I8" s="597"/>
      <c r="J8" s="597"/>
      <c r="K8" s="597"/>
      <c r="L8" s="602"/>
      <c r="M8" s="603"/>
      <c r="N8" s="603"/>
      <c r="O8" s="603"/>
      <c r="P8" s="604"/>
      <c r="Q8" s="586"/>
      <c r="R8" s="586"/>
      <c r="S8" s="586"/>
      <c r="T8" s="586"/>
      <c r="U8" s="586"/>
      <c r="V8" s="586"/>
      <c r="W8" s="586"/>
      <c r="X8" s="586"/>
      <c r="Y8" s="586"/>
      <c r="Z8" s="586"/>
      <c r="AA8" s="586"/>
      <c r="AB8" s="586"/>
      <c r="AC8" s="586"/>
      <c r="AD8" s="142"/>
      <c r="AE8" s="142"/>
      <c r="AF8" s="142"/>
      <c r="AG8" s="142"/>
      <c r="AH8" s="142"/>
      <c r="AI8" s="142"/>
      <c r="AJ8" s="142"/>
      <c r="AK8" s="142"/>
      <c r="AL8" s="142"/>
      <c r="AM8" s="142"/>
      <c r="AN8" s="142"/>
      <c r="AO8" s="142"/>
      <c r="AP8" s="142"/>
      <c r="AQ8" s="142"/>
      <c r="AR8" s="142"/>
      <c r="AS8" s="143"/>
    </row>
    <row r="9" spans="1:45" s="141" customFormat="1" ht="12" customHeight="1">
      <c r="A9" s="404"/>
      <c r="B9" s="498"/>
      <c r="C9" s="589"/>
      <c r="D9" s="589"/>
      <c r="E9" s="589"/>
      <c r="F9" s="597"/>
      <c r="G9" s="597"/>
      <c r="H9" s="597"/>
      <c r="I9" s="597"/>
      <c r="J9" s="597"/>
      <c r="K9" s="597"/>
      <c r="L9" s="605"/>
      <c r="M9" s="606"/>
      <c r="N9" s="606"/>
      <c r="O9" s="606"/>
      <c r="P9" s="607"/>
      <c r="Q9" s="586"/>
      <c r="R9" s="586"/>
      <c r="S9" s="586"/>
      <c r="T9" s="586"/>
      <c r="U9" s="586"/>
      <c r="V9" s="586"/>
      <c r="W9" s="586"/>
      <c r="X9" s="586"/>
      <c r="Y9" s="586"/>
      <c r="Z9" s="586"/>
      <c r="AA9" s="586"/>
      <c r="AB9" s="586"/>
      <c r="AC9" s="586"/>
      <c r="AD9" s="144"/>
      <c r="AE9" s="144"/>
      <c r="AF9" s="144"/>
      <c r="AG9" s="144"/>
      <c r="AH9" s="144"/>
      <c r="AI9" s="144"/>
      <c r="AJ9" s="144"/>
      <c r="AK9" s="144"/>
      <c r="AL9" s="144"/>
      <c r="AM9" s="144"/>
      <c r="AN9" s="144"/>
      <c r="AO9" s="144"/>
      <c r="AP9" s="144"/>
      <c r="AQ9" s="144"/>
      <c r="AR9" s="144"/>
      <c r="AS9" s="145"/>
    </row>
    <row r="10" spans="1:45" s="141" customFormat="1" ht="12" customHeight="1">
      <c r="A10" s="404"/>
      <c r="B10" s="466"/>
      <c r="C10" s="589"/>
      <c r="D10" s="589"/>
      <c r="E10" s="589"/>
      <c r="F10" s="608"/>
      <c r="G10" s="609"/>
      <c r="H10" s="609"/>
      <c r="I10" s="609"/>
      <c r="J10" s="609"/>
      <c r="K10" s="610"/>
      <c r="L10" s="602"/>
      <c r="M10" s="603"/>
      <c r="N10" s="603"/>
      <c r="O10" s="603"/>
      <c r="P10" s="604"/>
      <c r="Q10" s="586"/>
      <c r="R10" s="586"/>
      <c r="S10" s="586"/>
      <c r="T10" s="586"/>
      <c r="U10" s="586"/>
      <c r="V10" s="586"/>
      <c r="W10" s="586"/>
      <c r="X10" s="586"/>
      <c r="Y10" s="586"/>
      <c r="Z10" s="586"/>
      <c r="AA10" s="586"/>
      <c r="AB10" s="586"/>
      <c r="AC10" s="586"/>
      <c r="AD10" s="142"/>
      <c r="AE10" s="142"/>
      <c r="AF10" s="142"/>
      <c r="AG10" s="142"/>
      <c r="AH10" s="142"/>
      <c r="AI10" s="142"/>
      <c r="AJ10" s="142"/>
      <c r="AK10" s="142"/>
      <c r="AL10" s="142"/>
      <c r="AM10" s="142"/>
      <c r="AN10" s="142"/>
      <c r="AO10" s="142"/>
      <c r="AP10" s="142"/>
      <c r="AQ10" s="142"/>
      <c r="AR10" s="142"/>
      <c r="AS10" s="143"/>
    </row>
    <row r="11" spans="1:45" s="141" customFormat="1" ht="12" customHeight="1">
      <c r="A11" s="404"/>
      <c r="B11" s="498"/>
      <c r="C11" s="589"/>
      <c r="D11" s="589"/>
      <c r="E11" s="589"/>
      <c r="F11" s="599"/>
      <c r="G11" s="600"/>
      <c r="H11" s="600"/>
      <c r="I11" s="600"/>
      <c r="J11" s="600"/>
      <c r="K11" s="601"/>
      <c r="L11" s="605"/>
      <c r="M11" s="606"/>
      <c r="N11" s="606"/>
      <c r="O11" s="606"/>
      <c r="P11" s="607"/>
      <c r="Q11" s="586"/>
      <c r="R11" s="586"/>
      <c r="S11" s="586"/>
      <c r="T11" s="586"/>
      <c r="U11" s="586"/>
      <c r="V11" s="586"/>
      <c r="W11" s="586"/>
      <c r="X11" s="586"/>
      <c r="Y11" s="586"/>
      <c r="Z11" s="586"/>
      <c r="AA11" s="586"/>
      <c r="AB11" s="586"/>
      <c r="AC11" s="586"/>
      <c r="AD11" s="144"/>
      <c r="AE11" s="144"/>
      <c r="AF11" s="144"/>
      <c r="AG11" s="144"/>
      <c r="AH11" s="144"/>
      <c r="AI11" s="144"/>
      <c r="AJ11" s="144"/>
      <c r="AK11" s="144"/>
      <c r="AL11" s="144"/>
      <c r="AM11" s="144"/>
      <c r="AN11" s="144"/>
      <c r="AO11" s="144"/>
      <c r="AP11" s="144"/>
      <c r="AQ11" s="144"/>
      <c r="AR11" s="144"/>
      <c r="AS11" s="145"/>
    </row>
    <row r="12" spans="1:45" s="141" customFormat="1" ht="12" customHeight="1">
      <c r="A12" s="404"/>
      <c r="B12" s="466"/>
      <c r="C12" s="589"/>
      <c r="D12" s="589"/>
      <c r="E12" s="589"/>
      <c r="F12" s="597"/>
      <c r="G12" s="597"/>
      <c r="H12" s="597"/>
      <c r="I12" s="597"/>
      <c r="J12" s="597"/>
      <c r="K12" s="597"/>
      <c r="L12" s="485"/>
      <c r="M12" s="486"/>
      <c r="N12" s="486"/>
      <c r="O12" s="486"/>
      <c r="P12" s="487"/>
      <c r="Q12" s="586"/>
      <c r="R12" s="586"/>
      <c r="S12" s="586"/>
      <c r="T12" s="586"/>
      <c r="U12" s="586"/>
      <c r="V12" s="586"/>
      <c r="W12" s="586"/>
      <c r="X12" s="586"/>
      <c r="Y12" s="586"/>
      <c r="Z12" s="586"/>
      <c r="AA12" s="586"/>
      <c r="AB12" s="586"/>
      <c r="AC12" s="586"/>
      <c r="AD12" s="142"/>
      <c r="AE12" s="142"/>
      <c r="AF12" s="142"/>
      <c r="AG12" s="142"/>
      <c r="AH12" s="142"/>
      <c r="AI12" s="142"/>
      <c r="AJ12" s="142"/>
      <c r="AK12" s="142"/>
      <c r="AL12" s="142"/>
      <c r="AM12" s="142"/>
      <c r="AN12" s="142"/>
      <c r="AO12" s="142"/>
      <c r="AP12" s="142"/>
      <c r="AQ12" s="142"/>
      <c r="AR12" s="142"/>
      <c r="AS12" s="143"/>
    </row>
    <row r="13" spans="1:45" s="141" customFormat="1" ht="12" customHeight="1">
      <c r="A13" s="404"/>
      <c r="B13" s="498"/>
      <c r="C13" s="589"/>
      <c r="D13" s="589"/>
      <c r="E13" s="589"/>
      <c r="F13" s="597"/>
      <c r="G13" s="597"/>
      <c r="H13" s="597"/>
      <c r="I13" s="597"/>
      <c r="J13" s="597"/>
      <c r="K13" s="597"/>
      <c r="L13" s="509"/>
      <c r="M13" s="510"/>
      <c r="N13" s="510"/>
      <c r="O13" s="510"/>
      <c r="P13" s="511"/>
      <c r="Q13" s="586"/>
      <c r="R13" s="586"/>
      <c r="S13" s="586"/>
      <c r="T13" s="586"/>
      <c r="U13" s="586"/>
      <c r="V13" s="586"/>
      <c r="W13" s="586"/>
      <c r="X13" s="586"/>
      <c r="Y13" s="586"/>
      <c r="Z13" s="586"/>
      <c r="AA13" s="586"/>
      <c r="AB13" s="586"/>
      <c r="AC13" s="586"/>
      <c r="AD13" s="144"/>
      <c r="AE13" s="144"/>
      <c r="AF13" s="144"/>
      <c r="AG13" s="144"/>
      <c r="AH13" s="144"/>
      <c r="AI13" s="144"/>
      <c r="AJ13" s="144"/>
      <c r="AK13" s="144"/>
      <c r="AL13" s="144"/>
      <c r="AM13" s="144"/>
      <c r="AN13" s="144"/>
      <c r="AO13" s="144"/>
      <c r="AP13" s="144"/>
      <c r="AQ13" s="144"/>
      <c r="AR13" s="144"/>
      <c r="AS13" s="145"/>
    </row>
    <row r="14" spans="1:45" s="141" customFormat="1" ht="12" customHeight="1">
      <c r="A14" s="404"/>
      <c r="B14" s="589"/>
      <c r="C14" s="589"/>
      <c r="D14" s="589"/>
      <c r="E14" s="589"/>
      <c r="F14" s="383"/>
      <c r="G14" s="384"/>
      <c r="H14" s="384"/>
      <c r="I14" s="384"/>
      <c r="J14" s="384"/>
      <c r="K14" s="385"/>
      <c r="L14" s="485"/>
      <c r="M14" s="486"/>
      <c r="N14" s="486"/>
      <c r="O14" s="486"/>
      <c r="P14" s="487"/>
      <c r="Q14" s="586"/>
      <c r="R14" s="586"/>
      <c r="S14" s="586"/>
      <c r="T14" s="586"/>
      <c r="U14" s="586"/>
      <c r="V14" s="586"/>
      <c r="W14" s="586"/>
      <c r="X14" s="586"/>
      <c r="Y14" s="586"/>
      <c r="Z14" s="586"/>
      <c r="AA14" s="586"/>
      <c r="AB14" s="586"/>
      <c r="AC14" s="586"/>
      <c r="AD14" s="142"/>
      <c r="AE14" s="142"/>
      <c r="AF14" s="142"/>
      <c r="AG14" s="142"/>
      <c r="AH14" s="142"/>
      <c r="AI14" s="142"/>
      <c r="AJ14" s="142"/>
      <c r="AK14" s="142"/>
      <c r="AL14" s="142"/>
      <c r="AM14" s="142"/>
      <c r="AN14" s="142"/>
      <c r="AO14" s="142"/>
      <c r="AP14" s="142"/>
      <c r="AQ14" s="142"/>
      <c r="AR14" s="142"/>
      <c r="AS14" s="143"/>
    </row>
    <row r="15" spans="1:45" s="141" customFormat="1" ht="12" customHeight="1">
      <c r="A15" s="404"/>
      <c r="B15" s="589"/>
      <c r="C15" s="589"/>
      <c r="D15" s="589"/>
      <c r="E15" s="589"/>
      <c r="F15" s="599"/>
      <c r="G15" s="600"/>
      <c r="H15" s="600"/>
      <c r="I15" s="600"/>
      <c r="J15" s="600"/>
      <c r="K15" s="601"/>
      <c r="L15" s="509"/>
      <c r="M15" s="510"/>
      <c r="N15" s="510"/>
      <c r="O15" s="510"/>
      <c r="P15" s="511"/>
      <c r="Q15" s="586"/>
      <c r="R15" s="586"/>
      <c r="S15" s="586"/>
      <c r="T15" s="586"/>
      <c r="U15" s="586"/>
      <c r="V15" s="586"/>
      <c r="W15" s="586"/>
      <c r="X15" s="586"/>
      <c r="Y15" s="586"/>
      <c r="Z15" s="586"/>
      <c r="AA15" s="586"/>
      <c r="AB15" s="586"/>
      <c r="AC15" s="586"/>
      <c r="AD15" s="144"/>
      <c r="AE15" s="144"/>
      <c r="AF15" s="144"/>
      <c r="AG15" s="144"/>
      <c r="AH15" s="144"/>
      <c r="AI15" s="144"/>
      <c r="AJ15" s="144"/>
      <c r="AK15" s="144"/>
      <c r="AL15" s="144"/>
      <c r="AM15" s="144"/>
      <c r="AN15" s="144"/>
      <c r="AO15" s="144"/>
      <c r="AP15" s="144"/>
      <c r="AQ15" s="144"/>
      <c r="AR15" s="144"/>
      <c r="AS15" s="145"/>
    </row>
    <row r="16" spans="1:45" s="141" customFormat="1" ht="12" customHeight="1">
      <c r="A16" s="404"/>
      <c r="B16" s="589"/>
      <c r="C16" s="589"/>
      <c r="D16" s="589"/>
      <c r="E16" s="589"/>
      <c r="F16" s="597"/>
      <c r="G16" s="597"/>
      <c r="H16" s="597"/>
      <c r="I16" s="597"/>
      <c r="J16" s="597"/>
      <c r="K16" s="597"/>
      <c r="L16" s="485"/>
      <c r="M16" s="486"/>
      <c r="N16" s="486"/>
      <c r="O16" s="486"/>
      <c r="P16" s="487"/>
      <c r="Q16" s="598"/>
      <c r="R16" s="598"/>
      <c r="S16" s="598"/>
      <c r="T16" s="598"/>
      <c r="U16" s="598"/>
      <c r="V16" s="598"/>
      <c r="W16" s="598"/>
      <c r="X16" s="598"/>
      <c r="Y16" s="598"/>
      <c r="Z16" s="598"/>
      <c r="AA16" s="598"/>
      <c r="AB16" s="598"/>
      <c r="AC16" s="598"/>
      <c r="AD16" s="142"/>
      <c r="AE16" s="142"/>
      <c r="AF16" s="142"/>
      <c r="AG16" s="142"/>
      <c r="AH16" s="142"/>
      <c r="AI16" s="142"/>
      <c r="AJ16" s="142"/>
      <c r="AK16" s="142"/>
      <c r="AL16" s="142"/>
      <c r="AM16" s="142"/>
      <c r="AN16" s="142"/>
      <c r="AO16" s="142"/>
      <c r="AP16" s="142"/>
      <c r="AQ16" s="142"/>
      <c r="AR16" s="142"/>
      <c r="AS16" s="143"/>
    </row>
    <row r="17" spans="1:45" s="141" customFormat="1" ht="12" customHeight="1">
      <c r="A17" s="404"/>
      <c r="B17" s="589"/>
      <c r="C17" s="589"/>
      <c r="D17" s="589"/>
      <c r="E17" s="589"/>
      <c r="F17" s="597"/>
      <c r="G17" s="597"/>
      <c r="H17" s="597"/>
      <c r="I17" s="597"/>
      <c r="J17" s="597"/>
      <c r="K17" s="597"/>
      <c r="L17" s="509"/>
      <c r="M17" s="510"/>
      <c r="N17" s="510"/>
      <c r="O17" s="510"/>
      <c r="P17" s="511"/>
      <c r="Q17" s="598"/>
      <c r="R17" s="598"/>
      <c r="S17" s="598"/>
      <c r="T17" s="598"/>
      <c r="U17" s="598"/>
      <c r="V17" s="598"/>
      <c r="W17" s="598"/>
      <c r="X17" s="598"/>
      <c r="Y17" s="598"/>
      <c r="Z17" s="598"/>
      <c r="AA17" s="598"/>
      <c r="AB17" s="598"/>
      <c r="AC17" s="598"/>
      <c r="AD17" s="144"/>
      <c r="AE17" s="144"/>
      <c r="AF17" s="144"/>
      <c r="AG17" s="144"/>
      <c r="AH17" s="144"/>
      <c r="AI17" s="144"/>
      <c r="AJ17" s="144"/>
      <c r="AK17" s="144"/>
      <c r="AL17" s="144"/>
      <c r="AM17" s="144"/>
      <c r="AN17" s="144"/>
      <c r="AO17" s="144"/>
      <c r="AP17" s="144"/>
      <c r="AQ17" s="144"/>
      <c r="AR17" s="144"/>
      <c r="AS17" s="145"/>
    </row>
    <row r="18" spans="1:45" s="141" customFormat="1" ht="12" customHeight="1">
      <c r="A18" s="404"/>
      <c r="B18" s="589"/>
      <c r="C18" s="589"/>
      <c r="D18" s="589"/>
      <c r="E18" s="589"/>
      <c r="F18" s="591"/>
      <c r="G18" s="592"/>
      <c r="H18" s="592"/>
      <c r="I18" s="592"/>
      <c r="J18" s="592"/>
      <c r="K18" s="593"/>
      <c r="L18" s="485"/>
      <c r="M18" s="486"/>
      <c r="N18" s="486"/>
      <c r="O18" s="486"/>
      <c r="P18" s="487"/>
      <c r="Q18" s="586"/>
      <c r="R18" s="586"/>
      <c r="S18" s="586"/>
      <c r="T18" s="586"/>
      <c r="U18" s="586"/>
      <c r="V18" s="586"/>
      <c r="W18" s="586"/>
      <c r="X18" s="586"/>
      <c r="Y18" s="586"/>
      <c r="Z18" s="586"/>
      <c r="AA18" s="586"/>
      <c r="AB18" s="586"/>
      <c r="AC18" s="586"/>
      <c r="AD18" s="142"/>
      <c r="AE18" s="142"/>
      <c r="AF18" s="142"/>
      <c r="AG18" s="142"/>
      <c r="AH18" s="142"/>
      <c r="AI18" s="142"/>
      <c r="AJ18" s="142"/>
      <c r="AK18" s="142"/>
      <c r="AL18" s="142"/>
      <c r="AM18" s="142"/>
      <c r="AN18" s="142"/>
      <c r="AO18" s="142"/>
      <c r="AP18" s="142"/>
      <c r="AQ18" s="142"/>
      <c r="AR18" s="142"/>
      <c r="AS18" s="143"/>
    </row>
    <row r="19" spans="1:45" s="141" customFormat="1" ht="12" customHeight="1">
      <c r="A19" s="404"/>
      <c r="B19" s="589"/>
      <c r="C19" s="589"/>
      <c r="D19" s="589"/>
      <c r="E19" s="589"/>
      <c r="F19" s="389"/>
      <c r="G19" s="390"/>
      <c r="H19" s="390"/>
      <c r="I19" s="390"/>
      <c r="J19" s="390"/>
      <c r="K19" s="391"/>
      <c r="L19" s="509"/>
      <c r="M19" s="510"/>
      <c r="N19" s="510"/>
      <c r="O19" s="510"/>
      <c r="P19" s="511"/>
      <c r="Q19" s="586"/>
      <c r="R19" s="586"/>
      <c r="S19" s="586"/>
      <c r="T19" s="586"/>
      <c r="U19" s="586"/>
      <c r="V19" s="586"/>
      <c r="W19" s="586"/>
      <c r="X19" s="586"/>
      <c r="Y19" s="586"/>
      <c r="Z19" s="586"/>
      <c r="AA19" s="586"/>
      <c r="AB19" s="586"/>
      <c r="AC19" s="586"/>
      <c r="AD19" s="144"/>
      <c r="AE19" s="144"/>
      <c r="AF19" s="144"/>
      <c r="AG19" s="144"/>
      <c r="AH19" s="144"/>
      <c r="AI19" s="144"/>
      <c r="AJ19" s="144"/>
      <c r="AK19" s="144"/>
      <c r="AL19" s="144"/>
      <c r="AM19" s="144"/>
      <c r="AN19" s="144"/>
      <c r="AO19" s="144"/>
      <c r="AP19" s="144"/>
      <c r="AQ19" s="144"/>
      <c r="AR19" s="144"/>
      <c r="AS19" s="145"/>
    </row>
    <row r="20" spans="1:45" s="141" customFormat="1" ht="12" customHeight="1">
      <c r="A20" s="404"/>
      <c r="B20" s="589"/>
      <c r="C20" s="589"/>
      <c r="D20" s="589"/>
      <c r="E20" s="589"/>
      <c r="F20" s="591"/>
      <c r="G20" s="592"/>
      <c r="H20" s="592"/>
      <c r="I20" s="592"/>
      <c r="J20" s="592"/>
      <c r="K20" s="593"/>
      <c r="L20" s="485"/>
      <c r="M20" s="486"/>
      <c r="N20" s="486"/>
      <c r="O20" s="486"/>
      <c r="P20" s="487"/>
      <c r="Q20" s="586"/>
      <c r="R20" s="586"/>
      <c r="S20" s="586"/>
      <c r="T20" s="586"/>
      <c r="U20" s="586"/>
      <c r="V20" s="586"/>
      <c r="W20" s="586"/>
      <c r="X20" s="586"/>
      <c r="Y20" s="586"/>
      <c r="Z20" s="586"/>
      <c r="AA20" s="586"/>
      <c r="AB20" s="586"/>
      <c r="AC20" s="586"/>
      <c r="AD20" s="142"/>
      <c r="AE20" s="142"/>
      <c r="AF20" s="142"/>
      <c r="AG20" s="142"/>
      <c r="AH20" s="142"/>
      <c r="AI20" s="142"/>
      <c r="AJ20" s="142"/>
      <c r="AK20" s="142"/>
      <c r="AL20" s="142"/>
      <c r="AM20" s="142"/>
      <c r="AN20" s="142"/>
      <c r="AO20" s="142"/>
      <c r="AP20" s="142"/>
      <c r="AQ20" s="142"/>
      <c r="AR20" s="142"/>
      <c r="AS20" s="143"/>
    </row>
    <row r="21" spans="1:45" s="141" customFormat="1" ht="12" customHeight="1">
      <c r="A21" s="404"/>
      <c r="B21" s="589"/>
      <c r="C21" s="589"/>
      <c r="D21" s="589"/>
      <c r="E21" s="589"/>
      <c r="F21" s="389"/>
      <c r="G21" s="390"/>
      <c r="H21" s="390"/>
      <c r="I21" s="390"/>
      <c r="J21" s="390"/>
      <c r="K21" s="391"/>
      <c r="L21" s="509"/>
      <c r="M21" s="510"/>
      <c r="N21" s="510"/>
      <c r="O21" s="510"/>
      <c r="P21" s="511"/>
      <c r="Q21" s="586"/>
      <c r="R21" s="586"/>
      <c r="S21" s="586"/>
      <c r="T21" s="586"/>
      <c r="U21" s="586"/>
      <c r="V21" s="586"/>
      <c r="W21" s="586"/>
      <c r="X21" s="586"/>
      <c r="Y21" s="586"/>
      <c r="Z21" s="586"/>
      <c r="AA21" s="586"/>
      <c r="AB21" s="586"/>
      <c r="AC21" s="586"/>
      <c r="AD21" s="144"/>
      <c r="AE21" s="144"/>
      <c r="AF21" s="144"/>
      <c r="AG21" s="144"/>
      <c r="AH21" s="144"/>
      <c r="AI21" s="144"/>
      <c r="AJ21" s="144"/>
      <c r="AK21" s="144"/>
      <c r="AL21" s="144"/>
      <c r="AM21" s="144"/>
      <c r="AN21" s="144"/>
      <c r="AO21" s="144"/>
      <c r="AP21" s="144"/>
      <c r="AQ21" s="144"/>
      <c r="AR21" s="144"/>
      <c r="AS21" s="145"/>
    </row>
    <row r="22" spans="1:45" s="141" customFormat="1" ht="12" customHeight="1">
      <c r="A22" s="404"/>
      <c r="B22" s="589"/>
      <c r="C22" s="589"/>
      <c r="D22" s="589"/>
      <c r="E22" s="589"/>
      <c r="F22" s="591"/>
      <c r="G22" s="592"/>
      <c r="H22" s="592"/>
      <c r="I22" s="592"/>
      <c r="J22" s="592"/>
      <c r="K22" s="593"/>
      <c r="L22" s="485"/>
      <c r="M22" s="486"/>
      <c r="N22" s="486"/>
      <c r="O22" s="486"/>
      <c r="P22" s="487"/>
      <c r="Q22" s="586"/>
      <c r="R22" s="586"/>
      <c r="S22" s="586"/>
      <c r="T22" s="586"/>
      <c r="U22" s="586"/>
      <c r="V22" s="586"/>
      <c r="W22" s="586"/>
      <c r="X22" s="586"/>
      <c r="Y22" s="586"/>
      <c r="Z22" s="586"/>
      <c r="AA22" s="586"/>
      <c r="AB22" s="586"/>
      <c r="AC22" s="586"/>
      <c r="AD22" s="142"/>
      <c r="AE22" s="142"/>
      <c r="AF22" s="142"/>
      <c r="AG22" s="142"/>
      <c r="AH22" s="142"/>
      <c r="AI22" s="142"/>
      <c r="AJ22" s="142"/>
      <c r="AK22" s="142"/>
      <c r="AL22" s="142"/>
      <c r="AM22" s="142"/>
      <c r="AN22" s="142"/>
      <c r="AO22" s="142"/>
      <c r="AP22" s="142"/>
      <c r="AQ22" s="142"/>
      <c r="AR22" s="142"/>
      <c r="AS22" s="143"/>
    </row>
    <row r="23" spans="1:45" s="141" customFormat="1" ht="12" customHeight="1">
      <c r="A23" s="404"/>
      <c r="B23" s="589"/>
      <c r="C23" s="589"/>
      <c r="D23" s="589"/>
      <c r="E23" s="589"/>
      <c r="F23" s="389"/>
      <c r="G23" s="390"/>
      <c r="H23" s="390"/>
      <c r="I23" s="390"/>
      <c r="J23" s="390"/>
      <c r="K23" s="391"/>
      <c r="L23" s="509"/>
      <c r="M23" s="510"/>
      <c r="N23" s="510"/>
      <c r="O23" s="510"/>
      <c r="P23" s="511"/>
      <c r="Q23" s="586"/>
      <c r="R23" s="586"/>
      <c r="S23" s="586"/>
      <c r="T23" s="586"/>
      <c r="U23" s="586"/>
      <c r="V23" s="586"/>
      <c r="W23" s="586"/>
      <c r="X23" s="586"/>
      <c r="Y23" s="586"/>
      <c r="Z23" s="586"/>
      <c r="AA23" s="586"/>
      <c r="AB23" s="586"/>
      <c r="AC23" s="586"/>
      <c r="AD23" s="144"/>
      <c r="AE23" s="144"/>
      <c r="AF23" s="144"/>
      <c r="AG23" s="144"/>
      <c r="AH23" s="144"/>
      <c r="AI23" s="144"/>
      <c r="AJ23" s="144"/>
      <c r="AK23" s="144"/>
      <c r="AL23" s="144"/>
      <c r="AM23" s="144"/>
      <c r="AN23" s="144"/>
      <c r="AO23" s="144"/>
      <c r="AP23" s="144"/>
      <c r="AQ23" s="144"/>
      <c r="AR23" s="144"/>
      <c r="AS23" s="145"/>
    </row>
    <row r="24" spans="1:45" s="141" customFormat="1" ht="12" customHeight="1">
      <c r="A24" s="404"/>
      <c r="B24" s="589"/>
      <c r="C24" s="589"/>
      <c r="D24" s="589"/>
      <c r="E24" s="589"/>
      <c r="F24" s="591"/>
      <c r="G24" s="592"/>
      <c r="H24" s="592"/>
      <c r="I24" s="592"/>
      <c r="J24" s="592"/>
      <c r="K24" s="593"/>
      <c r="L24" s="485"/>
      <c r="M24" s="486"/>
      <c r="N24" s="486"/>
      <c r="O24" s="486"/>
      <c r="P24" s="487"/>
      <c r="Q24" s="586"/>
      <c r="R24" s="586"/>
      <c r="S24" s="586"/>
      <c r="T24" s="586"/>
      <c r="U24" s="586"/>
      <c r="V24" s="586"/>
      <c r="W24" s="586"/>
      <c r="X24" s="586"/>
      <c r="Y24" s="586"/>
      <c r="Z24" s="586"/>
      <c r="AA24" s="586"/>
      <c r="AB24" s="586"/>
      <c r="AC24" s="586"/>
      <c r="AD24" s="142"/>
      <c r="AE24" s="142"/>
      <c r="AF24" s="142"/>
      <c r="AG24" s="142"/>
      <c r="AH24" s="142"/>
      <c r="AI24" s="142"/>
      <c r="AJ24" s="142"/>
      <c r="AK24" s="142"/>
      <c r="AL24" s="142"/>
      <c r="AM24" s="142"/>
      <c r="AN24" s="142"/>
      <c r="AO24" s="142"/>
      <c r="AP24" s="142"/>
      <c r="AQ24" s="142"/>
      <c r="AR24" s="142"/>
      <c r="AS24" s="143"/>
    </row>
    <row r="25" spans="1:45" s="141" customFormat="1" ht="12" customHeight="1">
      <c r="A25" s="404"/>
      <c r="B25" s="589"/>
      <c r="C25" s="589"/>
      <c r="D25" s="589"/>
      <c r="E25" s="589"/>
      <c r="F25" s="389"/>
      <c r="G25" s="390"/>
      <c r="H25" s="390"/>
      <c r="I25" s="390"/>
      <c r="J25" s="390"/>
      <c r="K25" s="391"/>
      <c r="L25" s="509"/>
      <c r="M25" s="510"/>
      <c r="N25" s="510"/>
      <c r="O25" s="510"/>
      <c r="P25" s="511"/>
      <c r="Q25" s="586"/>
      <c r="R25" s="586"/>
      <c r="S25" s="586"/>
      <c r="T25" s="586"/>
      <c r="U25" s="586"/>
      <c r="V25" s="586"/>
      <c r="W25" s="586"/>
      <c r="X25" s="586"/>
      <c r="Y25" s="586"/>
      <c r="Z25" s="586"/>
      <c r="AA25" s="586"/>
      <c r="AB25" s="586"/>
      <c r="AC25" s="586"/>
      <c r="AD25" s="144"/>
      <c r="AE25" s="144"/>
      <c r="AF25" s="144"/>
      <c r="AG25" s="144"/>
      <c r="AH25" s="144"/>
      <c r="AI25" s="144"/>
      <c r="AJ25" s="144"/>
      <c r="AK25" s="144"/>
      <c r="AL25" s="144"/>
      <c r="AM25" s="144"/>
      <c r="AN25" s="144"/>
      <c r="AO25" s="144"/>
      <c r="AP25" s="144"/>
      <c r="AQ25" s="144"/>
      <c r="AR25" s="144"/>
      <c r="AS25" s="145"/>
    </row>
    <row r="26" spans="1:45" s="141" customFormat="1" ht="12" customHeight="1">
      <c r="A26" s="404"/>
      <c r="B26" s="589"/>
      <c r="C26" s="589"/>
      <c r="D26" s="589"/>
      <c r="E26" s="589"/>
      <c r="F26" s="591"/>
      <c r="G26" s="592"/>
      <c r="H26" s="592"/>
      <c r="I26" s="592"/>
      <c r="J26" s="592"/>
      <c r="K26" s="593"/>
      <c r="L26" s="485"/>
      <c r="M26" s="486"/>
      <c r="N26" s="486"/>
      <c r="O26" s="486"/>
      <c r="P26" s="487"/>
      <c r="Q26" s="586"/>
      <c r="R26" s="586"/>
      <c r="S26" s="586"/>
      <c r="T26" s="586"/>
      <c r="U26" s="586"/>
      <c r="V26" s="586"/>
      <c r="W26" s="586"/>
      <c r="X26" s="586"/>
      <c r="Y26" s="586"/>
      <c r="Z26" s="586"/>
      <c r="AA26" s="586"/>
      <c r="AB26" s="586"/>
      <c r="AC26" s="586"/>
      <c r="AD26" s="142"/>
      <c r="AE26" s="142"/>
      <c r="AF26" s="142"/>
      <c r="AG26" s="142"/>
      <c r="AH26" s="142"/>
      <c r="AI26" s="142"/>
      <c r="AJ26" s="142"/>
      <c r="AK26" s="142"/>
      <c r="AL26" s="142"/>
      <c r="AM26" s="142"/>
      <c r="AN26" s="142"/>
      <c r="AO26" s="142"/>
      <c r="AP26" s="142"/>
      <c r="AQ26" s="142"/>
      <c r="AR26" s="142"/>
      <c r="AS26" s="143"/>
    </row>
    <row r="27" spans="1:45" s="141" customFormat="1" ht="12" customHeight="1">
      <c r="A27" s="404"/>
      <c r="B27" s="589"/>
      <c r="C27" s="589"/>
      <c r="D27" s="589"/>
      <c r="E27" s="589"/>
      <c r="F27" s="389"/>
      <c r="G27" s="390"/>
      <c r="H27" s="390"/>
      <c r="I27" s="390"/>
      <c r="J27" s="390"/>
      <c r="K27" s="391"/>
      <c r="L27" s="509"/>
      <c r="M27" s="510"/>
      <c r="N27" s="510"/>
      <c r="O27" s="510"/>
      <c r="P27" s="511"/>
      <c r="Q27" s="586"/>
      <c r="R27" s="586"/>
      <c r="S27" s="586"/>
      <c r="T27" s="586"/>
      <c r="U27" s="586"/>
      <c r="V27" s="586"/>
      <c r="W27" s="586"/>
      <c r="X27" s="586"/>
      <c r="Y27" s="586"/>
      <c r="Z27" s="586"/>
      <c r="AA27" s="586"/>
      <c r="AB27" s="586"/>
      <c r="AC27" s="586"/>
      <c r="AD27" s="144"/>
      <c r="AE27" s="144"/>
      <c r="AF27" s="144"/>
      <c r="AG27" s="144"/>
      <c r="AH27" s="144"/>
      <c r="AI27" s="144"/>
      <c r="AJ27" s="144"/>
      <c r="AK27" s="144"/>
      <c r="AL27" s="144"/>
      <c r="AM27" s="144"/>
      <c r="AN27" s="144"/>
      <c r="AO27" s="144"/>
      <c r="AP27" s="144"/>
      <c r="AQ27" s="144"/>
      <c r="AR27" s="144"/>
      <c r="AS27" s="145"/>
    </row>
    <row r="28" spans="1:45" s="141" customFormat="1" ht="12" customHeight="1">
      <c r="A28" s="404"/>
      <c r="B28" s="589"/>
      <c r="C28" s="589"/>
      <c r="D28" s="589"/>
      <c r="E28" s="589"/>
      <c r="F28" s="591"/>
      <c r="G28" s="592"/>
      <c r="H28" s="592"/>
      <c r="I28" s="592"/>
      <c r="J28" s="592"/>
      <c r="K28" s="593"/>
      <c r="L28" s="485"/>
      <c r="M28" s="486"/>
      <c r="N28" s="486"/>
      <c r="O28" s="486"/>
      <c r="P28" s="487"/>
      <c r="Q28" s="586"/>
      <c r="R28" s="586"/>
      <c r="S28" s="586"/>
      <c r="T28" s="586"/>
      <c r="U28" s="586"/>
      <c r="V28" s="586"/>
      <c r="W28" s="586"/>
      <c r="X28" s="586"/>
      <c r="Y28" s="586"/>
      <c r="Z28" s="586"/>
      <c r="AA28" s="586"/>
      <c r="AB28" s="586"/>
      <c r="AC28" s="586"/>
      <c r="AD28" s="142"/>
      <c r="AE28" s="142"/>
      <c r="AF28" s="142"/>
      <c r="AG28" s="142"/>
      <c r="AH28" s="142"/>
      <c r="AI28" s="142"/>
      <c r="AJ28" s="142"/>
      <c r="AK28" s="142"/>
      <c r="AL28" s="142"/>
      <c r="AM28" s="142"/>
      <c r="AN28" s="142"/>
      <c r="AO28" s="142"/>
      <c r="AP28" s="142"/>
      <c r="AQ28" s="142"/>
      <c r="AR28" s="142"/>
      <c r="AS28" s="143"/>
    </row>
    <row r="29" spans="1:45" s="141" customFormat="1" ht="12" customHeight="1">
      <c r="A29" s="404"/>
      <c r="B29" s="589"/>
      <c r="C29" s="589"/>
      <c r="D29" s="589"/>
      <c r="E29" s="589"/>
      <c r="F29" s="389"/>
      <c r="G29" s="390"/>
      <c r="H29" s="390"/>
      <c r="I29" s="390"/>
      <c r="J29" s="390"/>
      <c r="K29" s="391"/>
      <c r="L29" s="509"/>
      <c r="M29" s="510"/>
      <c r="N29" s="510"/>
      <c r="O29" s="510"/>
      <c r="P29" s="511"/>
      <c r="Q29" s="586"/>
      <c r="R29" s="586"/>
      <c r="S29" s="586"/>
      <c r="T29" s="586"/>
      <c r="U29" s="586"/>
      <c r="V29" s="586"/>
      <c r="W29" s="586"/>
      <c r="X29" s="586"/>
      <c r="Y29" s="586"/>
      <c r="Z29" s="586"/>
      <c r="AA29" s="586"/>
      <c r="AB29" s="586"/>
      <c r="AC29" s="586"/>
      <c r="AD29" s="144"/>
      <c r="AE29" s="144"/>
      <c r="AF29" s="144"/>
      <c r="AG29" s="144"/>
      <c r="AH29" s="144"/>
      <c r="AI29" s="144"/>
      <c r="AJ29" s="144"/>
      <c r="AK29" s="144"/>
      <c r="AL29" s="144"/>
      <c r="AM29" s="144"/>
      <c r="AN29" s="144"/>
      <c r="AO29" s="144"/>
      <c r="AP29" s="144"/>
      <c r="AQ29" s="144"/>
      <c r="AR29" s="144"/>
      <c r="AS29" s="145"/>
    </row>
    <row r="30" spans="1:45" s="141" customFormat="1" ht="12" customHeight="1">
      <c r="A30" s="404"/>
      <c r="B30" s="589"/>
      <c r="C30" s="589"/>
      <c r="D30" s="589"/>
      <c r="E30" s="589"/>
      <c r="F30" s="591"/>
      <c r="G30" s="592"/>
      <c r="H30" s="592"/>
      <c r="I30" s="592"/>
      <c r="J30" s="592"/>
      <c r="K30" s="593"/>
      <c r="L30" s="485"/>
      <c r="M30" s="486"/>
      <c r="N30" s="486"/>
      <c r="O30" s="486"/>
      <c r="P30" s="487"/>
      <c r="Q30" s="586"/>
      <c r="R30" s="586"/>
      <c r="S30" s="586"/>
      <c r="T30" s="586"/>
      <c r="U30" s="586"/>
      <c r="V30" s="586"/>
      <c r="W30" s="586"/>
      <c r="X30" s="586"/>
      <c r="Y30" s="586"/>
      <c r="Z30" s="586"/>
      <c r="AA30" s="586"/>
      <c r="AB30" s="586"/>
      <c r="AC30" s="586"/>
      <c r="AD30" s="142"/>
      <c r="AE30" s="142"/>
      <c r="AF30" s="142"/>
      <c r="AG30" s="142"/>
      <c r="AH30" s="142"/>
      <c r="AI30" s="142"/>
      <c r="AJ30" s="142"/>
      <c r="AK30" s="142"/>
      <c r="AL30" s="142"/>
      <c r="AM30" s="142"/>
      <c r="AN30" s="142"/>
      <c r="AO30" s="142"/>
      <c r="AP30" s="142"/>
      <c r="AQ30" s="142"/>
      <c r="AR30" s="142"/>
      <c r="AS30" s="143"/>
    </row>
    <row r="31" spans="1:45" s="141" customFormat="1" ht="12" customHeight="1" thickBot="1">
      <c r="A31" s="588"/>
      <c r="B31" s="590"/>
      <c r="C31" s="590"/>
      <c r="D31" s="590"/>
      <c r="E31" s="590"/>
      <c r="F31" s="594"/>
      <c r="G31" s="595"/>
      <c r="H31" s="595"/>
      <c r="I31" s="595"/>
      <c r="J31" s="595"/>
      <c r="K31" s="596"/>
      <c r="L31" s="488"/>
      <c r="M31" s="489"/>
      <c r="N31" s="489"/>
      <c r="O31" s="489"/>
      <c r="P31" s="490"/>
      <c r="Q31" s="587"/>
      <c r="R31" s="587"/>
      <c r="S31" s="587"/>
      <c r="T31" s="587"/>
      <c r="U31" s="587"/>
      <c r="V31" s="587"/>
      <c r="W31" s="587"/>
      <c r="X31" s="587"/>
      <c r="Y31" s="587"/>
      <c r="Z31" s="587"/>
      <c r="AA31" s="587"/>
      <c r="AB31" s="587"/>
      <c r="AC31" s="587"/>
      <c r="AD31" s="146"/>
      <c r="AE31" s="146"/>
      <c r="AF31" s="146"/>
      <c r="AG31" s="146"/>
      <c r="AH31" s="146"/>
      <c r="AI31" s="146"/>
      <c r="AJ31" s="146"/>
      <c r="AK31" s="146"/>
      <c r="AL31" s="146"/>
      <c r="AM31" s="146"/>
      <c r="AN31" s="146"/>
      <c r="AO31" s="146"/>
      <c r="AP31" s="146"/>
      <c r="AQ31" s="146"/>
      <c r="AR31" s="146"/>
      <c r="AS31" s="147"/>
    </row>
    <row r="32" spans="1:45" s="151" customFormat="1" ht="12" customHeight="1" thickTop="1">
      <c r="A32" s="494" t="s">
        <v>789</v>
      </c>
      <c r="B32" s="495"/>
      <c r="C32" s="495"/>
      <c r="D32" s="495"/>
      <c r="E32" s="495"/>
      <c r="F32" s="495"/>
      <c r="G32" s="495"/>
      <c r="H32" s="495"/>
      <c r="I32" s="495"/>
      <c r="J32" s="495"/>
      <c r="K32" s="495"/>
      <c r="L32" s="495"/>
      <c r="M32" s="495"/>
      <c r="N32" s="496"/>
      <c r="O32" s="149">
        <v>1</v>
      </c>
      <c r="P32" s="149">
        <v>2</v>
      </c>
      <c r="Q32" s="149">
        <v>3</v>
      </c>
      <c r="R32" s="149">
        <v>4</v>
      </c>
      <c r="S32" s="149">
        <v>5</v>
      </c>
      <c r="T32" s="149">
        <v>6</v>
      </c>
      <c r="U32" s="149">
        <v>7</v>
      </c>
      <c r="V32" s="149">
        <v>8</v>
      </c>
      <c r="W32" s="149">
        <v>9</v>
      </c>
      <c r="X32" s="149">
        <v>10</v>
      </c>
      <c r="Y32" s="149">
        <v>11</v>
      </c>
      <c r="Z32" s="149">
        <v>12</v>
      </c>
      <c r="AA32" s="149">
        <v>13</v>
      </c>
      <c r="AB32" s="149">
        <v>14</v>
      </c>
      <c r="AC32" s="149">
        <v>15</v>
      </c>
      <c r="AD32" s="149">
        <v>16</v>
      </c>
      <c r="AE32" s="149">
        <v>17</v>
      </c>
      <c r="AF32" s="149">
        <v>18</v>
      </c>
      <c r="AG32" s="149">
        <v>19</v>
      </c>
      <c r="AH32" s="149">
        <v>20</v>
      </c>
      <c r="AI32" s="149">
        <v>21</v>
      </c>
      <c r="AJ32" s="149">
        <v>22</v>
      </c>
      <c r="AK32" s="149">
        <v>23</v>
      </c>
      <c r="AL32" s="149">
        <v>24</v>
      </c>
      <c r="AM32" s="149">
        <v>25</v>
      </c>
      <c r="AN32" s="149">
        <v>26</v>
      </c>
      <c r="AO32" s="149">
        <v>27</v>
      </c>
      <c r="AP32" s="149">
        <v>28</v>
      </c>
      <c r="AQ32" s="149">
        <v>29</v>
      </c>
      <c r="AR32" s="149">
        <v>30</v>
      </c>
      <c r="AS32" s="150">
        <v>31</v>
      </c>
    </row>
    <row r="33" spans="1:45" ht="34.5" customHeight="1">
      <c r="A33" s="497" t="s">
        <v>934</v>
      </c>
      <c r="B33" s="372"/>
      <c r="C33" s="372"/>
      <c r="D33" s="372"/>
      <c r="E33" s="372"/>
      <c r="F33" s="372"/>
      <c r="G33" s="372"/>
      <c r="H33" s="372"/>
      <c r="I33" s="372"/>
      <c r="J33" s="372"/>
      <c r="K33" s="372"/>
      <c r="L33" s="372"/>
      <c r="M33" s="372"/>
      <c r="N33" s="372"/>
      <c r="O33" s="152"/>
      <c r="P33" s="152"/>
      <c r="Q33" s="152"/>
      <c r="R33" s="152"/>
      <c r="S33" s="152"/>
      <c r="T33" s="152"/>
      <c r="U33" s="152"/>
      <c r="V33" s="152"/>
      <c r="W33" s="152"/>
      <c r="X33" s="152"/>
      <c r="Y33" s="152"/>
      <c r="Z33" s="152"/>
      <c r="AA33" s="152"/>
      <c r="AB33" s="152"/>
      <c r="AC33" s="152"/>
      <c r="AD33" s="153"/>
      <c r="AE33" s="153"/>
      <c r="AF33" s="153"/>
      <c r="AG33" s="153"/>
      <c r="AH33" s="153"/>
      <c r="AI33" s="153"/>
      <c r="AJ33" s="153"/>
      <c r="AK33" s="153"/>
      <c r="AL33" s="153"/>
      <c r="AM33" s="153"/>
      <c r="AN33" s="153"/>
      <c r="AO33" s="153"/>
      <c r="AP33" s="153"/>
      <c r="AQ33" s="153"/>
      <c r="AR33" s="153"/>
      <c r="AS33" s="154"/>
    </row>
    <row r="34" spans="1:45" ht="34.5" customHeight="1">
      <c r="A34" s="371" t="s">
        <v>935</v>
      </c>
      <c r="B34" s="372"/>
      <c r="C34" s="372"/>
      <c r="D34" s="372"/>
      <c r="E34" s="372"/>
      <c r="F34" s="372"/>
      <c r="G34" s="372"/>
      <c r="H34" s="372"/>
      <c r="I34" s="372"/>
      <c r="J34" s="372"/>
      <c r="K34" s="372"/>
      <c r="L34" s="372"/>
      <c r="M34" s="372"/>
      <c r="N34" s="372"/>
      <c r="O34" s="155"/>
      <c r="P34" s="155"/>
      <c r="Q34" s="155"/>
      <c r="R34" s="155"/>
      <c r="S34" s="155"/>
      <c r="T34" s="155"/>
      <c r="U34" s="155"/>
      <c r="V34" s="155"/>
      <c r="W34" s="155"/>
      <c r="X34" s="155"/>
      <c r="Y34" s="156"/>
      <c r="Z34" s="156"/>
      <c r="AA34" s="156"/>
      <c r="AB34" s="156"/>
      <c r="AC34" s="156"/>
      <c r="AD34" s="153"/>
      <c r="AE34" s="153"/>
      <c r="AF34" s="153"/>
      <c r="AG34" s="153"/>
      <c r="AH34" s="153"/>
      <c r="AI34" s="153"/>
      <c r="AJ34" s="153"/>
      <c r="AK34" s="153"/>
      <c r="AL34" s="153"/>
      <c r="AM34" s="153"/>
      <c r="AN34" s="153"/>
      <c r="AO34" s="153"/>
      <c r="AP34" s="153"/>
      <c r="AQ34" s="153"/>
      <c r="AR34" s="153"/>
      <c r="AS34" s="154"/>
    </row>
    <row r="35" spans="1:45" ht="34.5" customHeight="1">
      <c r="A35" s="371" t="s">
        <v>792</v>
      </c>
      <c r="B35" s="373"/>
      <c r="C35" s="373"/>
      <c r="D35" s="373"/>
      <c r="E35" s="373"/>
      <c r="F35" s="373"/>
      <c r="G35" s="373"/>
      <c r="H35" s="373"/>
      <c r="I35" s="373"/>
      <c r="J35" s="373"/>
      <c r="K35" s="373"/>
      <c r="L35" s="373"/>
      <c r="M35" s="373"/>
      <c r="N35" s="373"/>
      <c r="O35" s="155"/>
      <c r="P35" s="155"/>
      <c r="Q35" s="155"/>
      <c r="R35" s="155"/>
      <c r="S35" s="155"/>
      <c r="T35" s="155"/>
      <c r="U35" s="155"/>
      <c r="V35" s="155"/>
      <c r="W35" s="155"/>
      <c r="X35" s="155"/>
      <c r="Y35" s="156"/>
      <c r="Z35" s="156"/>
      <c r="AA35" s="156"/>
      <c r="AB35" s="156"/>
      <c r="AC35" s="156"/>
      <c r="AD35" s="157"/>
      <c r="AE35" s="157"/>
      <c r="AF35" s="157"/>
      <c r="AG35" s="157"/>
      <c r="AH35" s="157"/>
      <c r="AI35" s="157"/>
      <c r="AJ35" s="157"/>
      <c r="AK35" s="157"/>
      <c r="AL35" s="157"/>
      <c r="AM35" s="157"/>
      <c r="AN35" s="157"/>
      <c r="AO35" s="157"/>
      <c r="AP35" s="157"/>
      <c r="AQ35" s="157"/>
      <c r="AR35" s="157"/>
      <c r="AS35" s="158"/>
    </row>
    <row r="36" spans="1:45" s="141" customFormat="1" ht="12.75" customHeight="1">
      <c r="A36" s="476" t="s">
        <v>936</v>
      </c>
      <c r="B36" s="581"/>
      <c r="C36" s="581"/>
      <c r="D36" s="581"/>
      <c r="E36" s="581"/>
      <c r="F36" s="581"/>
      <c r="G36" s="581"/>
      <c r="H36" s="581"/>
      <c r="I36" s="581"/>
      <c r="J36" s="581"/>
      <c r="K36" s="581"/>
      <c r="L36" s="581"/>
      <c r="M36" s="581"/>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1"/>
      <c r="AK36" s="581"/>
      <c r="AL36" s="581"/>
      <c r="AM36" s="581"/>
      <c r="AN36" s="581"/>
      <c r="AO36" s="581"/>
      <c r="AP36" s="581"/>
      <c r="AQ36" s="581"/>
      <c r="AR36" s="581"/>
      <c r="AS36" s="582"/>
    </row>
    <row r="37" spans="1:45" s="141" customFormat="1" ht="38.25" customHeight="1" thickBot="1">
      <c r="A37" s="583"/>
      <c r="B37" s="584"/>
      <c r="C37" s="584"/>
      <c r="D37" s="584"/>
      <c r="E37" s="584"/>
      <c r="F37" s="584"/>
      <c r="G37" s="584"/>
      <c r="H37" s="584"/>
      <c r="I37" s="584"/>
      <c r="J37" s="584"/>
      <c r="K37" s="584"/>
      <c r="L37" s="584"/>
      <c r="M37" s="584"/>
      <c r="N37" s="584"/>
      <c r="O37" s="584"/>
      <c r="P37" s="584"/>
      <c r="Q37" s="584"/>
      <c r="R37" s="584"/>
      <c r="S37" s="584"/>
      <c r="T37" s="584"/>
      <c r="U37" s="584"/>
      <c r="V37" s="584"/>
      <c r="W37" s="584"/>
      <c r="X37" s="584"/>
      <c r="Y37" s="584"/>
      <c r="Z37" s="584"/>
      <c r="AA37" s="584"/>
      <c r="AB37" s="584"/>
      <c r="AC37" s="584"/>
      <c r="AD37" s="584"/>
      <c r="AE37" s="584"/>
      <c r="AF37" s="584"/>
      <c r="AG37" s="584"/>
      <c r="AH37" s="584"/>
      <c r="AI37" s="584"/>
      <c r="AJ37" s="584"/>
      <c r="AK37" s="584"/>
      <c r="AL37" s="584"/>
      <c r="AM37" s="584"/>
      <c r="AN37" s="584"/>
      <c r="AO37" s="584"/>
      <c r="AP37" s="584"/>
      <c r="AQ37" s="584"/>
      <c r="AR37" s="584"/>
      <c r="AS37" s="585"/>
    </row>
  </sheetData>
  <mergeCells count="126">
    <mergeCell ref="A1:E2"/>
    <mergeCell ref="F1:K3"/>
    <mergeCell ref="L1:P3"/>
    <mergeCell ref="Q1:AC3"/>
    <mergeCell ref="AD1:AS1"/>
    <mergeCell ref="A4:A5"/>
    <mergeCell ref="B4:B5"/>
    <mergeCell ref="C4:C5"/>
    <mergeCell ref="D4:D5"/>
    <mergeCell ref="E4:E5"/>
    <mergeCell ref="F4:K5"/>
    <mergeCell ref="L4:P4"/>
    <mergeCell ref="Q4:AC4"/>
    <mergeCell ref="L5:P5"/>
    <mergeCell ref="Q5:AC5"/>
    <mergeCell ref="A6:A7"/>
    <mergeCell ref="B6:B7"/>
    <mergeCell ref="C6:C7"/>
    <mergeCell ref="D6:D7"/>
    <mergeCell ref="E6:E7"/>
    <mergeCell ref="F6:K7"/>
    <mergeCell ref="L6:P6"/>
    <mergeCell ref="Q6:AC6"/>
    <mergeCell ref="L7:P7"/>
    <mergeCell ref="Q7:AC7"/>
    <mergeCell ref="A8:A9"/>
    <mergeCell ref="B8:B9"/>
    <mergeCell ref="C8:C9"/>
    <mergeCell ref="D8:D9"/>
    <mergeCell ref="E8:E9"/>
    <mergeCell ref="F8:K9"/>
    <mergeCell ref="L8:P9"/>
    <mergeCell ref="Q8:AC9"/>
    <mergeCell ref="A10:A11"/>
    <mergeCell ref="B10:B11"/>
    <mergeCell ref="C10:C11"/>
    <mergeCell ref="D10:D11"/>
    <mergeCell ref="E10:E11"/>
    <mergeCell ref="F10:K11"/>
    <mergeCell ref="L10:P11"/>
    <mergeCell ref="Q10:AC11"/>
    <mergeCell ref="A12:A13"/>
    <mergeCell ref="B12:B13"/>
    <mergeCell ref="C12:C13"/>
    <mergeCell ref="D12:D13"/>
    <mergeCell ref="E12:E13"/>
    <mergeCell ref="F12:K13"/>
    <mergeCell ref="L12:P13"/>
    <mergeCell ref="Q12:AC13"/>
    <mergeCell ref="L14:P15"/>
    <mergeCell ref="Q14:AC15"/>
    <mergeCell ref="A16:A17"/>
    <mergeCell ref="B16:B17"/>
    <mergeCell ref="C16:C17"/>
    <mergeCell ref="D16:D17"/>
    <mergeCell ref="E16:E17"/>
    <mergeCell ref="F16:K17"/>
    <mergeCell ref="L16:P17"/>
    <mergeCell ref="Q16:AC17"/>
    <mergeCell ref="A14:A15"/>
    <mergeCell ref="B14:B15"/>
    <mergeCell ref="C14:C15"/>
    <mergeCell ref="D14:D15"/>
    <mergeCell ref="E14:E15"/>
    <mergeCell ref="F14:K15"/>
    <mergeCell ref="L18:P19"/>
    <mergeCell ref="Q18:AC19"/>
    <mergeCell ref="A20:A21"/>
    <mergeCell ref="B20:B21"/>
    <mergeCell ref="C20:C21"/>
    <mergeCell ref="D20:D21"/>
    <mergeCell ref="E20:E21"/>
    <mergeCell ref="F20:K21"/>
    <mergeCell ref="L20:P21"/>
    <mergeCell ref="Q20:AC21"/>
    <mergeCell ref="A18:A19"/>
    <mergeCell ref="B18:B19"/>
    <mergeCell ref="C18:C19"/>
    <mergeCell ref="D18:D19"/>
    <mergeCell ref="E18:E19"/>
    <mergeCell ref="F18:K19"/>
    <mergeCell ref="L22:P23"/>
    <mergeCell ref="Q22:AC23"/>
    <mergeCell ref="A24:A25"/>
    <mergeCell ref="B24:B25"/>
    <mergeCell ref="C24:C25"/>
    <mergeCell ref="D24:D25"/>
    <mergeCell ref="E24:E25"/>
    <mergeCell ref="F24:K25"/>
    <mergeCell ref="L24:P25"/>
    <mergeCell ref="Q24:AC25"/>
    <mergeCell ref="A22:A23"/>
    <mergeCell ref="B22:B23"/>
    <mergeCell ref="C22:C23"/>
    <mergeCell ref="D22:D23"/>
    <mergeCell ref="E22:E23"/>
    <mergeCell ref="F22:K23"/>
    <mergeCell ref="L26:P27"/>
    <mergeCell ref="Q26:AC27"/>
    <mergeCell ref="A28:A29"/>
    <mergeCell ref="B28:B29"/>
    <mergeCell ref="C28:C29"/>
    <mergeCell ref="D28:D29"/>
    <mergeCell ref="E28:E29"/>
    <mergeCell ref="F28:K29"/>
    <mergeCell ref="L28:P29"/>
    <mergeCell ref="Q28:AC29"/>
    <mergeCell ref="A26:A27"/>
    <mergeCell ref="B26:B27"/>
    <mergeCell ref="C26:C27"/>
    <mergeCell ref="D26:D27"/>
    <mergeCell ref="E26:E27"/>
    <mergeCell ref="F26:K27"/>
    <mergeCell ref="A36:AS37"/>
    <mergeCell ref="L30:P31"/>
    <mergeCell ref="Q30:AC31"/>
    <mergeCell ref="A32:N32"/>
    <mergeCell ref="A33:N33"/>
    <mergeCell ref="A34:N34"/>
    <mergeCell ref="A35:N35"/>
    <mergeCell ref="A30:A31"/>
    <mergeCell ref="B30:B31"/>
    <mergeCell ref="C30:C31"/>
    <mergeCell ref="D30:D31"/>
    <mergeCell ref="E30:E31"/>
    <mergeCell ref="F30:K31"/>
  </mergeCells>
  <printOptions horizontalCentered="1" verticalCentered="1"/>
  <pageMargins left="0" right="0" top="0" bottom="0.39370078740157483" header="0" footer="0.11811023622047245"/>
  <pageSetup paperSize="9" scale="95" fitToHeight="0" orientation="landscape" r:id="rId1"/>
  <headerFooter alignWithMargins="0">
    <oddFooter>&amp;L&amp;"Arial,Regular"&amp;10Retention Period: 1 Years.
5700_20161205_1&amp;C&amp;"Arial,Regular"&amp;10MAXXIS RUBBER INDIA PVT. LTD.&amp;R&amp;"Arial,Regular"&amp;10A4 NO.5700</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7" tint="-0.499984740745262"/>
  </sheetPr>
  <dimension ref="A1:J68"/>
  <sheetViews>
    <sheetView showGridLines="0" view="pageBreakPreview" zoomScale="77" zoomScaleNormal="75" zoomScaleSheetLayoutView="77" workbookViewId="0">
      <selection activeCell="K14" sqref="K14"/>
    </sheetView>
  </sheetViews>
  <sheetFormatPr defaultColWidth="9.109375" defaultRowHeight="17.399999999999999"/>
  <cols>
    <col min="1" max="1" width="18.33203125" style="167" customWidth="1"/>
    <col min="2" max="2" width="16" style="167" customWidth="1"/>
    <col min="3" max="5" width="13.33203125" style="167" customWidth="1"/>
    <col min="6" max="8" width="17.88671875" style="167" customWidth="1"/>
    <col min="9" max="9" width="4.33203125" style="167" customWidth="1"/>
    <col min="10" max="16384" width="9.109375" style="167"/>
  </cols>
  <sheetData>
    <row r="1" spans="1:10" s="166" customFormat="1" ht="18.75" customHeight="1">
      <c r="A1" s="630" t="s">
        <v>945</v>
      </c>
      <c r="B1" s="630"/>
      <c r="C1" s="630"/>
      <c r="D1" s="630"/>
      <c r="E1" s="630"/>
      <c r="F1" s="630"/>
      <c r="G1" s="630"/>
      <c r="H1" s="630"/>
    </row>
    <row r="2" spans="1:10" ht="13.5" customHeight="1">
      <c r="A2" s="630"/>
      <c r="B2" s="630"/>
      <c r="C2" s="630"/>
      <c r="D2" s="630"/>
      <c r="E2" s="630"/>
      <c r="F2" s="630"/>
      <c r="G2" s="630"/>
      <c r="H2" s="630"/>
    </row>
    <row r="3" spans="1:10" ht="18.75" customHeight="1">
      <c r="A3" s="168"/>
      <c r="B3" s="168"/>
      <c r="C3" s="168"/>
      <c r="D3" s="168"/>
      <c r="E3" s="168"/>
      <c r="F3" s="169" t="s">
        <v>946</v>
      </c>
      <c r="G3" s="169" t="s">
        <v>947</v>
      </c>
      <c r="H3" s="169" t="s">
        <v>948</v>
      </c>
    </row>
    <row r="4" spans="1:10" ht="18.75" customHeight="1">
      <c r="A4" s="631" t="s">
        <v>949</v>
      </c>
      <c r="B4" s="631"/>
      <c r="C4" s="631"/>
      <c r="D4" s="168"/>
      <c r="E4" s="168"/>
      <c r="F4" s="632"/>
      <c r="G4" s="632"/>
      <c r="H4" s="632"/>
    </row>
    <row r="5" spans="1:10" ht="33" customHeight="1">
      <c r="A5" s="167" t="s">
        <v>950</v>
      </c>
      <c r="F5" s="632"/>
      <c r="G5" s="632"/>
      <c r="H5" s="632"/>
    </row>
    <row r="6" spans="1:10" s="173" customFormat="1" ht="30" customHeight="1">
      <c r="A6" s="170" t="s">
        <v>951</v>
      </c>
      <c r="B6" s="170" t="s">
        <v>952</v>
      </c>
      <c r="C6" s="170" t="s">
        <v>953</v>
      </c>
      <c r="D6" s="170" t="s">
        <v>954</v>
      </c>
      <c r="E6" s="170" t="s">
        <v>955</v>
      </c>
      <c r="F6" s="170" t="s">
        <v>956</v>
      </c>
      <c r="G6" s="171" t="s">
        <v>957</v>
      </c>
      <c r="H6" s="172" t="s">
        <v>958</v>
      </c>
    </row>
    <row r="7" spans="1:10" s="178" customFormat="1" ht="30" customHeight="1">
      <c r="A7" s="620" t="s">
        <v>959</v>
      </c>
      <c r="B7" s="174" t="s">
        <v>960</v>
      </c>
      <c r="C7" s="175"/>
      <c r="D7" s="175"/>
      <c r="E7" s="175"/>
      <c r="F7" s="175"/>
      <c r="G7" s="175"/>
      <c r="H7" s="176"/>
      <c r="I7" s="629" t="s">
        <v>961</v>
      </c>
      <c r="J7" s="177"/>
    </row>
    <row r="8" spans="1:10" s="178" customFormat="1" ht="30" customHeight="1">
      <c r="A8" s="628"/>
      <c r="B8" s="179" t="s">
        <v>962</v>
      </c>
      <c r="C8" s="175"/>
      <c r="D8" s="175"/>
      <c r="E8" s="175"/>
      <c r="F8" s="175"/>
      <c r="G8" s="175"/>
      <c r="H8" s="176"/>
      <c r="I8" s="629"/>
      <c r="J8" s="177"/>
    </row>
    <row r="9" spans="1:10" s="178" customFormat="1" ht="30" customHeight="1">
      <c r="A9" s="620" t="s">
        <v>963</v>
      </c>
      <c r="B9" s="174" t="s">
        <v>964</v>
      </c>
      <c r="C9" s="175"/>
      <c r="D9" s="175"/>
      <c r="E9" s="175"/>
      <c r="F9" s="175"/>
      <c r="G9" s="175"/>
      <c r="H9" s="176"/>
      <c r="I9" s="629"/>
      <c r="J9" s="177"/>
    </row>
    <row r="10" spans="1:10" s="178" customFormat="1" ht="30" customHeight="1">
      <c r="A10" s="628"/>
      <c r="B10" s="179" t="s">
        <v>965</v>
      </c>
      <c r="C10" s="175"/>
      <c r="D10" s="175"/>
      <c r="E10" s="175"/>
      <c r="F10" s="175"/>
      <c r="G10" s="175"/>
      <c r="H10" s="176"/>
      <c r="I10" s="629"/>
      <c r="J10" s="177"/>
    </row>
    <row r="11" spans="1:10" s="178" customFormat="1" ht="30" customHeight="1">
      <c r="A11" s="628"/>
      <c r="B11" s="179" t="s">
        <v>966</v>
      </c>
      <c r="C11" s="175"/>
      <c r="D11" s="175"/>
      <c r="E11" s="175"/>
      <c r="F11" s="175"/>
      <c r="G11" s="175"/>
      <c r="H11" s="176"/>
      <c r="I11" s="629"/>
      <c r="J11" s="177"/>
    </row>
    <row r="12" spans="1:10" s="178" customFormat="1" ht="30" customHeight="1">
      <c r="A12" s="180" t="s">
        <v>967</v>
      </c>
      <c r="B12" s="179" t="s">
        <v>962</v>
      </c>
      <c r="C12" s="175"/>
      <c r="D12" s="175"/>
      <c r="E12" s="175"/>
      <c r="F12" s="175"/>
      <c r="G12" s="175"/>
      <c r="H12" s="176"/>
      <c r="I12" s="629"/>
      <c r="J12" s="177"/>
    </row>
    <row r="13" spans="1:10" s="178" customFormat="1" ht="15" customHeight="1">
      <c r="A13" s="620" t="s">
        <v>968</v>
      </c>
      <c r="B13" s="620" t="s">
        <v>962</v>
      </c>
      <c r="C13" s="620"/>
      <c r="D13" s="620"/>
      <c r="E13" s="620"/>
      <c r="F13" s="620"/>
      <c r="G13" s="620"/>
      <c r="H13" s="620"/>
      <c r="I13" s="629"/>
      <c r="J13" s="177"/>
    </row>
    <row r="14" spans="1:10" s="178" customFormat="1" ht="15" customHeight="1">
      <c r="A14" s="628"/>
      <c r="B14" s="621"/>
      <c r="C14" s="621"/>
      <c r="D14" s="621"/>
      <c r="E14" s="621"/>
      <c r="F14" s="621"/>
      <c r="G14" s="621"/>
      <c r="H14" s="621"/>
      <c r="I14" s="629"/>
      <c r="J14" s="177"/>
    </row>
    <row r="15" spans="1:10" s="178" customFormat="1" ht="15" customHeight="1">
      <c r="A15" s="620" t="s">
        <v>969</v>
      </c>
      <c r="B15" s="620" t="s">
        <v>970</v>
      </c>
      <c r="C15" s="620"/>
      <c r="D15" s="620"/>
      <c r="E15" s="620"/>
      <c r="F15" s="620"/>
      <c r="G15" s="620"/>
      <c r="H15" s="620"/>
      <c r="I15" s="629"/>
      <c r="J15" s="177"/>
    </row>
    <row r="16" spans="1:10" s="178" customFormat="1" ht="15" customHeight="1">
      <c r="A16" s="628"/>
      <c r="B16" s="621"/>
      <c r="C16" s="621"/>
      <c r="D16" s="621"/>
      <c r="E16" s="621"/>
      <c r="F16" s="621"/>
      <c r="G16" s="621"/>
      <c r="H16" s="621"/>
      <c r="I16" s="629"/>
      <c r="J16" s="177"/>
    </row>
    <row r="17" spans="1:10" s="178" customFormat="1" ht="15" customHeight="1">
      <c r="A17" s="620" t="s">
        <v>971</v>
      </c>
      <c r="B17" s="620" t="s">
        <v>972</v>
      </c>
      <c r="C17" s="620"/>
      <c r="D17" s="620"/>
      <c r="E17" s="620"/>
      <c r="F17" s="620"/>
      <c r="G17" s="620"/>
      <c r="H17" s="620"/>
      <c r="I17" s="629"/>
      <c r="J17" s="177"/>
    </row>
    <row r="18" spans="1:10" s="178" customFormat="1" ht="15" customHeight="1">
      <c r="A18" s="628"/>
      <c r="B18" s="621"/>
      <c r="C18" s="621"/>
      <c r="D18" s="621"/>
      <c r="E18" s="621"/>
      <c r="F18" s="621"/>
      <c r="G18" s="621"/>
      <c r="H18" s="621"/>
      <c r="I18" s="629"/>
      <c r="J18" s="177"/>
    </row>
    <row r="19" spans="1:10" s="178" customFormat="1" ht="15" customHeight="1">
      <c r="A19" s="628"/>
      <c r="B19" s="620" t="s">
        <v>962</v>
      </c>
      <c r="C19" s="620"/>
      <c r="D19" s="620"/>
      <c r="E19" s="620"/>
      <c r="F19" s="620"/>
      <c r="G19" s="620"/>
      <c r="H19" s="620"/>
      <c r="I19" s="629"/>
      <c r="J19" s="177"/>
    </row>
    <row r="20" spans="1:10" s="178" customFormat="1" ht="15" customHeight="1">
      <c r="A20" s="628"/>
      <c r="B20" s="621"/>
      <c r="C20" s="621"/>
      <c r="D20" s="621"/>
      <c r="E20" s="621"/>
      <c r="F20" s="621"/>
      <c r="G20" s="621"/>
      <c r="H20" s="621"/>
      <c r="I20" s="629"/>
      <c r="J20" s="177"/>
    </row>
    <row r="21" spans="1:10" s="178" customFormat="1" ht="15" customHeight="1">
      <c r="A21" s="628"/>
      <c r="B21" s="620" t="s">
        <v>966</v>
      </c>
      <c r="C21" s="620"/>
      <c r="D21" s="620"/>
      <c r="E21" s="620"/>
      <c r="F21" s="620"/>
      <c r="G21" s="620"/>
      <c r="H21" s="620"/>
      <c r="I21" s="629"/>
      <c r="J21" s="177"/>
    </row>
    <row r="22" spans="1:10" s="178" customFormat="1" ht="15" customHeight="1">
      <c r="A22" s="621"/>
      <c r="B22" s="621"/>
      <c r="C22" s="621"/>
      <c r="D22" s="621"/>
      <c r="E22" s="621"/>
      <c r="F22" s="621"/>
      <c r="G22" s="621"/>
      <c r="H22" s="621"/>
      <c r="I22" s="629"/>
      <c r="J22" s="177"/>
    </row>
    <row r="23" spans="1:10" s="178" customFormat="1" ht="30" customHeight="1">
      <c r="A23" s="181" t="s">
        <v>973</v>
      </c>
      <c r="B23" s="174" t="s">
        <v>974</v>
      </c>
      <c r="C23" s="174"/>
      <c r="D23" s="174"/>
      <c r="E23" s="182"/>
      <c r="F23" s="182"/>
      <c r="G23" s="182"/>
      <c r="H23" s="182"/>
      <c r="I23" s="629"/>
      <c r="J23" s="177"/>
    </row>
    <row r="24" spans="1:10" s="178" customFormat="1" ht="30" customHeight="1">
      <c r="A24" s="617"/>
      <c r="B24" s="183"/>
      <c r="C24" s="183"/>
      <c r="D24" s="183"/>
      <c r="E24" s="184"/>
      <c r="F24" s="184"/>
      <c r="G24" s="184"/>
      <c r="H24" s="184"/>
      <c r="I24" s="629"/>
      <c r="J24" s="177"/>
    </row>
    <row r="25" spans="1:10" s="178" customFormat="1" ht="30" customHeight="1">
      <c r="A25" s="618"/>
      <c r="B25" s="182"/>
      <c r="C25" s="182"/>
      <c r="D25" s="182"/>
      <c r="E25" s="182"/>
      <c r="F25" s="182"/>
      <c r="G25" s="182"/>
      <c r="H25" s="182"/>
      <c r="I25" s="629"/>
      <c r="J25" s="177"/>
    </row>
    <row r="26" spans="1:10" s="178" customFormat="1" ht="30" customHeight="1">
      <c r="A26" s="619"/>
      <c r="B26" s="182"/>
      <c r="C26" s="182"/>
      <c r="D26" s="182"/>
      <c r="E26" s="182"/>
      <c r="F26" s="182"/>
      <c r="G26" s="182"/>
      <c r="H26" s="182"/>
      <c r="I26" s="629"/>
      <c r="J26" s="177"/>
    </row>
    <row r="27" spans="1:10" s="178" customFormat="1" ht="30" customHeight="1">
      <c r="A27" s="617"/>
      <c r="B27" s="183"/>
      <c r="C27" s="183"/>
      <c r="D27" s="183"/>
      <c r="E27" s="184"/>
      <c r="F27" s="184"/>
      <c r="G27" s="184"/>
      <c r="H27" s="184"/>
      <c r="I27" s="629"/>
      <c r="J27" s="177"/>
    </row>
    <row r="28" spans="1:10" s="178" customFormat="1" ht="30" customHeight="1">
      <c r="A28" s="618"/>
      <c r="B28" s="182"/>
      <c r="C28" s="182"/>
      <c r="D28" s="182"/>
      <c r="E28" s="182"/>
      <c r="F28" s="182"/>
      <c r="G28" s="182"/>
      <c r="H28" s="182"/>
      <c r="I28" s="629"/>
      <c r="J28" s="177"/>
    </row>
    <row r="29" spans="1:10" s="178" customFormat="1" ht="30" customHeight="1">
      <c r="A29" s="619"/>
      <c r="B29" s="182"/>
      <c r="C29" s="182"/>
      <c r="D29" s="182"/>
      <c r="E29" s="182"/>
      <c r="F29" s="182"/>
      <c r="G29" s="182"/>
      <c r="H29" s="182"/>
      <c r="I29" s="629"/>
      <c r="J29" s="177"/>
    </row>
    <row r="30" spans="1:10" s="178" customFormat="1" ht="30" customHeight="1">
      <c r="A30" s="617"/>
      <c r="B30" s="183"/>
      <c r="C30" s="183"/>
      <c r="D30" s="183"/>
      <c r="E30" s="184"/>
      <c r="F30" s="184"/>
      <c r="G30" s="184"/>
      <c r="H30" s="184"/>
      <c r="I30" s="629"/>
      <c r="J30" s="177"/>
    </row>
    <row r="31" spans="1:10" s="178" customFormat="1" ht="30" customHeight="1">
      <c r="A31" s="618"/>
      <c r="B31" s="182"/>
      <c r="C31" s="182"/>
      <c r="D31" s="182"/>
      <c r="E31" s="182"/>
      <c r="F31" s="182"/>
      <c r="G31" s="182"/>
      <c r="H31" s="182"/>
      <c r="I31" s="629"/>
      <c r="J31" s="177"/>
    </row>
    <row r="32" spans="1:10" s="178" customFormat="1" ht="30" customHeight="1">
      <c r="A32" s="619"/>
      <c r="B32" s="182"/>
      <c r="C32" s="182"/>
      <c r="D32" s="182"/>
      <c r="E32" s="182"/>
      <c r="F32" s="182"/>
      <c r="G32" s="182"/>
      <c r="H32" s="182"/>
      <c r="I32" s="629"/>
      <c r="J32" s="177"/>
    </row>
    <row r="33" spans="1:10" s="178" customFormat="1" ht="30" customHeight="1">
      <c r="A33" s="620"/>
      <c r="B33" s="182"/>
      <c r="C33" s="182"/>
      <c r="D33" s="182"/>
      <c r="E33" s="182"/>
      <c r="F33" s="182"/>
      <c r="G33" s="182"/>
      <c r="H33" s="182"/>
      <c r="I33" s="629"/>
      <c r="J33" s="177"/>
    </row>
    <row r="34" spans="1:10" s="178" customFormat="1" ht="30" customHeight="1">
      <c r="A34" s="621"/>
      <c r="B34" s="185"/>
      <c r="C34" s="185"/>
      <c r="D34" s="185"/>
      <c r="E34" s="185"/>
      <c r="F34" s="185"/>
      <c r="G34" s="185"/>
      <c r="H34" s="185"/>
      <c r="I34" s="629"/>
      <c r="J34" s="177"/>
    </row>
    <row r="35" spans="1:10" s="178" customFormat="1" ht="47.25" customHeight="1">
      <c r="A35" s="622" t="s">
        <v>975</v>
      </c>
      <c r="B35" s="623"/>
      <c r="C35" s="623"/>
      <c r="D35" s="623"/>
      <c r="E35" s="623"/>
      <c r="F35" s="623"/>
      <c r="G35" s="623"/>
      <c r="H35" s="624"/>
      <c r="I35" s="186"/>
      <c r="J35" s="186"/>
    </row>
    <row r="36" spans="1:10" s="177" customFormat="1" ht="82.5" customHeight="1">
      <c r="A36" s="625" t="s">
        <v>976</v>
      </c>
      <c r="B36" s="626"/>
      <c r="C36" s="626"/>
      <c r="D36" s="626"/>
      <c r="E36" s="626"/>
      <c r="F36" s="626"/>
      <c r="G36" s="626"/>
      <c r="H36" s="627"/>
      <c r="I36" s="187"/>
      <c r="J36" s="187"/>
    </row>
    <row r="37" spans="1:10" s="178" customFormat="1" ht="23.25" customHeight="1">
      <c r="I37" s="186"/>
      <c r="J37" s="186"/>
    </row>
    <row r="38" spans="1:10" s="178" customFormat="1" ht="23.25" customHeight="1">
      <c r="I38" s="186"/>
      <c r="J38" s="186"/>
    </row>
    <row r="39" spans="1:10" s="178" customFormat="1" ht="23.25" customHeight="1">
      <c r="I39" s="186"/>
      <c r="J39" s="186"/>
    </row>
    <row r="40" spans="1:10" s="178" customFormat="1" ht="23.25" customHeight="1"/>
    <row r="41" spans="1:10" s="178" customFormat="1" ht="15"/>
    <row r="42" spans="1:10" s="178" customFormat="1" ht="15"/>
    <row r="43" spans="1:10" s="178" customFormat="1" ht="15"/>
    <row r="44" spans="1:10" s="178" customFormat="1" ht="15"/>
    <row r="45" spans="1:10" s="178" customFormat="1" ht="15"/>
    <row r="46" spans="1:10" s="178" customFormat="1" ht="15"/>
    <row r="47" spans="1:10" s="178" customFormat="1" ht="15"/>
    <row r="48" spans="1:10" s="178" customFormat="1" ht="15"/>
    <row r="49" spans="1:8" s="178" customFormat="1" ht="15"/>
    <row r="50" spans="1:8" s="178" customFormat="1" ht="15"/>
    <row r="51" spans="1:8" s="178" customFormat="1" ht="15"/>
    <row r="52" spans="1:8" s="178" customFormat="1" ht="15"/>
    <row r="53" spans="1:8" s="178" customFormat="1" ht="15"/>
    <row r="54" spans="1:8" s="178" customFormat="1" ht="15"/>
    <row r="55" spans="1:8" s="178" customFormat="1" ht="15"/>
    <row r="56" spans="1:8" s="178" customFormat="1" ht="15"/>
    <row r="57" spans="1:8" s="178" customFormat="1" ht="15"/>
    <row r="58" spans="1:8" s="178" customFormat="1" ht="15"/>
    <row r="59" spans="1:8" s="178" customFormat="1">
      <c r="A59" s="167"/>
      <c r="B59" s="167"/>
      <c r="C59" s="167"/>
      <c r="D59" s="167"/>
      <c r="E59" s="167"/>
      <c r="F59" s="167"/>
      <c r="G59" s="167"/>
      <c r="H59" s="167"/>
    </row>
    <row r="60" spans="1:8" s="178" customFormat="1">
      <c r="A60" s="167"/>
      <c r="B60" s="167"/>
      <c r="C60" s="167"/>
      <c r="D60" s="167"/>
      <c r="E60" s="167"/>
      <c r="F60" s="167"/>
      <c r="G60" s="167"/>
      <c r="H60" s="167"/>
    </row>
    <row r="61" spans="1:8" s="178" customFormat="1">
      <c r="A61" s="167"/>
      <c r="B61" s="167"/>
      <c r="C61" s="167"/>
      <c r="D61" s="167"/>
      <c r="E61" s="167"/>
      <c r="F61" s="167"/>
      <c r="G61" s="167"/>
      <c r="H61" s="167"/>
    </row>
    <row r="62" spans="1:8" s="178" customFormat="1">
      <c r="A62" s="167"/>
      <c r="B62" s="167"/>
      <c r="C62" s="167"/>
      <c r="D62" s="167"/>
      <c r="E62" s="167"/>
      <c r="F62" s="167"/>
      <c r="G62" s="167"/>
      <c r="H62" s="167"/>
    </row>
    <row r="63" spans="1:8" s="178" customFormat="1">
      <c r="A63" s="167"/>
      <c r="B63" s="167"/>
      <c r="C63" s="167"/>
      <c r="D63" s="167"/>
      <c r="E63" s="167"/>
      <c r="F63" s="167"/>
      <c r="G63" s="167"/>
      <c r="H63" s="167"/>
    </row>
    <row r="64" spans="1:8" s="178" customFormat="1">
      <c r="A64" s="167"/>
      <c r="B64" s="167"/>
      <c r="C64" s="167"/>
      <c r="D64" s="167"/>
      <c r="E64" s="167"/>
      <c r="F64" s="167"/>
      <c r="G64" s="167"/>
      <c r="H64" s="167"/>
    </row>
    <row r="65" spans="1:10" s="178" customFormat="1">
      <c r="A65" s="167"/>
      <c r="B65" s="167"/>
      <c r="C65" s="167"/>
      <c r="D65" s="167"/>
      <c r="E65" s="167"/>
      <c r="F65" s="167"/>
      <c r="G65" s="167"/>
      <c r="H65" s="167"/>
    </row>
    <row r="66" spans="1:10" s="178" customFormat="1">
      <c r="A66" s="167"/>
      <c r="B66" s="167"/>
      <c r="C66" s="167"/>
      <c r="D66" s="167"/>
      <c r="E66" s="167"/>
      <c r="F66" s="167"/>
      <c r="G66" s="167"/>
      <c r="H66" s="167"/>
    </row>
    <row r="67" spans="1:10" s="178" customFormat="1">
      <c r="A67" s="167"/>
      <c r="B67" s="167"/>
      <c r="C67" s="167"/>
      <c r="D67" s="167"/>
      <c r="E67" s="167"/>
      <c r="F67" s="167"/>
      <c r="G67" s="167"/>
      <c r="H67" s="167"/>
      <c r="I67" s="167"/>
      <c r="J67" s="167"/>
    </row>
    <row r="68" spans="1:10" s="178" customFormat="1">
      <c r="A68" s="167"/>
      <c r="B68" s="167"/>
      <c r="C68" s="167"/>
      <c r="D68" s="167"/>
      <c r="E68" s="167"/>
      <c r="F68" s="167"/>
      <c r="G68" s="167"/>
      <c r="H68" s="167"/>
      <c r="I68" s="167"/>
      <c r="J68" s="167"/>
    </row>
  </sheetData>
  <mergeCells count="52">
    <mergeCell ref="A1:H2"/>
    <mergeCell ref="A4:C4"/>
    <mergeCell ref="F4:F5"/>
    <mergeCell ref="G4:G5"/>
    <mergeCell ref="H4:H5"/>
    <mergeCell ref="I7:I34"/>
    <mergeCell ref="A9:A11"/>
    <mergeCell ref="A13:A14"/>
    <mergeCell ref="B13:B14"/>
    <mergeCell ref="C13:C14"/>
    <mergeCell ref="D13:D14"/>
    <mergeCell ref="E13:E14"/>
    <mergeCell ref="F13:F14"/>
    <mergeCell ref="G13:G14"/>
    <mergeCell ref="H13:H14"/>
    <mergeCell ref="A7:A8"/>
    <mergeCell ref="G15:G16"/>
    <mergeCell ref="H15:H16"/>
    <mergeCell ref="A17:A22"/>
    <mergeCell ref="B17:B18"/>
    <mergeCell ref="C17:C18"/>
    <mergeCell ref="D17:D18"/>
    <mergeCell ref="E17:E18"/>
    <mergeCell ref="F17:F18"/>
    <mergeCell ref="G17:G18"/>
    <mergeCell ref="H17:H18"/>
    <mergeCell ref="A15:A16"/>
    <mergeCell ref="B15:B16"/>
    <mergeCell ref="C15:C16"/>
    <mergeCell ref="D15:D16"/>
    <mergeCell ref="E15:E16"/>
    <mergeCell ref="F15:F16"/>
    <mergeCell ref="A36:H36"/>
    <mergeCell ref="H19:H20"/>
    <mergeCell ref="B21:B22"/>
    <mergeCell ref="C21:C22"/>
    <mergeCell ref="D21:D22"/>
    <mergeCell ref="E21:E22"/>
    <mergeCell ref="F21:F22"/>
    <mergeCell ref="G21:G22"/>
    <mergeCell ref="H21:H22"/>
    <mergeCell ref="B19:B20"/>
    <mergeCell ref="C19:C20"/>
    <mergeCell ref="D19:D20"/>
    <mergeCell ref="E19:E20"/>
    <mergeCell ref="F19:F20"/>
    <mergeCell ref="G19:G20"/>
    <mergeCell ref="A24:A26"/>
    <mergeCell ref="A27:A29"/>
    <mergeCell ref="A30:A32"/>
    <mergeCell ref="A33:A34"/>
    <mergeCell ref="A35:H35"/>
  </mergeCells>
  <printOptions horizontalCentered="1" verticalCentered="1"/>
  <pageMargins left="0.19685039370078741" right="0.19685039370078741" top="0.19685039370078741" bottom="0.39370078740157483" header="0.51181102362204722" footer="0"/>
  <pageSetup paperSize="9" scale="80" orientation="portrait" r:id="rId1"/>
  <headerFooter alignWithMargins="0">
    <oddFooter>&amp;LAttachement Sheet 3&amp;CMaxxis Rubber India Pvt.Ltd.&amp;RA4 No. 6065</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1:G255"/>
  <sheetViews>
    <sheetView workbookViewId="0">
      <selection activeCell="G20" sqref="G20"/>
    </sheetView>
  </sheetViews>
  <sheetFormatPr defaultRowHeight="13.8"/>
  <cols>
    <col min="1" max="1" width="18.109375" style="2" bestFit="1" customWidth="1"/>
    <col min="2" max="2" width="20.5546875" style="2" bestFit="1" customWidth="1"/>
    <col min="3" max="3" width="16.88671875" style="2" bestFit="1" customWidth="1"/>
    <col min="7" max="7" width="12.6640625" bestFit="1" customWidth="1"/>
  </cols>
  <sheetData>
    <row r="1" spans="1:7" ht="24" customHeight="1">
      <c r="A1" s="41" t="s">
        <v>90</v>
      </c>
      <c r="B1" s="41" t="s">
        <v>47</v>
      </c>
      <c r="C1" s="41" t="s">
        <v>91</v>
      </c>
    </row>
    <row r="2" spans="1:7">
      <c r="A2" s="2" t="s">
        <v>92</v>
      </c>
      <c r="B2" s="2" t="s">
        <v>9</v>
      </c>
      <c r="G2" s="1"/>
    </row>
    <row r="3" spans="1:7">
      <c r="A3" s="2" t="s">
        <v>92</v>
      </c>
      <c r="B3" s="2" t="s">
        <v>1555</v>
      </c>
      <c r="G3" s="1" t="s">
        <v>978</v>
      </c>
    </row>
    <row r="4" spans="1:7">
      <c r="A4" s="2" t="s">
        <v>92</v>
      </c>
      <c r="B4" s="2" t="s">
        <v>54</v>
      </c>
      <c r="G4" s="1" t="s">
        <v>979</v>
      </c>
    </row>
    <row r="5" spans="1:7">
      <c r="A5" s="2" t="s">
        <v>92</v>
      </c>
      <c r="B5" s="2" t="s">
        <v>50</v>
      </c>
      <c r="G5" s="1" t="s">
        <v>977</v>
      </c>
    </row>
    <row r="6" spans="1:7">
      <c r="G6" s="1" t="s">
        <v>980</v>
      </c>
    </row>
    <row r="7" spans="1:7">
      <c r="A7" s="2" t="s">
        <v>93</v>
      </c>
      <c r="B7" s="2" t="s">
        <v>10</v>
      </c>
      <c r="C7" s="2" t="s">
        <v>9</v>
      </c>
      <c r="G7" s="1" t="s">
        <v>982</v>
      </c>
    </row>
    <row r="8" spans="1:7">
      <c r="A8" s="2" t="s">
        <v>93</v>
      </c>
      <c r="B8" s="2" t="s">
        <v>10</v>
      </c>
      <c r="C8" s="2" t="s">
        <v>1555</v>
      </c>
    </row>
    <row r="9" spans="1:7">
      <c r="A9" s="2" t="s">
        <v>93</v>
      </c>
      <c r="B9" s="2" t="s">
        <v>54</v>
      </c>
      <c r="C9" s="2" t="s">
        <v>1555</v>
      </c>
    </row>
    <row r="10" spans="1:7">
      <c r="A10" s="2" t="s">
        <v>93</v>
      </c>
      <c r="B10" s="2" t="s">
        <v>89</v>
      </c>
      <c r="C10" s="2" t="s">
        <v>54</v>
      </c>
    </row>
    <row r="11" spans="1:7">
      <c r="A11" s="2" t="s">
        <v>93</v>
      </c>
      <c r="B11" s="2" t="s">
        <v>49</v>
      </c>
      <c r="C11" s="2" t="s">
        <v>54</v>
      </c>
    </row>
    <row r="12" spans="1:7">
      <c r="A12" s="2" t="s">
        <v>93</v>
      </c>
      <c r="B12" s="2" t="s">
        <v>89</v>
      </c>
      <c r="C12" s="2" t="s">
        <v>50</v>
      </c>
    </row>
    <row r="13" spans="1:7">
      <c r="A13" s="2" t="s">
        <v>93</v>
      </c>
      <c r="B13" s="2" t="s">
        <v>49</v>
      </c>
      <c r="C13" s="2" t="s">
        <v>50</v>
      </c>
    </row>
    <row r="14" spans="1:7">
      <c r="A14" s="2" t="s">
        <v>93</v>
      </c>
      <c r="B14" s="2" t="s">
        <v>54</v>
      </c>
      <c r="C14" s="2" t="s">
        <v>50</v>
      </c>
    </row>
    <row r="186" spans="2:2">
      <c r="B186" s="42"/>
    </row>
    <row r="187" spans="2:2">
      <c r="B187" s="42"/>
    </row>
    <row r="188" spans="2:2">
      <c r="B188" s="42"/>
    </row>
    <row r="189" spans="2:2">
      <c r="B189" s="42"/>
    </row>
    <row r="190" spans="2:2">
      <c r="B190" s="42"/>
    </row>
    <row r="191" spans="2:2">
      <c r="B191" s="42"/>
    </row>
    <row r="192" spans="2:2">
      <c r="B192" s="42"/>
    </row>
    <row r="193" spans="2:2">
      <c r="B193" s="42"/>
    </row>
    <row r="194" spans="2:2">
      <c r="B194" s="42"/>
    </row>
    <row r="195" spans="2:2">
      <c r="B195" s="42"/>
    </row>
    <row r="197" spans="2:2">
      <c r="B197" s="42"/>
    </row>
    <row r="198" spans="2:2">
      <c r="B198" s="42"/>
    </row>
    <row r="199" spans="2:2">
      <c r="B199" s="42"/>
    </row>
    <row r="200" spans="2:2">
      <c r="B200" s="42"/>
    </row>
    <row r="201" spans="2:2">
      <c r="B201" s="42"/>
    </row>
    <row r="202" spans="2:2">
      <c r="B202" s="42"/>
    </row>
    <row r="203" spans="2:2">
      <c r="B203" s="42"/>
    </row>
    <row r="204" spans="2:2">
      <c r="B204" s="42"/>
    </row>
    <row r="205" spans="2:2">
      <c r="B205" s="42"/>
    </row>
    <row r="206" spans="2:2">
      <c r="B206" s="42"/>
    </row>
    <row r="207" spans="2:2">
      <c r="B207" s="42"/>
    </row>
    <row r="208" spans="2:2">
      <c r="B208" s="42"/>
    </row>
    <row r="209" spans="2:3">
      <c r="B209" s="42"/>
    </row>
    <row r="210" spans="2:3">
      <c r="B210" s="42"/>
    </row>
    <row r="211" spans="2:3">
      <c r="B211" s="42"/>
    </row>
    <row r="212" spans="2:3">
      <c r="B212" s="42"/>
    </row>
    <row r="213" spans="2:3">
      <c r="B213" s="42"/>
    </row>
    <row r="214" spans="2:3">
      <c r="B214" s="42"/>
    </row>
    <row r="215" spans="2:3">
      <c r="B215" s="42"/>
    </row>
    <row r="216" spans="2:3">
      <c r="B216" s="42"/>
    </row>
    <row r="217" spans="2:3">
      <c r="B217" s="42"/>
    </row>
    <row r="218" spans="2:3">
      <c r="B218" s="42"/>
    </row>
    <row r="219" spans="2:3">
      <c r="B219" s="42"/>
    </row>
    <row r="220" spans="2:3">
      <c r="B220" s="42"/>
    </row>
    <row r="221" spans="2:3">
      <c r="C221" s="42"/>
    </row>
    <row r="222" spans="2:3">
      <c r="C222" s="42"/>
    </row>
    <row r="223" spans="2:3">
      <c r="C223" s="42"/>
    </row>
    <row r="224" spans="2:3">
      <c r="C224" s="42"/>
    </row>
    <row r="225" spans="3:3">
      <c r="C225" s="42"/>
    </row>
    <row r="226" spans="3:3">
      <c r="C226" s="42"/>
    </row>
    <row r="227" spans="3:3">
      <c r="C227" s="42"/>
    </row>
    <row r="228" spans="3:3">
      <c r="C228" s="42"/>
    </row>
    <row r="229" spans="3:3">
      <c r="C229" s="42"/>
    </row>
    <row r="230" spans="3:3">
      <c r="C230" s="42"/>
    </row>
    <row r="232" spans="3:3">
      <c r="C232" s="42"/>
    </row>
    <row r="233" spans="3:3">
      <c r="C233" s="42"/>
    </row>
    <row r="234" spans="3:3">
      <c r="C234" s="42"/>
    </row>
    <row r="235" spans="3:3">
      <c r="C235" s="42"/>
    </row>
    <row r="236" spans="3:3">
      <c r="C236" s="42"/>
    </row>
    <row r="237" spans="3:3">
      <c r="C237" s="42"/>
    </row>
    <row r="238" spans="3:3">
      <c r="C238" s="42"/>
    </row>
    <row r="239" spans="3:3">
      <c r="C239" s="42"/>
    </row>
    <row r="240" spans="3:3">
      <c r="C240" s="42"/>
    </row>
    <row r="241" spans="3:3">
      <c r="C241" s="42"/>
    </row>
    <row r="242" spans="3:3">
      <c r="C242" s="42"/>
    </row>
    <row r="243" spans="3:3">
      <c r="C243" s="42"/>
    </row>
    <row r="244" spans="3:3">
      <c r="C244" s="42"/>
    </row>
    <row r="245" spans="3:3">
      <c r="C245" s="42"/>
    </row>
    <row r="246" spans="3:3">
      <c r="C246" s="42"/>
    </row>
    <row r="247" spans="3:3">
      <c r="C247" s="42"/>
    </row>
    <row r="248" spans="3:3">
      <c r="C248" s="42"/>
    </row>
    <row r="249" spans="3:3">
      <c r="C249" s="42"/>
    </row>
    <row r="250" spans="3:3">
      <c r="C250" s="42"/>
    </row>
    <row r="251" spans="3:3">
      <c r="C251" s="42"/>
    </row>
    <row r="252" spans="3:3">
      <c r="C252" s="42"/>
    </row>
    <row r="253" spans="3:3">
      <c r="C253" s="42"/>
    </row>
    <row r="254" spans="3:3">
      <c r="C254" s="42"/>
    </row>
    <row r="255" spans="3:3">
      <c r="C255" s="4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B6:G16"/>
  <sheetViews>
    <sheetView workbookViewId="0">
      <selection activeCell="G23" sqref="G23"/>
    </sheetView>
  </sheetViews>
  <sheetFormatPr defaultRowHeight="13.8"/>
  <cols>
    <col min="2" max="2" width="12.5546875" style="5" customWidth="1"/>
    <col min="3" max="3" width="13.33203125" bestFit="1" customWidth="1"/>
    <col min="4" max="4" width="8.6640625" bestFit="1" customWidth="1"/>
    <col min="5" max="5" width="13.6640625" customWidth="1"/>
    <col min="7" max="7" width="11.5546875" bestFit="1" customWidth="1"/>
  </cols>
  <sheetData>
    <row r="6" spans="2:7">
      <c r="B6" s="5" t="s">
        <v>12</v>
      </c>
      <c r="C6" s="1" t="s">
        <v>26</v>
      </c>
      <c r="D6" s="1" t="s">
        <v>23</v>
      </c>
      <c r="E6" s="1" t="s">
        <v>20</v>
      </c>
      <c r="F6" s="1" t="s">
        <v>19</v>
      </c>
      <c r="G6" s="1" t="s">
        <v>67</v>
      </c>
    </row>
    <row r="7" spans="2:7">
      <c r="B7" s="5" t="s">
        <v>68</v>
      </c>
      <c r="C7" s="1" t="s">
        <v>27</v>
      </c>
      <c r="D7" s="1" t="s">
        <v>28</v>
      </c>
      <c r="E7" s="1" t="s">
        <v>36</v>
      </c>
      <c r="F7" s="1" t="s">
        <v>59</v>
      </c>
      <c r="G7" s="1"/>
    </row>
    <row r="8" spans="2:7">
      <c r="B8" s="5" t="s">
        <v>69</v>
      </c>
      <c r="C8" s="1" t="s">
        <v>29</v>
      </c>
      <c r="D8" s="1" t="s">
        <v>40</v>
      </c>
      <c r="E8" s="1" t="s">
        <v>37</v>
      </c>
      <c r="F8" s="1" t="s">
        <v>60</v>
      </c>
    </row>
    <row r="9" spans="2:7">
      <c r="B9" s="5" t="s">
        <v>41</v>
      </c>
      <c r="C9" s="1" t="s">
        <v>30</v>
      </c>
      <c r="E9" s="1" t="s">
        <v>38</v>
      </c>
    </row>
    <row r="10" spans="2:7">
      <c r="B10" s="5" t="s">
        <v>70</v>
      </c>
      <c r="C10" s="1" t="s">
        <v>31</v>
      </c>
      <c r="E10" s="1" t="s">
        <v>39</v>
      </c>
    </row>
    <row r="11" spans="2:7">
      <c r="B11" s="5" t="s">
        <v>71</v>
      </c>
      <c r="C11" s="1" t="s">
        <v>32</v>
      </c>
    </row>
    <row r="12" spans="2:7">
      <c r="B12" s="5" t="s">
        <v>72</v>
      </c>
      <c r="C12" s="1" t="s">
        <v>33</v>
      </c>
    </row>
    <row r="13" spans="2:7">
      <c r="B13" s="5" t="s">
        <v>73</v>
      </c>
      <c r="C13" s="1" t="s">
        <v>34</v>
      </c>
    </row>
    <row r="14" spans="2:7">
      <c r="B14" s="5" t="s">
        <v>74</v>
      </c>
      <c r="C14" s="1" t="s">
        <v>35</v>
      </c>
    </row>
    <row r="15" spans="2:7">
      <c r="B15" s="5" t="s">
        <v>75</v>
      </c>
      <c r="C15" s="1"/>
    </row>
    <row r="16" spans="2:7">
      <c r="C16"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34</vt:i4>
      </vt:variant>
    </vt:vector>
  </HeadingPairs>
  <TitlesOfParts>
    <vt:vector size="53" baseType="lpstr">
      <vt:lpstr>DATA</vt:lpstr>
      <vt:lpstr>Product_manager</vt:lpstr>
      <vt:lpstr>Utilize_Purchase</vt:lpstr>
      <vt:lpstr>Utilize_Purchase_Display</vt:lpstr>
      <vt:lpstr>Inventory</vt:lpstr>
      <vt:lpstr>DATA_DISPLAY</vt:lpstr>
      <vt:lpstr>Inventory_Display</vt:lpstr>
      <vt:lpstr>Report</vt:lpstr>
      <vt:lpstr>Die_Test_Parameter</vt:lpstr>
      <vt:lpstr>Attendance_Sheet</vt:lpstr>
      <vt:lpstr>Enhance_safety</vt:lpstr>
      <vt:lpstr>Measuring_Instrument</vt:lpstr>
      <vt:lpstr>Machine_Equipment_Level_Page01</vt:lpstr>
      <vt:lpstr>Machine_Equipment_Level_Page02</vt:lpstr>
      <vt:lpstr>Mechanical_Equipment_01</vt:lpstr>
      <vt:lpstr>Mechanical_Equipment_02</vt:lpstr>
      <vt:lpstr>Energy_Shutdown</vt:lpstr>
      <vt:lpstr>helper</vt:lpstr>
      <vt:lpstr>extra</vt:lpstr>
      <vt:lpstr>compound</vt:lpstr>
      <vt:lpstr>DATA!Criteria</vt:lpstr>
      <vt:lpstr>Die_Test_Parameter!Criteria</vt:lpstr>
      <vt:lpstr>DATA_DISPLAY!data</vt:lpstr>
      <vt:lpstr>data</vt:lpstr>
      <vt:lpstr>DATA_DISPLAY!data2</vt:lpstr>
      <vt:lpstr>data2</vt:lpstr>
      <vt:lpstr>data3</vt:lpstr>
      <vt:lpstr>DATA!Extract</vt:lpstr>
      <vt:lpstr>Die_Test_Parameter!Extract</vt:lpstr>
      <vt:lpstr>ketul</vt:lpstr>
      <vt:lpstr>lalo</vt:lpstr>
      <vt:lpstr>OEM</vt:lpstr>
      <vt:lpstr>Attendance_Sheet!Print_Area</vt:lpstr>
      <vt:lpstr>Enhance_safety!Print_Area</vt:lpstr>
      <vt:lpstr>Machine_Equipment_Level_Page02!Print_Area</vt:lpstr>
      <vt:lpstr>Measuring_Instrument!Print_Area</vt:lpstr>
      <vt:lpstr>Mechanical_Equipment_01!Print_Area</vt:lpstr>
      <vt:lpstr>Mechanical_Equipment_02!Print_Area</vt:lpstr>
      <vt:lpstr>Machine_Equipment_Level_Page01!Print_Titles</vt:lpstr>
      <vt:lpstr>Machine_Equipment_Level_Page02!Print_Titles</vt:lpstr>
      <vt:lpstr>Mechanical_Equipment_01!Print_Titles</vt:lpstr>
      <vt:lpstr>Mechanical_Equipment_02!Print_Titles</vt:lpstr>
      <vt:lpstr>pro</vt:lpstr>
      <vt:lpstr>product</vt:lpstr>
      <vt:lpstr>productmaster</vt:lpstr>
      <vt:lpstr>qqq</vt:lpstr>
      <vt:lpstr>raw</vt:lpstr>
      <vt:lpstr>stage</vt:lpstr>
      <vt:lpstr>stage22</vt:lpstr>
      <vt:lpstr>stage222</vt:lpstr>
      <vt:lpstr>status</vt:lpstr>
      <vt:lpstr>TTTL</vt:lpstr>
      <vt:lpstr>type11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EXTRUSION115</dc:creator>
  <cp:lastModifiedBy>ketul patel</cp:lastModifiedBy>
  <cp:lastPrinted>2021-11-01T08:15:05Z</cp:lastPrinted>
  <dcterms:created xsi:type="dcterms:W3CDTF">2021-08-16T11:39:02Z</dcterms:created>
  <dcterms:modified xsi:type="dcterms:W3CDTF">2022-08-03T05:02:35Z</dcterms:modified>
</cp:coreProperties>
</file>